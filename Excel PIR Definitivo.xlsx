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1901"/>
  <workbookPr defaultThemeVersion="124226"/>
  <mc:AlternateContent xmlns:mc="http://schemas.openxmlformats.org/markup-compatibility/2006">
    <mc:Choice Requires="x15">
      <x15ac:absPath xmlns:x15ac="http://schemas.microsoft.com/office/spreadsheetml/2010/11/ac" url="C:\Users\Eduardo\Downloads\"/>
    </mc:Choice>
  </mc:AlternateContent>
  <xr:revisionPtr revIDLastSave="0" documentId="13_ncr:1_{937BE7DF-CDB5-4B02-AC67-A6B2D7D9B541}" xr6:coauthVersionLast="43" xr6:coauthVersionMax="45" xr10:uidLastSave="{00000000-0000-0000-0000-000000000000}"/>
  <bookViews>
    <workbookView xWindow="-108" yWindow="-108" windowWidth="23256" windowHeight="12576" firstSheet="5" activeTab="10"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F18" i="5" l="1"/>
  <c r="F15" i="5"/>
  <c r="F14" i="5"/>
  <c r="F13" i="5"/>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5"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W6" i="14"/>
  <c r="X6" i="14" s="1"/>
  <c r="W7" i="14"/>
  <c r="W8" i="14"/>
  <c r="W9" i="14"/>
  <c r="X9" i="14" s="1"/>
  <c r="W10" i="14"/>
  <c r="W11" i="14"/>
  <c r="X11" i="14" s="1"/>
  <c r="W12" i="14"/>
  <c r="X12" i="14" s="1"/>
  <c r="W13" i="14"/>
  <c r="W14" i="14"/>
  <c r="X14" i="14" s="1"/>
  <c r="W15" i="14"/>
  <c r="W16" i="14"/>
  <c r="X16" i="14" s="1"/>
  <c r="W17" i="14"/>
  <c r="W18" i="14"/>
  <c r="X18" i="14" s="1"/>
  <c r="W19" i="14"/>
  <c r="W20" i="14"/>
  <c r="X20" i="14" s="1"/>
  <c r="W21" i="14"/>
  <c r="X21" i="14" s="1"/>
  <c r="W22" i="14"/>
  <c r="X22" i="14" s="1"/>
  <c r="W23" i="14"/>
  <c r="W24" i="14"/>
  <c r="X24" i="14" s="1"/>
  <c r="W25" i="14"/>
  <c r="X25" i="14" s="1"/>
  <c r="W26" i="14"/>
  <c r="X26" i="14" s="1"/>
  <c r="W27" i="14"/>
  <c r="W28" i="14"/>
  <c r="W29" i="14"/>
  <c r="X29" i="14" s="1"/>
  <c r="W30" i="14"/>
  <c r="X30" i="14" s="1"/>
  <c r="W31" i="14"/>
  <c r="X31" i="14" s="1"/>
  <c r="W32" i="14"/>
  <c r="W33" i="14"/>
  <c r="W34" i="14"/>
  <c r="W35" i="14"/>
  <c r="X35" i="14" s="1"/>
  <c r="W36" i="14"/>
  <c r="W37" i="14"/>
  <c r="W38" i="14"/>
  <c r="W39" i="14"/>
  <c r="W40" i="14"/>
  <c r="W41" i="14"/>
  <c r="W42" i="14"/>
  <c r="W43" i="14"/>
  <c r="X43" i="14" s="1"/>
  <c r="W44" i="14"/>
  <c r="W45" i="14"/>
  <c r="W46" i="14"/>
  <c r="W47" i="14"/>
  <c r="W48" i="14"/>
  <c r="X48" i="14" s="1"/>
  <c r="W49" i="14"/>
  <c r="X49" i="14" s="1"/>
  <c r="W50" i="14"/>
  <c r="X50" i="14" s="1"/>
  <c r="W51" i="14"/>
  <c r="W52" i="14"/>
  <c r="X52" i="14" s="1"/>
  <c r="W53" i="14"/>
  <c r="W54" i="14"/>
  <c r="X54" i="14" s="1"/>
  <c r="W55" i="14"/>
  <c r="X55" i="14" s="1"/>
  <c r="W56" i="14"/>
  <c r="X56" i="14" s="1"/>
  <c r="W57" i="14"/>
  <c r="X57" i="14" s="1"/>
  <c r="W58" i="14"/>
  <c r="W59" i="14"/>
  <c r="W2" i="14"/>
  <c r="X13" i="14"/>
  <c r="X3" i="14"/>
  <c r="X4" i="14"/>
  <c r="X5" i="14"/>
  <c r="X7" i="14"/>
  <c r="X8" i="14"/>
  <c r="X10" i="14"/>
  <c r="X15" i="14"/>
  <c r="X17" i="14"/>
  <c r="X19" i="14"/>
  <c r="X23" i="14"/>
  <c r="X27" i="14"/>
  <c r="X28" i="14"/>
  <c r="X32" i="14"/>
  <c r="X33" i="14"/>
  <c r="X34" i="14"/>
  <c r="X36" i="14"/>
  <c r="X37" i="14"/>
  <c r="X38" i="14"/>
  <c r="X39" i="14"/>
  <c r="X40" i="14"/>
  <c r="X41" i="14"/>
  <c r="X42" i="14"/>
  <c r="X44" i="14"/>
  <c r="X45" i="14"/>
  <c r="X46" i="14"/>
  <c r="X47" i="14"/>
  <c r="X51" i="14"/>
  <c r="X53" i="14"/>
  <c r="X58" i="14"/>
  <c r="X59" i="14"/>
  <c r="X2" i="14"/>
  <c r="U2" i="14"/>
  <c r="Q3" i="14"/>
  <c r="Q4" i="14"/>
  <c r="Q5" i="14"/>
  <c r="Q6" i="14"/>
  <c r="Q7" i="14"/>
  <c r="Q8" i="14"/>
  <c r="Q9" i="14"/>
  <c r="Q10" i="14"/>
  <c r="Q11" i="14"/>
  <c r="Q12" i="14"/>
  <c r="Q13" i="14"/>
  <c r="Q14" i="14"/>
  <c r="Q15" i="14"/>
  <c r="Q16" i="14"/>
  <c r="Q17" i="14"/>
  <c r="Q18" i="14"/>
  <c r="Q19"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BD2" i="8"/>
  <c r="BD2" i="18"/>
  <c r="G626" i="5" l="1"/>
  <c r="H649" i="5"/>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U59" i="14" l="1"/>
  <c r="U58" i="14"/>
  <c r="U57" i="14"/>
  <c r="U56" i="14"/>
  <c r="U55" i="14"/>
  <c r="U54" i="14"/>
  <c r="U53" i="14"/>
  <c r="U52" i="14"/>
  <c r="U51" i="14"/>
  <c r="U50" i="14"/>
  <c r="U49" i="14"/>
  <c r="U48" i="14"/>
  <c r="U47" i="14"/>
  <c r="U46" i="14"/>
  <c r="U45" i="14"/>
  <c r="U44" i="14"/>
  <c r="U43" i="14"/>
  <c r="U42" i="14"/>
  <c r="U41" i="14"/>
  <c r="U40" i="14"/>
  <c r="U39" i="14"/>
  <c r="U38" i="14"/>
  <c r="U37" i="14"/>
  <c r="U36" i="14"/>
  <c r="U35" i="14"/>
  <c r="U34" i="14"/>
  <c r="U33" i="14"/>
  <c r="U32" i="14"/>
  <c r="U31" i="14"/>
  <c r="U30" i="14"/>
  <c r="U29" i="14"/>
  <c r="U28" i="14"/>
  <c r="U27" i="14"/>
  <c r="U26" i="14"/>
  <c r="U25" i="14"/>
  <c r="U24" i="14"/>
  <c r="U23" i="14"/>
  <c r="U22" i="14"/>
  <c r="U21" i="14"/>
  <c r="U20" i="14"/>
  <c r="U19" i="14"/>
  <c r="U18" i="14"/>
  <c r="U17" i="14"/>
  <c r="U16" i="14"/>
  <c r="U15" i="14"/>
  <c r="U14" i="14"/>
  <c r="U13" i="14"/>
  <c r="U12" i="14"/>
  <c r="U11" i="14"/>
  <c r="U10" i="14"/>
  <c r="U9" i="14"/>
  <c r="U8" i="14"/>
  <c r="U7" i="14"/>
  <c r="U6" i="14"/>
  <c r="U5" i="14"/>
  <c r="U4" i="14"/>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9" i="27" l="1"/>
  <c r="O640" i="27" s="1"/>
  <c r="O641" i="27" s="1"/>
  <c r="O642" i="27" s="1"/>
  <c r="O643" i="27" s="1"/>
  <c r="O644" i="27" s="1"/>
  <c r="O645" i="27" s="1"/>
  <c r="O646" i="27" s="1"/>
  <c r="O647" i="27" s="1"/>
  <c r="O648" i="27" s="1"/>
  <c r="O649" i="27" s="1"/>
  <c r="O638" i="27"/>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7" i="27"/>
  <c r="O628" i="27" s="1"/>
  <c r="O629" i="27" s="1"/>
  <c r="O630" i="27" s="1"/>
  <c r="O631" i="27" s="1"/>
  <c r="O632" i="27" s="1"/>
  <c r="O633" i="27" s="1"/>
  <c r="O634" i="27" s="1"/>
  <c r="O635" i="27" s="1"/>
  <c r="O636" i="27" s="1"/>
  <c r="O637" i="27" s="1"/>
  <c r="O626" i="27"/>
  <c r="N626" i="27"/>
  <c r="N627" i="27" s="1"/>
  <c r="N628" i="27" s="1"/>
  <c r="N629" i="27" s="1"/>
  <c r="O615" i="27"/>
  <c r="O616" i="27" s="1"/>
  <c r="O617" i="27" s="1"/>
  <c r="O618" i="27" s="1"/>
  <c r="O619" i="27" s="1"/>
  <c r="O620" i="27" s="1"/>
  <c r="O621" i="27" s="1"/>
  <c r="O622" i="27" s="1"/>
  <c r="O623" i="27" s="1"/>
  <c r="O624" i="27" s="1"/>
  <c r="O625" i="27" s="1"/>
  <c r="O614" i="27"/>
  <c r="N614" i="27"/>
  <c r="N615" i="27" s="1"/>
  <c r="N616" i="27" s="1"/>
  <c r="N617" i="27" s="1"/>
  <c r="N618" i="27" s="1"/>
  <c r="N619" i="27" s="1"/>
  <c r="N620" i="27" s="1"/>
  <c r="N621" i="27" s="1"/>
  <c r="N622" i="27" s="1"/>
  <c r="N623" i="27" s="1"/>
  <c r="N624" i="27" s="1"/>
  <c r="N625" i="27" s="1"/>
  <c r="N610" i="27"/>
  <c r="N611" i="27" s="1"/>
  <c r="N612" i="27" s="1"/>
  <c r="N613" i="27" s="1"/>
  <c r="N606" i="27"/>
  <c r="N607" i="27" s="1"/>
  <c r="N608" i="27" s="1"/>
  <c r="N609" i="27" s="1"/>
  <c r="O603" i="27"/>
  <c r="O604" i="27" s="1"/>
  <c r="O605" i="27" s="1"/>
  <c r="O606" i="27" s="1"/>
  <c r="O607" i="27" s="1"/>
  <c r="O608" i="27" s="1"/>
  <c r="O609" i="27" s="1"/>
  <c r="O610" i="27" s="1"/>
  <c r="O611" i="27" s="1"/>
  <c r="O612" i="27" s="1"/>
  <c r="O613" i="27" s="1"/>
  <c r="O602" i="27"/>
  <c r="N602" i="27"/>
  <c r="N603" i="27" s="1"/>
  <c r="N604" i="27" s="1"/>
  <c r="N605" i="27" s="1"/>
  <c r="O591" i="27"/>
  <c r="O592" i="27" s="1"/>
  <c r="O593" i="27" s="1"/>
  <c r="O594" i="27" s="1"/>
  <c r="O595" i="27" s="1"/>
  <c r="O596" i="27" s="1"/>
  <c r="O597" i="27" s="1"/>
  <c r="O598" i="27" s="1"/>
  <c r="O599" i="27" s="1"/>
  <c r="O600" i="27" s="1"/>
  <c r="O601" i="27" s="1"/>
  <c r="O590" i="27"/>
  <c r="N590" i="27"/>
  <c r="N591" i="27" s="1"/>
  <c r="N592" i="27" s="1"/>
  <c r="N593" i="27" s="1"/>
  <c r="N594" i="27" s="1"/>
  <c r="N595" i="27" s="1"/>
  <c r="N596" i="27" s="1"/>
  <c r="N597" i="27" s="1"/>
  <c r="N598" i="27" s="1"/>
  <c r="N599" i="27" s="1"/>
  <c r="N600" i="27" s="1"/>
  <c r="N601" i="27" s="1"/>
  <c r="N582" i="27"/>
  <c r="N583" i="27" s="1"/>
  <c r="N584" i="27" s="1"/>
  <c r="N585" i="27" s="1"/>
  <c r="N586" i="27" s="1"/>
  <c r="N587" i="27" s="1"/>
  <c r="N588" i="27" s="1"/>
  <c r="N589" i="27" s="1"/>
  <c r="O579" i="27"/>
  <c r="O580" i="27" s="1"/>
  <c r="O581" i="27" s="1"/>
  <c r="O582" i="27" s="1"/>
  <c r="O583" i="27" s="1"/>
  <c r="O584" i="27" s="1"/>
  <c r="O585" i="27" s="1"/>
  <c r="O586" i="27" s="1"/>
  <c r="O587" i="27" s="1"/>
  <c r="O588" i="27" s="1"/>
  <c r="O589" i="27" s="1"/>
  <c r="O578" i="27"/>
  <c r="N578" i="27"/>
  <c r="N579" i="27" s="1"/>
  <c r="N580" i="27" s="1"/>
  <c r="N581" i="27" s="1"/>
  <c r="N570" i="27"/>
  <c r="N571" i="27" s="1"/>
  <c r="N572" i="27" s="1"/>
  <c r="N573" i="27" s="1"/>
  <c r="N574" i="27" s="1"/>
  <c r="N575" i="27" s="1"/>
  <c r="N576" i="27" s="1"/>
  <c r="N577" i="27" s="1"/>
  <c r="O567" i="27"/>
  <c r="O568" i="27" s="1"/>
  <c r="O569" i="27" s="1"/>
  <c r="O570" i="27" s="1"/>
  <c r="O571" i="27" s="1"/>
  <c r="O572" i="27" s="1"/>
  <c r="O573" i="27" s="1"/>
  <c r="O574" i="27" s="1"/>
  <c r="O575" i="27" s="1"/>
  <c r="O576" i="27" s="1"/>
  <c r="O577" i="27" s="1"/>
  <c r="O566" i="27"/>
  <c r="N566" i="27"/>
  <c r="N567" i="27" s="1"/>
  <c r="N568" i="27" s="1"/>
  <c r="N569" i="27" s="1"/>
  <c r="O555" i="27"/>
  <c r="O556" i="27" s="1"/>
  <c r="O557" i="27" s="1"/>
  <c r="O558" i="27" s="1"/>
  <c r="O559" i="27" s="1"/>
  <c r="O560" i="27" s="1"/>
  <c r="O561" i="27" s="1"/>
  <c r="O562" i="27" s="1"/>
  <c r="O563" i="27" s="1"/>
  <c r="O564" i="27" s="1"/>
  <c r="O565" i="27" s="1"/>
  <c r="O554" i="27"/>
  <c r="N554" i="27"/>
  <c r="N555" i="27" s="1"/>
  <c r="N556" i="27" s="1"/>
  <c r="N557" i="27" s="1"/>
  <c r="N558" i="27" s="1"/>
  <c r="N559" i="27" s="1"/>
  <c r="N560" i="27" s="1"/>
  <c r="N561" i="27" s="1"/>
  <c r="N562" i="27" s="1"/>
  <c r="N563" i="27" s="1"/>
  <c r="N564" i="27" s="1"/>
  <c r="N565" i="27" s="1"/>
  <c r="O543" i="27"/>
  <c r="O544" i="27" s="1"/>
  <c r="O545" i="27" s="1"/>
  <c r="O546" i="27" s="1"/>
  <c r="O547" i="27" s="1"/>
  <c r="O548" i="27" s="1"/>
  <c r="O549" i="27" s="1"/>
  <c r="O550" i="27" s="1"/>
  <c r="O551" i="27" s="1"/>
  <c r="O552" i="27" s="1"/>
  <c r="O553" i="27" s="1"/>
  <c r="O542" i="27"/>
  <c r="N542" i="27"/>
  <c r="N543" i="27" s="1"/>
  <c r="N544" i="27" s="1"/>
  <c r="N545" i="27" s="1"/>
  <c r="N546" i="27" s="1"/>
  <c r="N547" i="27" s="1"/>
  <c r="N548" i="27" s="1"/>
  <c r="N549" i="27" s="1"/>
  <c r="N550" i="27" s="1"/>
  <c r="N551" i="27" s="1"/>
  <c r="N552" i="27" s="1"/>
  <c r="N553" i="27" s="1"/>
  <c r="N534" i="27"/>
  <c r="N535" i="27" s="1"/>
  <c r="N536" i="27" s="1"/>
  <c r="N537" i="27" s="1"/>
  <c r="N538" i="27" s="1"/>
  <c r="N539" i="27" s="1"/>
  <c r="N540" i="27" s="1"/>
  <c r="N541" i="27" s="1"/>
  <c r="O531" i="27"/>
  <c r="O532" i="27" s="1"/>
  <c r="O533" i="27" s="1"/>
  <c r="O534" i="27" s="1"/>
  <c r="O535" i="27" s="1"/>
  <c r="O536" i="27" s="1"/>
  <c r="O537" i="27" s="1"/>
  <c r="O538" i="27" s="1"/>
  <c r="O539" i="27" s="1"/>
  <c r="O540" i="27" s="1"/>
  <c r="O541" i="27" s="1"/>
  <c r="O530" i="27"/>
  <c r="N530" i="27"/>
  <c r="N531" i="27" s="1"/>
  <c r="N532" i="27" s="1"/>
  <c r="N533" i="27" s="1"/>
  <c r="O519" i="27"/>
  <c r="O520" i="27" s="1"/>
  <c r="O521" i="27" s="1"/>
  <c r="O522" i="27" s="1"/>
  <c r="O523" i="27" s="1"/>
  <c r="O524" i="27" s="1"/>
  <c r="O525" i="27" s="1"/>
  <c r="O526" i="27" s="1"/>
  <c r="O527" i="27" s="1"/>
  <c r="O528" i="27" s="1"/>
  <c r="O529" i="27" s="1"/>
  <c r="O518" i="27"/>
  <c r="N518" i="27"/>
  <c r="N519" i="27" s="1"/>
  <c r="N520" i="27" s="1"/>
  <c r="N521" i="27" s="1"/>
  <c r="N522" i="27" s="1"/>
  <c r="N523" i="27" s="1"/>
  <c r="N524" i="27" s="1"/>
  <c r="N525" i="27" s="1"/>
  <c r="N526" i="27" s="1"/>
  <c r="N527" i="27" s="1"/>
  <c r="N528" i="27" s="1"/>
  <c r="N529" i="27" s="1"/>
  <c r="N514" i="27"/>
  <c r="N515" i="27" s="1"/>
  <c r="N516" i="27" s="1"/>
  <c r="N517" i="27" s="1"/>
  <c r="N510" i="27"/>
  <c r="N511" i="27" s="1"/>
  <c r="N512" i="27" s="1"/>
  <c r="N513" i="27" s="1"/>
  <c r="O507" i="27"/>
  <c r="O508" i="27" s="1"/>
  <c r="O509" i="27" s="1"/>
  <c r="O510" i="27" s="1"/>
  <c r="O511" i="27" s="1"/>
  <c r="O512" i="27" s="1"/>
  <c r="O513" i="27" s="1"/>
  <c r="O514" i="27" s="1"/>
  <c r="O515" i="27" s="1"/>
  <c r="O516" i="27" s="1"/>
  <c r="O517" i="27" s="1"/>
  <c r="O506" i="27"/>
  <c r="N506" i="27"/>
  <c r="N507" i="27" s="1"/>
  <c r="N508" i="27" s="1"/>
  <c r="N509" i="27" s="1"/>
  <c r="O495" i="27"/>
  <c r="O496" i="27" s="1"/>
  <c r="O497" i="27" s="1"/>
  <c r="O498" i="27" s="1"/>
  <c r="O499" i="27" s="1"/>
  <c r="O500" i="27" s="1"/>
  <c r="O501" i="27" s="1"/>
  <c r="O502" i="27" s="1"/>
  <c r="O503" i="27" s="1"/>
  <c r="O504" i="27" s="1"/>
  <c r="O505" i="27" s="1"/>
  <c r="O494" i="27"/>
  <c r="N494" i="27"/>
  <c r="N495" i="27" s="1"/>
  <c r="N496" i="27" s="1"/>
  <c r="N497" i="27" s="1"/>
  <c r="N498" i="27" s="1"/>
  <c r="N499" i="27" s="1"/>
  <c r="N500" i="27" s="1"/>
  <c r="N501" i="27" s="1"/>
  <c r="N502" i="27" s="1"/>
  <c r="N503" i="27" s="1"/>
  <c r="N504" i="27" s="1"/>
  <c r="N505" i="27" s="1"/>
  <c r="N486" i="27"/>
  <c r="N487" i="27" s="1"/>
  <c r="N488" i="27" s="1"/>
  <c r="N489" i="27" s="1"/>
  <c r="N490" i="27" s="1"/>
  <c r="N491" i="27" s="1"/>
  <c r="N492" i="27" s="1"/>
  <c r="N493" i="27" s="1"/>
  <c r="O483" i="27"/>
  <c r="O484" i="27" s="1"/>
  <c r="O485" i="27" s="1"/>
  <c r="O486" i="27" s="1"/>
  <c r="O487" i="27" s="1"/>
  <c r="O488" i="27" s="1"/>
  <c r="O489" i="27" s="1"/>
  <c r="O490" i="27" s="1"/>
  <c r="O491" i="27" s="1"/>
  <c r="O492" i="27" s="1"/>
  <c r="O493" i="27" s="1"/>
  <c r="O482" i="27"/>
  <c r="N482" i="27"/>
  <c r="N483" i="27" s="1"/>
  <c r="N484" i="27" s="1"/>
  <c r="N485" i="27" s="1"/>
  <c r="N474" i="27"/>
  <c r="N475" i="27" s="1"/>
  <c r="N476" i="27" s="1"/>
  <c r="N477" i="27" s="1"/>
  <c r="N478" i="27" s="1"/>
  <c r="N479" i="27" s="1"/>
  <c r="N480" i="27" s="1"/>
  <c r="N481" i="27" s="1"/>
  <c r="O471" i="27"/>
  <c r="O472" i="27" s="1"/>
  <c r="O473" i="27" s="1"/>
  <c r="O474" i="27" s="1"/>
  <c r="O475" i="27" s="1"/>
  <c r="O476" i="27" s="1"/>
  <c r="O477" i="27" s="1"/>
  <c r="O478" i="27" s="1"/>
  <c r="O479" i="27" s="1"/>
  <c r="O480" i="27" s="1"/>
  <c r="O481" i="27" s="1"/>
  <c r="O470" i="27"/>
  <c r="N470" i="27"/>
  <c r="N471" i="27" s="1"/>
  <c r="N472" i="27" s="1"/>
  <c r="N473" i="27" s="1"/>
  <c r="O459" i="27"/>
  <c r="O460" i="27" s="1"/>
  <c r="O461" i="27" s="1"/>
  <c r="O462" i="27" s="1"/>
  <c r="O463" i="27" s="1"/>
  <c r="O464" i="27" s="1"/>
  <c r="O465" i="27" s="1"/>
  <c r="O466" i="27" s="1"/>
  <c r="O467" i="27" s="1"/>
  <c r="O468" i="27" s="1"/>
  <c r="O469" i="27" s="1"/>
  <c r="O458" i="27"/>
  <c r="N458" i="27"/>
  <c r="N459" i="27" s="1"/>
  <c r="N460" i="27" s="1"/>
  <c r="N461" i="27" s="1"/>
  <c r="N462" i="27" s="1"/>
  <c r="N463" i="27" s="1"/>
  <c r="N464" i="27" s="1"/>
  <c r="N465" i="27" s="1"/>
  <c r="N466" i="27" s="1"/>
  <c r="N467" i="27" s="1"/>
  <c r="N468" i="27" s="1"/>
  <c r="N469" i="27" s="1"/>
  <c r="O447" i="27"/>
  <c r="O448" i="27" s="1"/>
  <c r="O449" i="27" s="1"/>
  <c r="O450" i="27" s="1"/>
  <c r="O451" i="27" s="1"/>
  <c r="O452" i="27" s="1"/>
  <c r="O453" i="27" s="1"/>
  <c r="O454" i="27" s="1"/>
  <c r="O455" i="27" s="1"/>
  <c r="O456" i="27" s="1"/>
  <c r="O457" i="27" s="1"/>
  <c r="O446" i="27"/>
  <c r="N446" i="27"/>
  <c r="N447" i="27" s="1"/>
  <c r="N448" i="27" s="1"/>
  <c r="N449" i="27" s="1"/>
  <c r="N450" i="27" s="1"/>
  <c r="N451" i="27" s="1"/>
  <c r="N452" i="27" s="1"/>
  <c r="N453" i="27" s="1"/>
  <c r="N454" i="27" s="1"/>
  <c r="N455" i="27" s="1"/>
  <c r="N456" i="27" s="1"/>
  <c r="N457" i="27" s="1"/>
  <c r="N438" i="27"/>
  <c r="N439" i="27" s="1"/>
  <c r="N440" i="27" s="1"/>
  <c r="N441" i="27" s="1"/>
  <c r="N442" i="27" s="1"/>
  <c r="N443" i="27" s="1"/>
  <c r="N444" i="27" s="1"/>
  <c r="N445" i="27" s="1"/>
  <c r="O435" i="27"/>
  <c r="O436" i="27" s="1"/>
  <c r="O437" i="27" s="1"/>
  <c r="O438" i="27" s="1"/>
  <c r="O439" i="27" s="1"/>
  <c r="O440" i="27" s="1"/>
  <c r="O441" i="27" s="1"/>
  <c r="O442" i="27" s="1"/>
  <c r="O443" i="27" s="1"/>
  <c r="O444" i="27" s="1"/>
  <c r="O445" i="27" s="1"/>
  <c r="O434" i="27"/>
  <c r="N434" i="27"/>
  <c r="N435" i="27" s="1"/>
  <c r="N436" i="27" s="1"/>
  <c r="N437" i="27" s="1"/>
  <c r="O423" i="27"/>
  <c r="O424" i="27" s="1"/>
  <c r="O425" i="27" s="1"/>
  <c r="O426" i="27" s="1"/>
  <c r="O427" i="27" s="1"/>
  <c r="O428" i="27" s="1"/>
  <c r="O429" i="27" s="1"/>
  <c r="O430" i="27" s="1"/>
  <c r="O431" i="27" s="1"/>
  <c r="O432" i="27" s="1"/>
  <c r="O433" i="27" s="1"/>
  <c r="O422" i="27"/>
  <c r="N422" i="27"/>
  <c r="N423" i="27" s="1"/>
  <c r="N424" i="27" s="1"/>
  <c r="N425" i="27" s="1"/>
  <c r="N426" i="27" s="1"/>
  <c r="N427" i="27" s="1"/>
  <c r="N428" i="27" s="1"/>
  <c r="N429" i="27" s="1"/>
  <c r="N430" i="27" s="1"/>
  <c r="N431" i="27" s="1"/>
  <c r="N432" i="27" s="1"/>
  <c r="N433" i="27" s="1"/>
  <c r="N418" i="27"/>
  <c r="N419" i="27" s="1"/>
  <c r="N420" i="27" s="1"/>
  <c r="N421" i="27" s="1"/>
  <c r="N414" i="27"/>
  <c r="N415" i="27" s="1"/>
  <c r="N416" i="27" s="1"/>
  <c r="N417" i="27" s="1"/>
  <c r="O411" i="27"/>
  <c r="O412" i="27" s="1"/>
  <c r="O413" i="27" s="1"/>
  <c r="O414" i="27" s="1"/>
  <c r="O415" i="27" s="1"/>
  <c r="O416" i="27" s="1"/>
  <c r="O417" i="27" s="1"/>
  <c r="O418" i="27" s="1"/>
  <c r="O419" i="27" s="1"/>
  <c r="O420" i="27" s="1"/>
  <c r="O421" i="27" s="1"/>
  <c r="O410" i="27"/>
  <c r="N410" i="27"/>
  <c r="N411" i="27" s="1"/>
  <c r="N412" i="27" s="1"/>
  <c r="N413" i="27" s="1"/>
  <c r="O399" i="27"/>
  <c r="O400" i="27" s="1"/>
  <c r="O401" i="27" s="1"/>
  <c r="O402" i="27" s="1"/>
  <c r="O403" i="27" s="1"/>
  <c r="O404" i="27" s="1"/>
  <c r="O405" i="27" s="1"/>
  <c r="O406" i="27" s="1"/>
  <c r="O407" i="27" s="1"/>
  <c r="O408" i="27" s="1"/>
  <c r="O409" i="27" s="1"/>
  <c r="O398" i="27"/>
  <c r="N398" i="27"/>
  <c r="N399" i="27" s="1"/>
  <c r="N400" i="27" s="1"/>
  <c r="N401" i="27" s="1"/>
  <c r="N402" i="27" s="1"/>
  <c r="N403" i="27" s="1"/>
  <c r="N404" i="27" s="1"/>
  <c r="N405" i="27" s="1"/>
  <c r="N406" i="27" s="1"/>
  <c r="N407" i="27" s="1"/>
  <c r="N408" i="27" s="1"/>
  <c r="N409" i="27" s="1"/>
  <c r="N390" i="27"/>
  <c r="N391" i="27" s="1"/>
  <c r="N392" i="27" s="1"/>
  <c r="N393" i="27" s="1"/>
  <c r="N394" i="27" s="1"/>
  <c r="N395" i="27" s="1"/>
  <c r="N396" i="27" s="1"/>
  <c r="N397" i="27" s="1"/>
  <c r="O387" i="27"/>
  <c r="O388" i="27" s="1"/>
  <c r="O389" i="27" s="1"/>
  <c r="O390" i="27" s="1"/>
  <c r="O391" i="27" s="1"/>
  <c r="O392" i="27" s="1"/>
  <c r="O393" i="27" s="1"/>
  <c r="O394" i="27" s="1"/>
  <c r="O395" i="27" s="1"/>
  <c r="O396" i="27" s="1"/>
  <c r="O397" i="27" s="1"/>
  <c r="O386" i="27"/>
  <c r="N386" i="27"/>
  <c r="N387" i="27" s="1"/>
  <c r="N388" i="27" s="1"/>
  <c r="N389" i="27" s="1"/>
  <c r="N378" i="27"/>
  <c r="N379" i="27" s="1"/>
  <c r="N380" i="27" s="1"/>
  <c r="N381" i="27" s="1"/>
  <c r="N382" i="27" s="1"/>
  <c r="N383" i="27" s="1"/>
  <c r="N384" i="27" s="1"/>
  <c r="N385" i="27" s="1"/>
  <c r="O375" i="27"/>
  <c r="O376" i="27" s="1"/>
  <c r="O377" i="27" s="1"/>
  <c r="O378" i="27" s="1"/>
  <c r="O379" i="27" s="1"/>
  <c r="O380" i="27" s="1"/>
  <c r="O381" i="27" s="1"/>
  <c r="O382" i="27" s="1"/>
  <c r="O383" i="27" s="1"/>
  <c r="O384" i="27" s="1"/>
  <c r="O385" i="27" s="1"/>
  <c r="O374" i="27"/>
  <c r="N374" i="27"/>
  <c r="N375" i="27" s="1"/>
  <c r="N376" i="27" s="1"/>
  <c r="N377" i="27" s="1"/>
  <c r="O363" i="27"/>
  <c r="O364" i="27" s="1"/>
  <c r="O365" i="27" s="1"/>
  <c r="O366" i="27" s="1"/>
  <c r="O367" i="27" s="1"/>
  <c r="O368" i="27" s="1"/>
  <c r="O369" i="27" s="1"/>
  <c r="O370" i="27" s="1"/>
  <c r="O371" i="27" s="1"/>
  <c r="O372" i="27" s="1"/>
  <c r="O373" i="27" s="1"/>
  <c r="O362" i="27"/>
  <c r="N362" i="27"/>
  <c r="N363" i="27" s="1"/>
  <c r="N364" i="27" s="1"/>
  <c r="N365" i="27" s="1"/>
  <c r="N366" i="27" s="1"/>
  <c r="N367" i="27" s="1"/>
  <c r="N368" i="27" s="1"/>
  <c r="N369" i="27" s="1"/>
  <c r="N370" i="27" s="1"/>
  <c r="N371" i="27" s="1"/>
  <c r="N372" i="27" s="1"/>
  <c r="N373" i="27" s="1"/>
  <c r="O351" i="27"/>
  <c r="O352" i="27" s="1"/>
  <c r="O353" i="27" s="1"/>
  <c r="O354" i="27" s="1"/>
  <c r="O355" i="27" s="1"/>
  <c r="O356" i="27" s="1"/>
  <c r="O357" i="27" s="1"/>
  <c r="O358" i="27" s="1"/>
  <c r="O359" i="27" s="1"/>
  <c r="O360" i="27" s="1"/>
  <c r="O361" i="27" s="1"/>
  <c r="O350" i="27"/>
  <c r="N350" i="27"/>
  <c r="N351" i="27" s="1"/>
  <c r="N352" i="27" s="1"/>
  <c r="N353" i="27" s="1"/>
  <c r="N354" i="27" s="1"/>
  <c r="N355" i="27" s="1"/>
  <c r="N356" i="27" s="1"/>
  <c r="N357" i="27" s="1"/>
  <c r="N358" i="27" s="1"/>
  <c r="N359" i="27" s="1"/>
  <c r="N360" i="27" s="1"/>
  <c r="N361" i="27" s="1"/>
  <c r="N342" i="27"/>
  <c r="N343" i="27" s="1"/>
  <c r="N344" i="27" s="1"/>
  <c r="N345" i="27" s="1"/>
  <c r="N346" i="27" s="1"/>
  <c r="N347" i="27" s="1"/>
  <c r="N348" i="27" s="1"/>
  <c r="N349" i="27" s="1"/>
  <c r="O339" i="27"/>
  <c r="O340" i="27" s="1"/>
  <c r="O341" i="27" s="1"/>
  <c r="O342" i="27" s="1"/>
  <c r="O343" i="27" s="1"/>
  <c r="O344" i="27" s="1"/>
  <c r="O345" i="27" s="1"/>
  <c r="O346" i="27" s="1"/>
  <c r="O347" i="27" s="1"/>
  <c r="O348" i="27" s="1"/>
  <c r="O349" i="27" s="1"/>
  <c r="O338" i="27"/>
  <c r="N338" i="27"/>
  <c r="N339" i="27" s="1"/>
  <c r="N340" i="27" s="1"/>
  <c r="N341" i="27" s="1"/>
  <c r="O327" i="27"/>
  <c r="O328" i="27" s="1"/>
  <c r="O329" i="27" s="1"/>
  <c r="O330" i="27" s="1"/>
  <c r="O331" i="27" s="1"/>
  <c r="O332" i="27" s="1"/>
  <c r="O333" i="27" s="1"/>
  <c r="O334" i="27" s="1"/>
  <c r="O335" i="27" s="1"/>
  <c r="O336" i="27" s="1"/>
  <c r="O337" i="27" s="1"/>
  <c r="O326" i="27"/>
  <c r="N326" i="27"/>
  <c r="N327" i="27" s="1"/>
  <c r="N328" i="27" s="1"/>
  <c r="N329" i="27" s="1"/>
  <c r="N330" i="27" s="1"/>
  <c r="N331" i="27" s="1"/>
  <c r="N332" i="27" s="1"/>
  <c r="N333" i="27" s="1"/>
  <c r="N334" i="27" s="1"/>
  <c r="N335" i="27" s="1"/>
  <c r="N336" i="27" s="1"/>
  <c r="N337" i="27" s="1"/>
  <c r="N322" i="27"/>
  <c r="N323" i="27" s="1"/>
  <c r="N324" i="27" s="1"/>
  <c r="N325" i="27" s="1"/>
  <c r="N318" i="27"/>
  <c r="N319" i="27" s="1"/>
  <c r="N320" i="27" s="1"/>
  <c r="N321" i="27" s="1"/>
  <c r="O315" i="27"/>
  <c r="O316" i="27" s="1"/>
  <c r="O317" i="27" s="1"/>
  <c r="O318" i="27" s="1"/>
  <c r="O319" i="27" s="1"/>
  <c r="O320" i="27" s="1"/>
  <c r="O321" i="27" s="1"/>
  <c r="O322" i="27" s="1"/>
  <c r="O323" i="27" s="1"/>
  <c r="O324" i="27" s="1"/>
  <c r="O325" i="27" s="1"/>
  <c r="O314" i="27"/>
  <c r="N314" i="27"/>
  <c r="N315" i="27" s="1"/>
  <c r="N316" i="27" s="1"/>
  <c r="N317" i="27" s="1"/>
  <c r="N305" i="27"/>
  <c r="N306" i="27" s="1"/>
  <c r="N307" i="27" s="1"/>
  <c r="N308" i="27" s="1"/>
  <c r="N309" i="27" s="1"/>
  <c r="N310" i="27" s="1"/>
  <c r="N311" i="27" s="1"/>
  <c r="N312" i="27" s="1"/>
  <c r="N313" i="27" s="1"/>
  <c r="N304" i="27"/>
  <c r="N303" i="27"/>
  <c r="O302" i="27"/>
  <c r="O303" i="27" s="1"/>
  <c r="O304" i="27" s="1"/>
  <c r="O305" i="27" s="1"/>
  <c r="O306" i="27" s="1"/>
  <c r="O307" i="27" s="1"/>
  <c r="O308" i="27" s="1"/>
  <c r="O309" i="27" s="1"/>
  <c r="O310" i="27" s="1"/>
  <c r="O311" i="27" s="1"/>
  <c r="O312" i="27" s="1"/>
  <c r="O313" i="27" s="1"/>
  <c r="N302" i="27"/>
  <c r="N293" i="27"/>
  <c r="N294" i="27" s="1"/>
  <c r="N295" i="27" s="1"/>
  <c r="N296" i="27" s="1"/>
  <c r="N297" i="27" s="1"/>
  <c r="N298" i="27" s="1"/>
  <c r="N299" i="27" s="1"/>
  <c r="N300" i="27" s="1"/>
  <c r="N301" i="27" s="1"/>
  <c r="N292" i="27"/>
  <c r="N291" i="27"/>
  <c r="O290" i="27"/>
  <c r="O291" i="27" s="1"/>
  <c r="O292" i="27" s="1"/>
  <c r="O293" i="27" s="1"/>
  <c r="O294" i="27" s="1"/>
  <c r="O295" i="27" s="1"/>
  <c r="O296" i="27" s="1"/>
  <c r="O297" i="27" s="1"/>
  <c r="O298" i="27" s="1"/>
  <c r="O299" i="27" s="1"/>
  <c r="O300" i="27" s="1"/>
  <c r="O301" i="27" s="1"/>
  <c r="N290" i="27"/>
  <c r="N279" i="27"/>
  <c r="N280" i="27" s="1"/>
  <c r="N281" i="27" s="1"/>
  <c r="N282" i="27" s="1"/>
  <c r="N283" i="27" s="1"/>
  <c r="N284" i="27" s="1"/>
  <c r="N285" i="27" s="1"/>
  <c r="N286" i="27" s="1"/>
  <c r="N287" i="27" s="1"/>
  <c r="N288" i="27" s="1"/>
  <c r="N289" i="27" s="1"/>
  <c r="O278" i="27"/>
  <c r="O279" i="27" s="1"/>
  <c r="O280" i="27" s="1"/>
  <c r="O281" i="27" s="1"/>
  <c r="O282" i="27" s="1"/>
  <c r="O283" i="27" s="1"/>
  <c r="O284" i="27" s="1"/>
  <c r="O285" i="27" s="1"/>
  <c r="O286" i="27" s="1"/>
  <c r="O287" i="27" s="1"/>
  <c r="O288" i="27" s="1"/>
  <c r="O289" i="27" s="1"/>
  <c r="N278" i="27"/>
  <c r="N267" i="27"/>
  <c r="N268" i="27" s="1"/>
  <c r="N269" i="27" s="1"/>
  <c r="N270" i="27" s="1"/>
  <c r="N271" i="27" s="1"/>
  <c r="N272" i="27" s="1"/>
  <c r="N273" i="27" s="1"/>
  <c r="N274" i="27" s="1"/>
  <c r="N275" i="27" s="1"/>
  <c r="N276" i="27" s="1"/>
  <c r="N277" i="27" s="1"/>
  <c r="O266" i="27"/>
  <c r="O267" i="27" s="1"/>
  <c r="O268" i="27" s="1"/>
  <c r="O269" i="27" s="1"/>
  <c r="O270" i="27" s="1"/>
  <c r="O271" i="27" s="1"/>
  <c r="O272" i="27" s="1"/>
  <c r="O273" i="27" s="1"/>
  <c r="O274" i="27" s="1"/>
  <c r="O275" i="27" s="1"/>
  <c r="O276" i="27" s="1"/>
  <c r="O277" i="27" s="1"/>
  <c r="N266" i="27"/>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N243" i="27"/>
  <c r="N244" i="27" s="1"/>
  <c r="N245" i="27" s="1"/>
  <c r="N246" i="27" s="1"/>
  <c r="N247" i="27" s="1"/>
  <c r="N248" i="27" s="1"/>
  <c r="N249" i="27" s="1"/>
  <c r="N250" i="27" s="1"/>
  <c r="N251" i="27" s="1"/>
  <c r="N252" i="27" s="1"/>
  <c r="N253" i="27" s="1"/>
  <c r="O242" i="27"/>
  <c r="O243" i="27" s="1"/>
  <c r="O244" i="27" s="1"/>
  <c r="O245" i="27" s="1"/>
  <c r="O246" i="27" s="1"/>
  <c r="O247" i="27" s="1"/>
  <c r="O248" i="27" s="1"/>
  <c r="O249" i="27" s="1"/>
  <c r="O250" i="27" s="1"/>
  <c r="O251" i="27" s="1"/>
  <c r="O252" i="27" s="1"/>
  <c r="O253" i="27" s="1"/>
  <c r="N242" i="27"/>
  <c r="N231" i="27"/>
  <c r="N232" i="27" s="1"/>
  <c r="N233" i="27" s="1"/>
  <c r="N234" i="27" s="1"/>
  <c r="N235" i="27" s="1"/>
  <c r="N236" i="27" s="1"/>
  <c r="N237" i="27" s="1"/>
  <c r="N238" i="27" s="1"/>
  <c r="N239" i="27" s="1"/>
  <c r="N240" i="27" s="1"/>
  <c r="N241" i="27" s="1"/>
  <c r="O230" i="27"/>
  <c r="O231" i="27" s="1"/>
  <c r="O232" i="27" s="1"/>
  <c r="O233" i="27" s="1"/>
  <c r="O234" i="27" s="1"/>
  <c r="O235" i="27" s="1"/>
  <c r="O236" i="27" s="1"/>
  <c r="O237" i="27" s="1"/>
  <c r="O238" i="27" s="1"/>
  <c r="O239" i="27" s="1"/>
  <c r="O240" i="27" s="1"/>
  <c r="O241" i="27" s="1"/>
  <c r="N230" i="27"/>
  <c r="N219" i="27"/>
  <c r="N220" i="27" s="1"/>
  <c r="N221" i="27" s="1"/>
  <c r="N222" i="27" s="1"/>
  <c r="N223" i="27" s="1"/>
  <c r="N224" i="27" s="1"/>
  <c r="N225" i="27" s="1"/>
  <c r="N226" i="27" s="1"/>
  <c r="N227" i="27" s="1"/>
  <c r="N228" i="27" s="1"/>
  <c r="N229" i="27" s="1"/>
  <c r="O218" i="27"/>
  <c r="O219" i="27" s="1"/>
  <c r="O220" i="27" s="1"/>
  <c r="O221" i="27" s="1"/>
  <c r="O222" i="27" s="1"/>
  <c r="O223" i="27" s="1"/>
  <c r="O224" i="27" s="1"/>
  <c r="O225" i="27" s="1"/>
  <c r="O226" i="27" s="1"/>
  <c r="O227" i="27" s="1"/>
  <c r="O228" i="27" s="1"/>
  <c r="O229" i="27" s="1"/>
  <c r="N218" i="27"/>
  <c r="N207" i="27"/>
  <c r="N208" i="27" s="1"/>
  <c r="N209" i="27" s="1"/>
  <c r="N210" i="27" s="1"/>
  <c r="N211" i="27" s="1"/>
  <c r="N212" i="27" s="1"/>
  <c r="N213" i="27" s="1"/>
  <c r="N214" i="27" s="1"/>
  <c r="N215" i="27" s="1"/>
  <c r="N216" i="27" s="1"/>
  <c r="N217" i="27" s="1"/>
  <c r="O206" i="27"/>
  <c r="O207" i="27" s="1"/>
  <c r="O208" i="27" s="1"/>
  <c r="O209" i="27" s="1"/>
  <c r="O210" i="27" s="1"/>
  <c r="O211" i="27" s="1"/>
  <c r="O212" i="27" s="1"/>
  <c r="O213" i="27" s="1"/>
  <c r="O214" i="27" s="1"/>
  <c r="O215" i="27" s="1"/>
  <c r="O216" i="27" s="1"/>
  <c r="O217" i="27" s="1"/>
  <c r="N206" i="27"/>
  <c r="N195" i="27"/>
  <c r="N196" i="27" s="1"/>
  <c r="N197" i="27" s="1"/>
  <c r="N198" i="27" s="1"/>
  <c r="N199" i="27" s="1"/>
  <c r="N200" i="27" s="1"/>
  <c r="N201" i="27" s="1"/>
  <c r="N202" i="27" s="1"/>
  <c r="N203" i="27" s="1"/>
  <c r="N204" i="27" s="1"/>
  <c r="N205" i="27" s="1"/>
  <c r="O194" i="27"/>
  <c r="O195" i="27" s="1"/>
  <c r="O196" i="27" s="1"/>
  <c r="O197" i="27" s="1"/>
  <c r="O198" i="27" s="1"/>
  <c r="O199" i="27" s="1"/>
  <c r="O200" i="27" s="1"/>
  <c r="O201" i="27" s="1"/>
  <c r="O202" i="27" s="1"/>
  <c r="O203" i="27" s="1"/>
  <c r="O204" i="27" s="1"/>
  <c r="O205" i="27" s="1"/>
  <c r="N194" i="27"/>
  <c r="N183" i="27"/>
  <c r="N184" i="27" s="1"/>
  <c r="N185" i="27" s="1"/>
  <c r="N186" i="27" s="1"/>
  <c r="N187" i="27" s="1"/>
  <c r="N188" i="27" s="1"/>
  <c r="N189" i="27" s="1"/>
  <c r="N190" i="27" s="1"/>
  <c r="N191" i="27" s="1"/>
  <c r="N192" i="27" s="1"/>
  <c r="N193" i="27" s="1"/>
  <c r="O182" i="27"/>
  <c r="O183" i="27" s="1"/>
  <c r="O184" i="27" s="1"/>
  <c r="O185" i="27" s="1"/>
  <c r="O186" i="27" s="1"/>
  <c r="O187" i="27" s="1"/>
  <c r="O188" i="27" s="1"/>
  <c r="O189" i="27" s="1"/>
  <c r="O190" i="27" s="1"/>
  <c r="O191" i="27" s="1"/>
  <c r="O192" i="27" s="1"/>
  <c r="O193" i="27" s="1"/>
  <c r="N182" i="27"/>
  <c r="N171" i="27"/>
  <c r="N172" i="27" s="1"/>
  <c r="N173" i="27" s="1"/>
  <c r="N174" i="27" s="1"/>
  <c r="N175" i="27" s="1"/>
  <c r="N176" i="27" s="1"/>
  <c r="N177" i="27" s="1"/>
  <c r="N178" i="27" s="1"/>
  <c r="N179" i="27" s="1"/>
  <c r="N180" i="27" s="1"/>
  <c r="N181" i="27" s="1"/>
  <c r="O170" i="27"/>
  <c r="O171" i="27" s="1"/>
  <c r="O172" i="27" s="1"/>
  <c r="O173" i="27" s="1"/>
  <c r="O174" i="27" s="1"/>
  <c r="O175" i="27" s="1"/>
  <c r="O176" i="27" s="1"/>
  <c r="O177" i="27" s="1"/>
  <c r="O178" i="27" s="1"/>
  <c r="O179" i="27" s="1"/>
  <c r="O180" i="27" s="1"/>
  <c r="O181" i="27" s="1"/>
  <c r="N170" i="27"/>
  <c r="N159" i="27"/>
  <c r="N160" i="27" s="1"/>
  <c r="N161" i="27" s="1"/>
  <c r="N162" i="27" s="1"/>
  <c r="N163" i="27" s="1"/>
  <c r="N164" i="27" s="1"/>
  <c r="N165" i="27" s="1"/>
  <c r="N166" i="27" s="1"/>
  <c r="N167" i="27" s="1"/>
  <c r="N168" i="27" s="1"/>
  <c r="N169" i="27" s="1"/>
  <c r="O158" i="27"/>
  <c r="O159" i="27" s="1"/>
  <c r="O160" i="27" s="1"/>
  <c r="O161" i="27" s="1"/>
  <c r="O162" i="27" s="1"/>
  <c r="O163" i="27" s="1"/>
  <c r="O164" i="27" s="1"/>
  <c r="O165" i="27" s="1"/>
  <c r="O166" i="27" s="1"/>
  <c r="O167" i="27" s="1"/>
  <c r="O168" i="27" s="1"/>
  <c r="O169" i="27" s="1"/>
  <c r="N158" i="27"/>
  <c r="N147" i="27"/>
  <c r="N148" i="27" s="1"/>
  <c r="N149" i="27" s="1"/>
  <c r="N150" i="27" s="1"/>
  <c r="N151" i="27" s="1"/>
  <c r="N152" i="27" s="1"/>
  <c r="N153" i="27" s="1"/>
  <c r="N154" i="27" s="1"/>
  <c r="N155" i="27" s="1"/>
  <c r="N156" i="27" s="1"/>
  <c r="N157" i="27" s="1"/>
  <c r="O146" i="27"/>
  <c r="O147" i="27" s="1"/>
  <c r="O148" i="27" s="1"/>
  <c r="O149" i="27" s="1"/>
  <c r="O150" i="27" s="1"/>
  <c r="O151" i="27" s="1"/>
  <c r="O152" i="27" s="1"/>
  <c r="O153" i="27" s="1"/>
  <c r="O154" i="27" s="1"/>
  <c r="O155" i="27" s="1"/>
  <c r="O156" i="27" s="1"/>
  <c r="O157" i="27" s="1"/>
  <c r="N146" i="27"/>
  <c r="N135" i="27"/>
  <c r="N136" i="27" s="1"/>
  <c r="N137" i="27" s="1"/>
  <c r="N138" i="27" s="1"/>
  <c r="N139" i="27" s="1"/>
  <c r="N140" i="27" s="1"/>
  <c r="N141" i="27" s="1"/>
  <c r="N142" i="27" s="1"/>
  <c r="N143" i="27" s="1"/>
  <c r="N144" i="27" s="1"/>
  <c r="N145" i="27" s="1"/>
  <c r="O134" i="27"/>
  <c r="O135" i="27" s="1"/>
  <c r="O136" i="27" s="1"/>
  <c r="O137" i="27" s="1"/>
  <c r="O138" i="27" s="1"/>
  <c r="O139" i="27" s="1"/>
  <c r="O140" i="27" s="1"/>
  <c r="O141" i="27" s="1"/>
  <c r="O142" i="27" s="1"/>
  <c r="O143" i="27" s="1"/>
  <c r="O144" i="27" s="1"/>
  <c r="O145" i="27" s="1"/>
  <c r="N134" i="27"/>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N111" i="27"/>
  <c r="N112" i="27" s="1"/>
  <c r="N113" i="27" s="1"/>
  <c r="N114" i="27" s="1"/>
  <c r="N115" i="27" s="1"/>
  <c r="N116" i="27" s="1"/>
  <c r="N117" i="27" s="1"/>
  <c r="N118" i="27" s="1"/>
  <c r="N119" i="27" s="1"/>
  <c r="N120" i="27" s="1"/>
  <c r="N121" i="27" s="1"/>
  <c r="O110" i="27"/>
  <c r="O111" i="27" s="1"/>
  <c r="O112" i="27" s="1"/>
  <c r="O113" i="27" s="1"/>
  <c r="O114" i="27" s="1"/>
  <c r="O115" i="27" s="1"/>
  <c r="O116" i="27" s="1"/>
  <c r="O117" i="27" s="1"/>
  <c r="O118" i="27" s="1"/>
  <c r="O119" i="27" s="1"/>
  <c r="O120" i="27" s="1"/>
  <c r="O121" i="27" s="1"/>
  <c r="N110" i="27"/>
  <c r="N99" i="27"/>
  <c r="N100" i="27" s="1"/>
  <c r="N101" i="27" s="1"/>
  <c r="N102" i="27" s="1"/>
  <c r="N103" i="27" s="1"/>
  <c r="N104" i="27" s="1"/>
  <c r="N105" i="27" s="1"/>
  <c r="N106" i="27" s="1"/>
  <c r="N107" i="27" s="1"/>
  <c r="N108" i="27" s="1"/>
  <c r="N109" i="27" s="1"/>
  <c r="O98" i="27"/>
  <c r="O99" i="27" s="1"/>
  <c r="O100" i="27" s="1"/>
  <c r="O101" i="27" s="1"/>
  <c r="O102" i="27" s="1"/>
  <c r="O103" i="27" s="1"/>
  <c r="O104" i="27" s="1"/>
  <c r="O105" i="27" s="1"/>
  <c r="O106" i="27" s="1"/>
  <c r="O107" i="27" s="1"/>
  <c r="O108" i="27" s="1"/>
  <c r="O109" i="27" s="1"/>
  <c r="N98" i="27"/>
  <c r="N87" i="27"/>
  <c r="N88" i="27" s="1"/>
  <c r="N89" i="27" s="1"/>
  <c r="N90" i="27" s="1"/>
  <c r="N91" i="27" s="1"/>
  <c r="N92" i="27" s="1"/>
  <c r="N93" i="27" s="1"/>
  <c r="N94" i="27" s="1"/>
  <c r="N95" i="27" s="1"/>
  <c r="N96" i="27" s="1"/>
  <c r="N97" i="27" s="1"/>
  <c r="O86" i="27"/>
  <c r="O87" i="27" s="1"/>
  <c r="O88" i="27" s="1"/>
  <c r="O89" i="27" s="1"/>
  <c r="O90" i="27" s="1"/>
  <c r="O91" i="27" s="1"/>
  <c r="O92" i="27" s="1"/>
  <c r="O93" i="27" s="1"/>
  <c r="O94" i="27" s="1"/>
  <c r="O95" i="27" s="1"/>
  <c r="O96" i="27" s="1"/>
  <c r="O97" i="27" s="1"/>
  <c r="N86" i="27"/>
  <c r="N75" i="27"/>
  <c r="N76" i="27" s="1"/>
  <c r="N77" i="27" s="1"/>
  <c r="N78" i="27" s="1"/>
  <c r="N79" i="27" s="1"/>
  <c r="N80" i="27" s="1"/>
  <c r="N81" i="27" s="1"/>
  <c r="N82" i="27" s="1"/>
  <c r="N83" i="27" s="1"/>
  <c r="N84" i="27" s="1"/>
  <c r="N85" i="27" s="1"/>
  <c r="O74" i="27"/>
  <c r="O75" i="27" s="1"/>
  <c r="O76" i="27" s="1"/>
  <c r="O77" i="27" s="1"/>
  <c r="O78" i="27" s="1"/>
  <c r="O79" i="27" s="1"/>
  <c r="O80" i="27" s="1"/>
  <c r="O81" i="27" s="1"/>
  <c r="O82" i="27" s="1"/>
  <c r="O83" i="27" s="1"/>
  <c r="O84" i="27" s="1"/>
  <c r="O85" i="27" s="1"/>
  <c r="N74" i="27"/>
  <c r="N63" i="27"/>
  <c r="N64" i="27" s="1"/>
  <c r="N65" i="27" s="1"/>
  <c r="N66" i="27" s="1"/>
  <c r="N67" i="27" s="1"/>
  <c r="N68" i="27" s="1"/>
  <c r="N69" i="27" s="1"/>
  <c r="N70" i="27" s="1"/>
  <c r="N71" i="27" s="1"/>
  <c r="N72" i="27" s="1"/>
  <c r="N73" i="27" s="1"/>
  <c r="O62" i="27"/>
  <c r="O63" i="27" s="1"/>
  <c r="O64" i="27" s="1"/>
  <c r="O65" i="27" s="1"/>
  <c r="O66" i="27" s="1"/>
  <c r="O67" i="27" s="1"/>
  <c r="O68" i="27" s="1"/>
  <c r="O69" i="27" s="1"/>
  <c r="O70" i="27" s="1"/>
  <c r="O71" i="27" s="1"/>
  <c r="O72" i="27" s="1"/>
  <c r="O73" i="27" s="1"/>
  <c r="N62" i="27"/>
  <c r="N51" i="27"/>
  <c r="N52" i="27" s="1"/>
  <c r="N53" i="27" s="1"/>
  <c r="N54" i="27" s="1"/>
  <c r="N55" i="27" s="1"/>
  <c r="N56" i="27" s="1"/>
  <c r="N57" i="27" s="1"/>
  <c r="N58" i="27" s="1"/>
  <c r="N59" i="27" s="1"/>
  <c r="N60" i="27" s="1"/>
  <c r="N61" i="27" s="1"/>
  <c r="O50" i="27"/>
  <c r="O51" i="27" s="1"/>
  <c r="O52" i="27" s="1"/>
  <c r="O53" i="27" s="1"/>
  <c r="O54" i="27" s="1"/>
  <c r="O55" i="27" s="1"/>
  <c r="O56" i="27" s="1"/>
  <c r="O57" i="27" s="1"/>
  <c r="O58" i="27" s="1"/>
  <c r="O59" i="27" s="1"/>
  <c r="O60" i="27" s="1"/>
  <c r="O61" i="27" s="1"/>
  <c r="N50" i="27"/>
  <c r="N39" i="27"/>
  <c r="N40" i="27" s="1"/>
  <c r="N41" i="27" s="1"/>
  <c r="N42" i="27" s="1"/>
  <c r="N43" i="27" s="1"/>
  <c r="N44" i="27" s="1"/>
  <c r="N45" i="27" s="1"/>
  <c r="N46" i="27" s="1"/>
  <c r="N47" i="27" s="1"/>
  <c r="N48" i="27" s="1"/>
  <c r="N49" i="27" s="1"/>
  <c r="O38" i="27"/>
  <c r="O39" i="27" s="1"/>
  <c r="O40" i="27" s="1"/>
  <c r="O41" i="27" s="1"/>
  <c r="O42" i="27" s="1"/>
  <c r="O43" i="27" s="1"/>
  <c r="O44" i="27" s="1"/>
  <c r="O45" i="27" s="1"/>
  <c r="O46" i="27" s="1"/>
  <c r="O47" i="27" s="1"/>
  <c r="O48" i="27" s="1"/>
  <c r="O49" i="27" s="1"/>
  <c r="N38" i="27"/>
  <c r="N27" i="27"/>
  <c r="N28" i="27" s="1"/>
  <c r="N29" i="27" s="1"/>
  <c r="N30" i="27" s="1"/>
  <c r="N31" i="27" s="1"/>
  <c r="N32" i="27" s="1"/>
  <c r="N33" i="27" s="1"/>
  <c r="N34" i="27" s="1"/>
  <c r="N35" i="27" s="1"/>
  <c r="N36" i="27" s="1"/>
  <c r="N37" i="27" s="1"/>
  <c r="O26" i="27"/>
  <c r="O27" i="27" s="1"/>
  <c r="O28" i="27" s="1"/>
  <c r="O29" i="27" s="1"/>
  <c r="O30" i="27" s="1"/>
  <c r="O31" i="27" s="1"/>
  <c r="O32" i="27" s="1"/>
  <c r="O33" i="27" s="1"/>
  <c r="O34" i="27" s="1"/>
  <c r="O35" i="27" s="1"/>
  <c r="O36" i="27" s="1"/>
  <c r="O37" i="27" s="1"/>
  <c r="N26" i="27"/>
  <c r="N15" i="27"/>
  <c r="N16" i="27" s="1"/>
  <c r="N17" i="27" s="1"/>
  <c r="N18" i="27" s="1"/>
  <c r="N19" i="27" s="1"/>
  <c r="N20" i="27" s="1"/>
  <c r="N21" i="27" s="1"/>
  <c r="N22" i="27" s="1"/>
  <c r="N23" i="27" s="1"/>
  <c r="N24" i="27" s="1"/>
  <c r="N25" i="27" s="1"/>
  <c r="O14" i="27"/>
  <c r="O15" i="27" s="1"/>
  <c r="O16" i="27" s="1"/>
  <c r="O17" i="27" s="1"/>
  <c r="O18" i="27" s="1"/>
  <c r="O19" i="27" s="1"/>
  <c r="O20" i="27" s="1"/>
  <c r="O21" i="27" s="1"/>
  <c r="O22" i="27" s="1"/>
  <c r="O23" i="27" s="1"/>
  <c r="O24" i="27" s="1"/>
  <c r="O25" i="27" s="1"/>
  <c r="N14" i="27"/>
  <c r="N3" i="27"/>
  <c r="N4" i="27" s="1"/>
  <c r="N5" i="27" s="1"/>
  <c r="N6" i="27" s="1"/>
  <c r="N7" i="27" s="1"/>
  <c r="N8" i="27" s="1"/>
  <c r="N9" i="27" s="1"/>
  <c r="N10" i="27" s="1"/>
  <c r="N11" i="27" s="1"/>
  <c r="N12" i="27" s="1"/>
  <c r="N13" i="27" s="1"/>
  <c r="O2" i="27"/>
  <c r="O3" i="27" s="1"/>
  <c r="O4" i="27" s="1"/>
  <c r="O5" i="27" s="1"/>
  <c r="O6" i="27" s="1"/>
  <c r="O7" i="27" s="1"/>
  <c r="O8" i="27" s="1"/>
  <c r="O9" i="27" s="1"/>
  <c r="O10" i="27" s="1"/>
  <c r="O11" i="27" s="1"/>
  <c r="O12" i="27" s="1"/>
  <c r="O13" i="27" s="1"/>
  <c r="N2" i="27"/>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J423" i="27"/>
  <c r="J424" i="27" s="1"/>
  <c r="J425" i="27" s="1"/>
  <c r="J426" i="27" s="1"/>
  <c r="J427" i="27" s="1"/>
  <c r="J428" i="27" s="1"/>
  <c r="J429" i="27" s="1"/>
  <c r="J430" i="27" s="1"/>
  <c r="J431" i="27" s="1"/>
  <c r="J432" i="27" s="1"/>
  <c r="J433" i="27" s="1"/>
  <c r="K422" i="27"/>
  <c r="K423" i="27" s="1"/>
  <c r="K424" i="27" s="1"/>
  <c r="K425" i="27" s="1"/>
  <c r="K426" i="27" s="1"/>
  <c r="K427" i="27" s="1"/>
  <c r="K428" i="27" s="1"/>
  <c r="K429" i="27" s="1"/>
  <c r="K430" i="27" s="1"/>
  <c r="K431" i="27" s="1"/>
  <c r="K432" i="27" s="1"/>
  <c r="K433" i="27" s="1"/>
  <c r="J422" i="27"/>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J351" i="27"/>
  <c r="J352" i="27" s="1"/>
  <c r="J353" i="27" s="1"/>
  <c r="J354" i="27" s="1"/>
  <c r="J355" i="27" s="1"/>
  <c r="J356" i="27" s="1"/>
  <c r="J357" i="27" s="1"/>
  <c r="J358" i="27" s="1"/>
  <c r="J359" i="27" s="1"/>
  <c r="J360" i="27" s="1"/>
  <c r="J361" i="27" s="1"/>
  <c r="K350" i="27"/>
  <c r="K351" i="27" s="1"/>
  <c r="K352" i="27" s="1"/>
  <c r="K353" i="27" s="1"/>
  <c r="K354" i="27" s="1"/>
  <c r="K355" i="27" s="1"/>
  <c r="K356" i="27" s="1"/>
  <c r="K357" i="27" s="1"/>
  <c r="K358" i="27" s="1"/>
  <c r="K359" i="27" s="1"/>
  <c r="K360" i="27" s="1"/>
  <c r="K361" i="27" s="1"/>
  <c r="J350" i="27"/>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J615" i="27"/>
  <c r="J616" i="27" s="1"/>
  <c r="J617" i="27" s="1"/>
  <c r="J618" i="27" s="1"/>
  <c r="J619" i="27" s="1"/>
  <c r="J620" i="27" s="1"/>
  <c r="J621" i="27" s="1"/>
  <c r="J622" i="27" s="1"/>
  <c r="J623" i="27" s="1"/>
  <c r="J624" i="27" s="1"/>
  <c r="J625" i="27" s="1"/>
  <c r="K614" i="27"/>
  <c r="K615" i="27" s="1"/>
  <c r="K616" i="27" s="1"/>
  <c r="K617" i="27" s="1"/>
  <c r="K618" i="27" s="1"/>
  <c r="K619" i="27" s="1"/>
  <c r="K620" i="27" s="1"/>
  <c r="K621" i="27" s="1"/>
  <c r="K622" i="27" s="1"/>
  <c r="K623" i="27" s="1"/>
  <c r="K624" i="27" s="1"/>
  <c r="K625" i="27" s="1"/>
  <c r="J614" i="27"/>
  <c r="J603" i="27"/>
  <c r="J604" i="27" s="1"/>
  <c r="J605" i="27" s="1"/>
  <c r="J606" i="27" s="1"/>
  <c r="J607" i="27" s="1"/>
  <c r="J608" i="27" s="1"/>
  <c r="J609" i="27" s="1"/>
  <c r="J610" i="27" s="1"/>
  <c r="J611" i="27" s="1"/>
  <c r="J612" i="27" s="1"/>
  <c r="J613" i="27" s="1"/>
  <c r="K602" i="27"/>
  <c r="K603" i="27" s="1"/>
  <c r="K604" i="27" s="1"/>
  <c r="K605" i="27" s="1"/>
  <c r="K606" i="27" s="1"/>
  <c r="K607" i="27" s="1"/>
  <c r="K608" i="27" s="1"/>
  <c r="K609" i="27" s="1"/>
  <c r="K610" i="27" s="1"/>
  <c r="K611" i="27" s="1"/>
  <c r="K612" i="27" s="1"/>
  <c r="K613" i="27" s="1"/>
  <c r="J602" i="27"/>
  <c r="J591" i="27"/>
  <c r="J592" i="27" s="1"/>
  <c r="J593" i="27" s="1"/>
  <c r="J594" i="27" s="1"/>
  <c r="J595" i="27" s="1"/>
  <c r="J596" i="27" s="1"/>
  <c r="J597" i="27" s="1"/>
  <c r="J598" i="27" s="1"/>
  <c r="J599" i="27" s="1"/>
  <c r="J600" i="27" s="1"/>
  <c r="J601" i="27" s="1"/>
  <c r="K590" i="27"/>
  <c r="K591" i="27" s="1"/>
  <c r="K592" i="27" s="1"/>
  <c r="K593" i="27" s="1"/>
  <c r="K594" i="27" s="1"/>
  <c r="K595" i="27" s="1"/>
  <c r="K596" i="27" s="1"/>
  <c r="K597" i="27" s="1"/>
  <c r="K598" i="27" s="1"/>
  <c r="K599" i="27" s="1"/>
  <c r="K600" i="27" s="1"/>
  <c r="K601" i="27" s="1"/>
  <c r="J590" i="27"/>
  <c r="J579" i="27"/>
  <c r="J580" i="27" s="1"/>
  <c r="J581" i="27" s="1"/>
  <c r="J582" i="27" s="1"/>
  <c r="J583" i="27" s="1"/>
  <c r="J584" i="27" s="1"/>
  <c r="J585" i="27" s="1"/>
  <c r="J586" i="27" s="1"/>
  <c r="J587" i="27" s="1"/>
  <c r="J588" i="27" s="1"/>
  <c r="J589" i="27" s="1"/>
  <c r="K578" i="27"/>
  <c r="K579" i="27" s="1"/>
  <c r="K580" i="27" s="1"/>
  <c r="K581" i="27" s="1"/>
  <c r="K582" i="27" s="1"/>
  <c r="K583" i="27" s="1"/>
  <c r="K584" i="27" s="1"/>
  <c r="K585" i="27" s="1"/>
  <c r="K586" i="27" s="1"/>
  <c r="K587" i="27" s="1"/>
  <c r="K588" i="27" s="1"/>
  <c r="K589" i="27" s="1"/>
  <c r="J578" i="27"/>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J483" i="27"/>
  <c r="J484" i="27" s="1"/>
  <c r="J485" i="27" s="1"/>
  <c r="J486" i="27" s="1"/>
  <c r="J487" i="27" s="1"/>
  <c r="J488" i="27" s="1"/>
  <c r="J489" i="27" s="1"/>
  <c r="J490" i="27" s="1"/>
  <c r="J491" i="27" s="1"/>
  <c r="J492" i="27" s="1"/>
  <c r="J493" i="27" s="1"/>
  <c r="K482" i="27"/>
  <c r="K483" i="27" s="1"/>
  <c r="K484" i="27" s="1"/>
  <c r="K485" i="27" s="1"/>
  <c r="K486" i="27" s="1"/>
  <c r="K487" i="27" s="1"/>
  <c r="K488" i="27" s="1"/>
  <c r="K489" i="27" s="1"/>
  <c r="K490" i="27" s="1"/>
  <c r="K491" i="27" s="1"/>
  <c r="K492" i="27" s="1"/>
  <c r="K493" i="27" s="1"/>
  <c r="J482" i="27"/>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J255" i="27"/>
  <c r="J256" i="27" s="1"/>
  <c r="J257" i="27" s="1"/>
  <c r="J258" i="27" s="1"/>
  <c r="J259" i="27" s="1"/>
  <c r="J260" i="27" s="1"/>
  <c r="J261" i="27" s="1"/>
  <c r="J262" i="27" s="1"/>
  <c r="J263" i="27" s="1"/>
  <c r="J264" i="27" s="1"/>
  <c r="J265" i="27" s="1"/>
  <c r="K254" i="27"/>
  <c r="K255" i="27" s="1"/>
  <c r="K256" i="27" s="1"/>
  <c r="K257" i="27" s="1"/>
  <c r="K258" i="27" s="1"/>
  <c r="K259" i="27" s="1"/>
  <c r="K260" i="27" s="1"/>
  <c r="K261" i="27" s="1"/>
  <c r="K262" i="27" s="1"/>
  <c r="K263" i="27" s="1"/>
  <c r="K264" i="27" s="1"/>
  <c r="K265" i="27" s="1"/>
  <c r="J254" i="27"/>
  <c r="J243" i="27"/>
  <c r="J244" i="27" s="1"/>
  <c r="J245" i="27" s="1"/>
  <c r="J246" i="27" s="1"/>
  <c r="J247" i="27" s="1"/>
  <c r="J248" i="27" s="1"/>
  <c r="J249" i="27" s="1"/>
  <c r="J250" i="27" s="1"/>
  <c r="J251" i="27" s="1"/>
  <c r="J252" i="27" s="1"/>
  <c r="J253" i="27" s="1"/>
  <c r="K242" i="27"/>
  <c r="K243" i="27" s="1"/>
  <c r="K244" i="27" s="1"/>
  <c r="K245" i="27" s="1"/>
  <c r="K246" i="27" s="1"/>
  <c r="K247" i="27" s="1"/>
  <c r="K248" i="27" s="1"/>
  <c r="K249" i="27" s="1"/>
  <c r="K250" i="27" s="1"/>
  <c r="K251" i="27" s="1"/>
  <c r="K252" i="27" s="1"/>
  <c r="K253" i="27" s="1"/>
  <c r="J242" i="27"/>
  <c r="J231" i="27"/>
  <c r="J232" i="27" s="1"/>
  <c r="J233" i="27" s="1"/>
  <c r="J234" i="27" s="1"/>
  <c r="J235" i="27" s="1"/>
  <c r="J236" i="27" s="1"/>
  <c r="J237" i="27" s="1"/>
  <c r="J238" i="27" s="1"/>
  <c r="J239" i="27" s="1"/>
  <c r="J240" i="27" s="1"/>
  <c r="J241" i="27" s="1"/>
  <c r="K230" i="27"/>
  <c r="K231" i="27" s="1"/>
  <c r="K232" i="27" s="1"/>
  <c r="K233" i="27" s="1"/>
  <c r="K234" i="27" s="1"/>
  <c r="K235" i="27" s="1"/>
  <c r="K236" i="27" s="1"/>
  <c r="K237" i="27" s="1"/>
  <c r="K238" i="27" s="1"/>
  <c r="K239" i="27" s="1"/>
  <c r="K240" i="27" s="1"/>
  <c r="K241" i="27" s="1"/>
  <c r="J230" i="27"/>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J207" i="27"/>
  <c r="J208" i="27" s="1"/>
  <c r="J209" i="27" s="1"/>
  <c r="J210" i="27" s="1"/>
  <c r="J211" i="27" s="1"/>
  <c r="J212" i="27" s="1"/>
  <c r="J213" i="27" s="1"/>
  <c r="J214" i="27" s="1"/>
  <c r="J215" i="27" s="1"/>
  <c r="J216" i="27" s="1"/>
  <c r="J217" i="27" s="1"/>
  <c r="K206" i="27"/>
  <c r="K207" i="27" s="1"/>
  <c r="K208" i="27" s="1"/>
  <c r="K209" i="27" s="1"/>
  <c r="K210" i="27" s="1"/>
  <c r="K211" i="27" s="1"/>
  <c r="K212" i="27" s="1"/>
  <c r="K213" i="27" s="1"/>
  <c r="K214" i="27" s="1"/>
  <c r="K215" i="27" s="1"/>
  <c r="K216" i="27" s="1"/>
  <c r="K217" i="27" s="1"/>
  <c r="J206" i="27"/>
  <c r="J195" i="27"/>
  <c r="J196" i="27" s="1"/>
  <c r="J197" i="27" s="1"/>
  <c r="J198" i="27" s="1"/>
  <c r="J199" i="27" s="1"/>
  <c r="J200" i="27" s="1"/>
  <c r="J201" i="27" s="1"/>
  <c r="J202" i="27" s="1"/>
  <c r="J203" i="27" s="1"/>
  <c r="J204" i="27" s="1"/>
  <c r="J205" i="27" s="1"/>
  <c r="K194" i="27"/>
  <c r="K195" i="27" s="1"/>
  <c r="K196" i="27" s="1"/>
  <c r="K197" i="27" s="1"/>
  <c r="K198" i="27" s="1"/>
  <c r="K199" i="27" s="1"/>
  <c r="K200" i="27" s="1"/>
  <c r="K201" i="27" s="1"/>
  <c r="K202" i="27" s="1"/>
  <c r="K203" i="27" s="1"/>
  <c r="K204" i="27" s="1"/>
  <c r="K205" i="27" s="1"/>
  <c r="J194" i="27"/>
  <c r="J183" i="27"/>
  <c r="J184" i="27" s="1"/>
  <c r="J185" i="27" s="1"/>
  <c r="J186" i="27" s="1"/>
  <c r="J187" i="27" s="1"/>
  <c r="J188" i="27" s="1"/>
  <c r="J189" i="27" s="1"/>
  <c r="J190" i="27" s="1"/>
  <c r="J191" i="27" s="1"/>
  <c r="J192" i="27" s="1"/>
  <c r="J193" i="27" s="1"/>
  <c r="K182" i="27"/>
  <c r="K183" i="27" s="1"/>
  <c r="K184" i="27" s="1"/>
  <c r="K185" i="27" s="1"/>
  <c r="K186" i="27" s="1"/>
  <c r="K187" i="27" s="1"/>
  <c r="K188" i="27" s="1"/>
  <c r="K189" i="27" s="1"/>
  <c r="K190" i="27" s="1"/>
  <c r="K191" i="27" s="1"/>
  <c r="K192" i="27" s="1"/>
  <c r="K193" i="27" s="1"/>
  <c r="J182" i="27"/>
  <c r="J171" i="27"/>
  <c r="J172" i="27" s="1"/>
  <c r="J173" i="27" s="1"/>
  <c r="J174" i="27" s="1"/>
  <c r="J175" i="27" s="1"/>
  <c r="J176" i="27" s="1"/>
  <c r="J177" i="27" s="1"/>
  <c r="J178" i="27" s="1"/>
  <c r="J179" i="27" s="1"/>
  <c r="J180" i="27" s="1"/>
  <c r="J181" i="27" s="1"/>
  <c r="K170" i="27"/>
  <c r="K171" i="27" s="1"/>
  <c r="K172" i="27" s="1"/>
  <c r="K173" i="27" s="1"/>
  <c r="K174" i="27" s="1"/>
  <c r="K175" i="27" s="1"/>
  <c r="K176" i="27" s="1"/>
  <c r="K177" i="27" s="1"/>
  <c r="K178" i="27" s="1"/>
  <c r="K179" i="27" s="1"/>
  <c r="K180" i="27" s="1"/>
  <c r="K181" i="27" s="1"/>
  <c r="J170" i="27"/>
  <c r="J159" i="27"/>
  <c r="J160" i="27" s="1"/>
  <c r="J161" i="27" s="1"/>
  <c r="J162" i="27" s="1"/>
  <c r="J163" i="27" s="1"/>
  <c r="J164" i="27" s="1"/>
  <c r="J165" i="27" s="1"/>
  <c r="J166" i="27" s="1"/>
  <c r="J167" i="27" s="1"/>
  <c r="J168" i="27" s="1"/>
  <c r="J169" i="27" s="1"/>
  <c r="K158" i="27"/>
  <c r="K159" i="27" s="1"/>
  <c r="K160" i="27" s="1"/>
  <c r="K161" i="27" s="1"/>
  <c r="K162" i="27" s="1"/>
  <c r="K163" i="27" s="1"/>
  <c r="K164" i="27" s="1"/>
  <c r="K165" i="27" s="1"/>
  <c r="K166" i="27" s="1"/>
  <c r="K167" i="27" s="1"/>
  <c r="K168" i="27" s="1"/>
  <c r="K169" i="27" s="1"/>
  <c r="J158" i="27"/>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6"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F615" i="27"/>
  <c r="F616" i="27" s="1"/>
  <c r="F617" i="27" s="1"/>
  <c r="F618" i="27" s="1"/>
  <c r="F619" i="27" s="1"/>
  <c r="F620" i="27" s="1"/>
  <c r="F621" i="27" s="1"/>
  <c r="F622" i="27" s="1"/>
  <c r="F623" i="27" s="1"/>
  <c r="F624" i="27" s="1"/>
  <c r="F625" i="27" s="1"/>
  <c r="G614" i="27"/>
  <c r="G615" i="27" s="1"/>
  <c r="G616" i="27" s="1"/>
  <c r="G617" i="27" s="1"/>
  <c r="G618" i="27" s="1"/>
  <c r="G619" i="27" s="1"/>
  <c r="G620" i="27" s="1"/>
  <c r="G621" i="27" s="1"/>
  <c r="G622" i="27" s="1"/>
  <c r="G623" i="27" s="1"/>
  <c r="G624" i="27" s="1"/>
  <c r="G625" i="27" s="1"/>
  <c r="F614" i="27"/>
  <c r="F603" i="27"/>
  <c r="F604" i="27" s="1"/>
  <c r="F605" i="27" s="1"/>
  <c r="F606" i="27" s="1"/>
  <c r="F607" i="27" s="1"/>
  <c r="F608" i="27" s="1"/>
  <c r="F609" i="27" s="1"/>
  <c r="F610" i="27" s="1"/>
  <c r="F611" i="27" s="1"/>
  <c r="F612" i="27" s="1"/>
  <c r="F613" i="27" s="1"/>
  <c r="G602" i="27"/>
  <c r="G603" i="27" s="1"/>
  <c r="G604" i="27" s="1"/>
  <c r="G605" i="27" s="1"/>
  <c r="G606" i="27" s="1"/>
  <c r="G607" i="27" s="1"/>
  <c r="G608" i="27" s="1"/>
  <c r="G609" i="27" s="1"/>
  <c r="G610" i="27" s="1"/>
  <c r="G611" i="27" s="1"/>
  <c r="G612" i="27" s="1"/>
  <c r="G613" i="27" s="1"/>
  <c r="F602" i="27"/>
  <c r="F591" i="27"/>
  <c r="F592" i="27" s="1"/>
  <c r="F593" i="27" s="1"/>
  <c r="F594" i="27" s="1"/>
  <c r="F595" i="27" s="1"/>
  <c r="F596" i="27" s="1"/>
  <c r="F597" i="27" s="1"/>
  <c r="F598" i="27" s="1"/>
  <c r="F599" i="27" s="1"/>
  <c r="F600" i="27" s="1"/>
  <c r="F601" i="27" s="1"/>
  <c r="G590" i="27"/>
  <c r="G591" i="27" s="1"/>
  <c r="G592" i="27" s="1"/>
  <c r="G593" i="27" s="1"/>
  <c r="G594" i="27" s="1"/>
  <c r="G595" i="27" s="1"/>
  <c r="G596" i="27" s="1"/>
  <c r="G597" i="27" s="1"/>
  <c r="G598" i="27" s="1"/>
  <c r="G599" i="27" s="1"/>
  <c r="G600" i="27" s="1"/>
  <c r="G601" i="27" s="1"/>
  <c r="F590" i="27"/>
  <c r="F579" i="27"/>
  <c r="F580" i="27" s="1"/>
  <c r="F581" i="27" s="1"/>
  <c r="F582" i="27" s="1"/>
  <c r="F583" i="27" s="1"/>
  <c r="F584" i="27" s="1"/>
  <c r="F585" i="27" s="1"/>
  <c r="F586" i="27" s="1"/>
  <c r="F587" i="27" s="1"/>
  <c r="F588" i="27" s="1"/>
  <c r="F589" i="27" s="1"/>
  <c r="G578" i="27"/>
  <c r="G579" i="27" s="1"/>
  <c r="G580" i="27" s="1"/>
  <c r="G581" i="27" s="1"/>
  <c r="G582" i="27" s="1"/>
  <c r="G583" i="27" s="1"/>
  <c r="G584" i="27" s="1"/>
  <c r="G585" i="27" s="1"/>
  <c r="G586" i="27" s="1"/>
  <c r="G587" i="27" s="1"/>
  <c r="G588" i="27" s="1"/>
  <c r="G589" i="27" s="1"/>
  <c r="F578" i="27"/>
  <c r="G556" i="27"/>
  <c r="G557" i="27" s="1"/>
  <c r="G558" i="27" s="1"/>
  <c r="G559" i="27" s="1"/>
  <c r="G560" i="27" s="1"/>
  <c r="G561" i="27" s="1"/>
  <c r="G562" i="27" s="1"/>
  <c r="G563" i="27" s="1"/>
  <c r="G564" i="27" s="1"/>
  <c r="G565" i="27" s="1"/>
  <c r="G555" i="27"/>
  <c r="G554" i="27"/>
  <c r="F554" i="27"/>
  <c r="F555" i="27" s="1"/>
  <c r="F556" i="27" s="1"/>
  <c r="F557" i="27" s="1"/>
  <c r="F558" i="27" s="1"/>
  <c r="F559" i="27" s="1"/>
  <c r="F560" i="27" s="1"/>
  <c r="F561" i="27" s="1"/>
  <c r="F562" i="27" s="1"/>
  <c r="F563" i="27" s="1"/>
  <c r="F564" i="27" s="1"/>
  <c r="F565" i="27" s="1"/>
  <c r="G544" i="27"/>
  <c r="G545" i="27" s="1"/>
  <c r="G546" i="27" s="1"/>
  <c r="G547" i="27" s="1"/>
  <c r="G548" i="27" s="1"/>
  <c r="G549" i="27" s="1"/>
  <c r="G550" i="27" s="1"/>
  <c r="G551" i="27" s="1"/>
  <c r="G552" i="27" s="1"/>
  <c r="G553" i="27" s="1"/>
  <c r="G543" i="27"/>
  <c r="G542" i="27"/>
  <c r="F542" i="27"/>
  <c r="F543" i="27" s="1"/>
  <c r="F544" i="27" s="1"/>
  <c r="F545" i="27" s="1"/>
  <c r="F546" i="27" s="1"/>
  <c r="F547" i="27" s="1"/>
  <c r="F548" i="27" s="1"/>
  <c r="F549" i="27" s="1"/>
  <c r="F550" i="27" s="1"/>
  <c r="F551" i="27" s="1"/>
  <c r="F552" i="27" s="1"/>
  <c r="F553" i="27" s="1"/>
  <c r="F531" i="27"/>
  <c r="F532" i="27" s="1"/>
  <c r="F533" i="27" s="1"/>
  <c r="F534" i="27" s="1"/>
  <c r="F535" i="27" s="1"/>
  <c r="F536" i="27" s="1"/>
  <c r="F537" i="27" s="1"/>
  <c r="F538" i="27" s="1"/>
  <c r="F539" i="27" s="1"/>
  <c r="F540" i="27" s="1"/>
  <c r="F541" i="27" s="1"/>
  <c r="G530" i="27"/>
  <c r="G531" i="27" s="1"/>
  <c r="G532" i="27" s="1"/>
  <c r="G533" i="27" s="1"/>
  <c r="G534" i="27" s="1"/>
  <c r="G535" i="27" s="1"/>
  <c r="G536" i="27" s="1"/>
  <c r="G537" i="27" s="1"/>
  <c r="G538" i="27" s="1"/>
  <c r="G539" i="27" s="1"/>
  <c r="G540" i="27" s="1"/>
  <c r="G541" i="27" s="1"/>
  <c r="F530" i="27"/>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F627" i="27"/>
  <c r="F628" i="27" s="1"/>
  <c r="F629" i="27" s="1"/>
  <c r="F630" i="27" s="1"/>
  <c r="F631" i="27" s="1"/>
  <c r="F632" i="27" s="1"/>
  <c r="F633" i="27" s="1"/>
  <c r="F634" i="27" s="1"/>
  <c r="F635" i="27" s="1"/>
  <c r="F636" i="27" s="1"/>
  <c r="F637" i="27" s="1"/>
  <c r="G626" i="27"/>
  <c r="G627" i="27" s="1"/>
  <c r="G628" i="27" s="1"/>
  <c r="G629" i="27" s="1"/>
  <c r="G630" i="27" s="1"/>
  <c r="G631" i="27" s="1"/>
  <c r="G632" i="27" s="1"/>
  <c r="G633" i="27" s="1"/>
  <c r="G634" i="27" s="1"/>
  <c r="G635" i="27" s="1"/>
  <c r="G636" i="27" s="1"/>
  <c r="G637" i="27" s="1"/>
  <c r="F626" i="27"/>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F495" i="27"/>
  <c r="F496" i="27" s="1"/>
  <c r="F497" i="27" s="1"/>
  <c r="F498" i="27" s="1"/>
  <c r="F499" i="27" s="1"/>
  <c r="F500" i="27" s="1"/>
  <c r="F501" i="27" s="1"/>
  <c r="F502" i="27" s="1"/>
  <c r="F503" i="27" s="1"/>
  <c r="F504" i="27" s="1"/>
  <c r="F505" i="27" s="1"/>
  <c r="G494" i="27"/>
  <c r="G495" i="27" s="1"/>
  <c r="G496" i="27" s="1"/>
  <c r="G497" i="27" s="1"/>
  <c r="G498" i="27" s="1"/>
  <c r="G499" i="27" s="1"/>
  <c r="G500" i="27" s="1"/>
  <c r="G501" i="27" s="1"/>
  <c r="G502" i="27" s="1"/>
  <c r="G503" i="27" s="1"/>
  <c r="G504" i="27" s="1"/>
  <c r="G505" i="27" s="1"/>
  <c r="F494" i="27"/>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F399" i="27"/>
  <c r="F400" i="27" s="1"/>
  <c r="F401" i="27" s="1"/>
  <c r="F402" i="27" s="1"/>
  <c r="F403" i="27" s="1"/>
  <c r="F404" i="27" s="1"/>
  <c r="F405" i="27" s="1"/>
  <c r="F406" i="27" s="1"/>
  <c r="F407" i="27" s="1"/>
  <c r="F408" i="27" s="1"/>
  <c r="F409" i="27" s="1"/>
  <c r="G398" i="27"/>
  <c r="G399" i="27" s="1"/>
  <c r="G400" i="27" s="1"/>
  <c r="G401" i="27" s="1"/>
  <c r="G402" i="27" s="1"/>
  <c r="G403" i="27" s="1"/>
  <c r="G404" i="27" s="1"/>
  <c r="G405" i="27" s="1"/>
  <c r="G406" i="27" s="1"/>
  <c r="G407" i="27" s="1"/>
  <c r="G408" i="27" s="1"/>
  <c r="G409" i="27" s="1"/>
  <c r="F398" i="27"/>
  <c r="F387" i="27"/>
  <c r="F388" i="27" s="1"/>
  <c r="F389" i="27" s="1"/>
  <c r="F390" i="27" s="1"/>
  <c r="F391" i="27" s="1"/>
  <c r="F392" i="27" s="1"/>
  <c r="F393" i="27" s="1"/>
  <c r="F394" i="27" s="1"/>
  <c r="F395" i="27" s="1"/>
  <c r="F396" i="27" s="1"/>
  <c r="F397" i="27" s="1"/>
  <c r="G386" i="27"/>
  <c r="G387" i="27" s="1"/>
  <c r="G388" i="27" s="1"/>
  <c r="G389" i="27" s="1"/>
  <c r="G390" i="27" s="1"/>
  <c r="G391" i="27" s="1"/>
  <c r="G392" i="27" s="1"/>
  <c r="G393" i="27" s="1"/>
  <c r="G394" i="27" s="1"/>
  <c r="G395" i="27" s="1"/>
  <c r="G396" i="27" s="1"/>
  <c r="G397" i="27" s="1"/>
  <c r="F386" i="27"/>
  <c r="G364" i="27"/>
  <c r="G365" i="27" s="1"/>
  <c r="G366" i="27" s="1"/>
  <c r="G367" i="27" s="1"/>
  <c r="G368" i="27" s="1"/>
  <c r="G369" i="27" s="1"/>
  <c r="G370" i="27" s="1"/>
  <c r="G371" i="27" s="1"/>
  <c r="G372" i="27" s="1"/>
  <c r="G373" i="27" s="1"/>
  <c r="G363" i="27"/>
  <c r="G362" i="27"/>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7" i="27"/>
  <c r="G268" i="27" s="1"/>
  <c r="G269" i="27" s="1"/>
  <c r="G270" i="27" s="1"/>
  <c r="G271" i="27" s="1"/>
  <c r="G272" i="27" s="1"/>
  <c r="G273" i="27" s="1"/>
  <c r="G274" i="27" s="1"/>
  <c r="G275" i="27" s="1"/>
  <c r="G276" i="27" s="1"/>
  <c r="G277" i="27" s="1"/>
  <c r="G266" i="27"/>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F147" i="27"/>
  <c r="F148" i="27" s="1"/>
  <c r="F149" i="27" s="1"/>
  <c r="F150" i="27" s="1"/>
  <c r="F151" i="27" s="1"/>
  <c r="F152" i="27" s="1"/>
  <c r="F153" i="27" s="1"/>
  <c r="F154" i="27" s="1"/>
  <c r="F155" i="27" s="1"/>
  <c r="F156" i="27" s="1"/>
  <c r="F157" i="27" s="1"/>
  <c r="G146" i="27"/>
  <c r="G147" i="27" s="1"/>
  <c r="G148" i="27" s="1"/>
  <c r="G149" i="27" s="1"/>
  <c r="G150" i="27" s="1"/>
  <c r="G151" i="27" s="1"/>
  <c r="G152" i="27" s="1"/>
  <c r="G153" i="27" s="1"/>
  <c r="G154" i="27" s="1"/>
  <c r="G155" i="27" s="1"/>
  <c r="G156" i="27" s="1"/>
  <c r="G157" i="27" s="1"/>
  <c r="F146" i="27"/>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F195" i="27"/>
  <c r="F196" i="27" s="1"/>
  <c r="F197" i="27" s="1"/>
  <c r="F198" i="27" s="1"/>
  <c r="F199" i="27" s="1"/>
  <c r="F200" i="27" s="1"/>
  <c r="F201" i="27" s="1"/>
  <c r="F202" i="27" s="1"/>
  <c r="F203" i="27" s="1"/>
  <c r="F204" i="27" s="1"/>
  <c r="F205" i="27" s="1"/>
  <c r="G194" i="27"/>
  <c r="G195" i="27" s="1"/>
  <c r="G196" i="27" s="1"/>
  <c r="G197" i="27" s="1"/>
  <c r="G198" i="27" s="1"/>
  <c r="G199" i="27" s="1"/>
  <c r="G200" i="27" s="1"/>
  <c r="G201" i="27" s="1"/>
  <c r="G202" i="27" s="1"/>
  <c r="G203" i="27" s="1"/>
  <c r="G204" i="27" s="1"/>
  <c r="G205" i="27" s="1"/>
  <c r="F194" i="27"/>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F99" i="27"/>
  <c r="F100" i="27" s="1"/>
  <c r="F101" i="27" s="1"/>
  <c r="F102" i="27" s="1"/>
  <c r="F103" i="27" s="1"/>
  <c r="F104" i="27" s="1"/>
  <c r="F105" i="27" s="1"/>
  <c r="F106" i="27" s="1"/>
  <c r="F107" i="27" s="1"/>
  <c r="F108" i="27" s="1"/>
  <c r="F109" i="27" s="1"/>
  <c r="G98" i="27"/>
  <c r="G99" i="27" s="1"/>
  <c r="G100" i="27" s="1"/>
  <c r="G101" i="27" s="1"/>
  <c r="G102" i="27" s="1"/>
  <c r="G103" i="27" s="1"/>
  <c r="G104" i="27" s="1"/>
  <c r="G105" i="27" s="1"/>
  <c r="G106" i="27" s="1"/>
  <c r="G107" i="27" s="1"/>
  <c r="G108" i="27" s="1"/>
  <c r="G109" i="27" s="1"/>
  <c r="F98" i="27"/>
  <c r="F87" i="27"/>
  <c r="F88" i="27" s="1"/>
  <c r="F89" i="27" s="1"/>
  <c r="F90" i="27" s="1"/>
  <c r="F91" i="27" s="1"/>
  <c r="F92" i="27" s="1"/>
  <c r="F93" i="27" s="1"/>
  <c r="F94" i="27" s="1"/>
  <c r="F95" i="27" s="1"/>
  <c r="F96" i="27" s="1"/>
  <c r="F97" i="27" s="1"/>
  <c r="G86" i="27"/>
  <c r="G87" i="27" s="1"/>
  <c r="G88" i="27" s="1"/>
  <c r="G89" i="27" s="1"/>
  <c r="G90" i="27" s="1"/>
  <c r="G91" i="27" s="1"/>
  <c r="G92" i="27" s="1"/>
  <c r="G93" i="27" s="1"/>
  <c r="G94" i="27" s="1"/>
  <c r="G95" i="27" s="1"/>
  <c r="G96" i="27" s="1"/>
  <c r="G97" i="27" s="1"/>
  <c r="F86" i="27"/>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F75" i="27"/>
  <c r="F76" i="27" s="1"/>
  <c r="F77" i="27" s="1"/>
  <c r="F78" i="27" s="1"/>
  <c r="F79" i="27" s="1"/>
  <c r="F80" i="27" s="1"/>
  <c r="F81" i="27" s="1"/>
  <c r="F82" i="27" s="1"/>
  <c r="F83" i="27" s="1"/>
  <c r="F84" i="27" s="1"/>
  <c r="F85" i="27" s="1"/>
  <c r="G74" i="27"/>
  <c r="G75" i="27" s="1"/>
  <c r="G76" i="27" s="1"/>
  <c r="G77" i="27" s="1"/>
  <c r="G78" i="27" s="1"/>
  <c r="G79" i="27" s="1"/>
  <c r="G80" i="27" s="1"/>
  <c r="G81" i="27" s="1"/>
  <c r="G82" i="27" s="1"/>
  <c r="G83" i="27" s="1"/>
  <c r="G84" i="27" s="1"/>
  <c r="G85" i="27" s="1"/>
  <c r="F74" i="27"/>
  <c r="F51" i="27"/>
  <c r="F52" i="27" s="1"/>
  <c r="F53" i="27" s="1"/>
  <c r="F54" i="27" s="1"/>
  <c r="F55" i="27" s="1"/>
  <c r="F56" i="27" s="1"/>
  <c r="F57" i="27" s="1"/>
  <c r="F58" i="27" s="1"/>
  <c r="F59" i="27" s="1"/>
  <c r="F60" i="27" s="1"/>
  <c r="F61" i="27" s="1"/>
  <c r="G50" i="27"/>
  <c r="G51" i="27" s="1"/>
  <c r="G52" i="27" s="1"/>
  <c r="G53" i="27" s="1"/>
  <c r="G54" i="27" s="1"/>
  <c r="G55" i="27" s="1"/>
  <c r="G56" i="27" s="1"/>
  <c r="G57" i="27" s="1"/>
  <c r="G58" i="27" s="1"/>
  <c r="G59" i="27" s="1"/>
  <c r="G60" i="27" s="1"/>
  <c r="G61" i="27" s="1"/>
  <c r="F50" i="27"/>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F135" i="27"/>
  <c r="F136" i="27" s="1"/>
  <c r="F137" i="27" s="1"/>
  <c r="F138" i="27" s="1"/>
  <c r="F139" i="27" s="1"/>
  <c r="F140" i="27" s="1"/>
  <c r="F141" i="27" s="1"/>
  <c r="F142" i="27" s="1"/>
  <c r="F143" i="27" s="1"/>
  <c r="F144" i="27" s="1"/>
  <c r="F145" i="27" s="1"/>
  <c r="G134" i="27"/>
  <c r="G135" i="27" s="1"/>
  <c r="G136" i="27" s="1"/>
  <c r="G137" i="27" s="1"/>
  <c r="G138" i="27" s="1"/>
  <c r="G139" i="27" s="1"/>
  <c r="G140" i="27" s="1"/>
  <c r="G141" i="27" s="1"/>
  <c r="G142" i="27" s="1"/>
  <c r="G143" i="27" s="1"/>
  <c r="G144" i="27" s="1"/>
  <c r="G145" i="27" s="1"/>
  <c r="F134" i="27"/>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9" i="5"/>
  <c r="L38" i="5"/>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14" i="5"/>
  <c r="M15" i="5" s="1"/>
  <c r="M16" i="5" s="1"/>
  <c r="M17" i="5" s="1"/>
  <c r="M18" i="5" s="1"/>
  <c r="M19" i="5" s="1"/>
  <c r="M20" i="5" s="1"/>
  <c r="M21" i="5" s="1"/>
  <c r="M22" i="5" s="1"/>
  <c r="M23" i="5" s="1"/>
  <c r="M24" i="5" s="1"/>
  <c r="M25" i="5" s="1"/>
  <c r="M2" i="5"/>
  <c r="M3" i="5" s="1"/>
  <c r="M4" i="5" s="1"/>
  <c r="M5" i="5" s="1"/>
  <c r="M6" i="5" s="1"/>
  <c r="M7" i="5" s="1"/>
  <c r="M8" i="5" s="1"/>
  <c r="M9" i="5" s="1"/>
  <c r="M10" i="5" s="1"/>
  <c r="M11" i="5" s="1"/>
  <c r="M12" i="5" s="1"/>
  <c r="M13" i="5" s="1"/>
  <c r="L14" i="5"/>
  <c r="L2" i="5"/>
  <c r="L15" i="5" l="1"/>
  <c r="L16" i="5" s="1"/>
  <c r="L17" i="5" s="1"/>
  <c r="L18" i="5" s="1"/>
  <c r="L19" i="5" s="1"/>
  <c r="L20" i="5" s="1"/>
  <c r="L21" i="5" s="1"/>
  <c r="L22" i="5" s="1"/>
  <c r="L23" i="5" s="1"/>
  <c r="L24" i="5" s="1"/>
  <c r="L25" i="5" s="1"/>
  <c r="L640" i="5"/>
  <c r="L641" i="5" s="1"/>
  <c r="L642" i="5" s="1"/>
  <c r="L643" i="5" s="1"/>
  <c r="L644" i="5" s="1"/>
  <c r="L645" i="5" s="1"/>
  <c r="L646" i="5" s="1"/>
  <c r="L647" i="5" s="1"/>
  <c r="L648" i="5" s="1"/>
  <c r="L649" i="5" s="1"/>
  <c r="L639" i="5"/>
  <c r="L627" i="5"/>
  <c r="L628" i="5"/>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c r="L557" i="5"/>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890" i="21" l="1"/>
  <c r="F890" i="21"/>
  <c r="E890" i="21"/>
  <c r="D890" i="21"/>
  <c r="G889" i="21"/>
  <c r="F889" i="21"/>
  <c r="E889" i="21"/>
  <c r="D889" i="21"/>
  <c r="G888" i="21"/>
  <c r="F888" i="21"/>
  <c r="E888" i="21"/>
  <c r="D888" i="21"/>
  <c r="G887" i="21"/>
  <c r="F887" i="21"/>
  <c r="E887" i="21"/>
  <c r="D887" i="21"/>
  <c r="G886" i="21"/>
  <c r="F886" i="21"/>
  <c r="E886" i="21"/>
  <c r="D886" i="21"/>
  <c r="G885" i="21"/>
  <c r="F885" i="21"/>
  <c r="E885" i="21"/>
  <c r="D885" i="21"/>
  <c r="G884" i="21"/>
  <c r="F884" i="21"/>
  <c r="E884" i="21"/>
  <c r="D884" i="21"/>
  <c r="G883" i="21"/>
  <c r="F883" i="21"/>
  <c r="E883" i="21"/>
  <c r="D883" i="21"/>
  <c r="G882" i="21"/>
  <c r="F882" i="21"/>
  <c r="E882" i="21"/>
  <c r="D882" i="21"/>
  <c r="G881" i="21"/>
  <c r="F881" i="21"/>
  <c r="E881" i="21"/>
  <c r="D881" i="21"/>
  <c r="G880" i="21"/>
  <c r="F880" i="21"/>
  <c r="E880" i="21"/>
  <c r="D880" i="21"/>
  <c r="G879" i="21"/>
  <c r="F879" i="21"/>
  <c r="E879" i="21"/>
  <c r="D879" i="21"/>
  <c r="G878" i="21"/>
  <c r="F878" i="21"/>
  <c r="E878" i="21"/>
  <c r="D878" i="21"/>
  <c r="G877" i="21"/>
  <c r="F877" i="21"/>
  <c r="E877" i="21"/>
  <c r="D877" i="21"/>
  <c r="G876" i="21"/>
  <c r="F876" i="21"/>
  <c r="E876" i="21"/>
  <c r="D876" i="21"/>
  <c r="G875" i="21"/>
  <c r="F875" i="21"/>
  <c r="E875" i="21"/>
  <c r="D875" i="21"/>
  <c r="G874" i="21"/>
  <c r="F874" i="21"/>
  <c r="E874" i="21"/>
  <c r="D874" i="21"/>
  <c r="G873" i="21"/>
  <c r="F873" i="21"/>
  <c r="E873" i="21"/>
  <c r="D873" i="21"/>
  <c r="G872" i="21"/>
  <c r="F872" i="21"/>
  <c r="E872" i="21"/>
  <c r="D872" i="21"/>
  <c r="G871" i="21"/>
  <c r="F871" i="21"/>
  <c r="E871" i="21"/>
  <c r="D871" i="21"/>
  <c r="G870" i="21"/>
  <c r="F870" i="21"/>
  <c r="E870" i="21"/>
  <c r="D870" i="21"/>
  <c r="G869" i="21"/>
  <c r="F869" i="21"/>
  <c r="E869" i="21"/>
  <c r="D869" i="21"/>
  <c r="G868" i="21"/>
  <c r="F868" i="21"/>
  <c r="E868" i="21"/>
  <c r="D868" i="21"/>
  <c r="G867" i="21"/>
  <c r="F867" i="21"/>
  <c r="E867" i="21"/>
  <c r="D867" i="21"/>
  <c r="G866" i="21"/>
  <c r="F866" i="21"/>
  <c r="E866" i="21"/>
  <c r="D866" i="21"/>
  <c r="G865" i="21"/>
  <c r="F865" i="21"/>
  <c r="E865" i="21"/>
  <c r="D865" i="21"/>
  <c r="G864" i="21"/>
  <c r="F864" i="21"/>
  <c r="E864" i="21"/>
  <c r="D864" i="21"/>
  <c r="G863" i="21"/>
  <c r="F863" i="21"/>
  <c r="E863" i="21"/>
  <c r="D863" i="21"/>
  <c r="G862" i="21"/>
  <c r="F862" i="21"/>
  <c r="E862" i="21"/>
  <c r="D862" i="21"/>
  <c r="G861" i="21"/>
  <c r="F861" i="21"/>
  <c r="E861" i="21"/>
  <c r="D861" i="21"/>
  <c r="G860" i="21"/>
  <c r="F860" i="21"/>
  <c r="E860" i="21"/>
  <c r="D860" i="21"/>
  <c r="G859" i="21"/>
  <c r="F859" i="21"/>
  <c r="E859" i="21"/>
  <c r="D859" i="21"/>
  <c r="G858" i="21"/>
  <c r="F858" i="21"/>
  <c r="E858" i="21"/>
  <c r="D858" i="21"/>
  <c r="G857" i="21"/>
  <c r="F857" i="21"/>
  <c r="E857" i="21"/>
  <c r="D857" i="21"/>
  <c r="G856" i="21"/>
  <c r="F856" i="21"/>
  <c r="E856" i="21"/>
  <c r="D856" i="21"/>
  <c r="G855" i="21"/>
  <c r="F855" i="21"/>
  <c r="E855" i="21"/>
  <c r="D855" i="21"/>
  <c r="G854" i="21"/>
  <c r="F854" i="21"/>
  <c r="E854" i="21"/>
  <c r="D854" i="21"/>
  <c r="G853" i="21"/>
  <c r="F853" i="21"/>
  <c r="E853" i="21"/>
  <c r="D853" i="21"/>
  <c r="G852" i="21"/>
  <c r="F852" i="21"/>
  <c r="E852" i="21"/>
  <c r="D852" i="21"/>
  <c r="G851" i="21"/>
  <c r="F851" i="21"/>
  <c r="E851" i="21"/>
  <c r="D851" i="21"/>
  <c r="G850" i="21"/>
  <c r="F850" i="21"/>
  <c r="E850" i="21"/>
  <c r="D850" i="21"/>
  <c r="G849" i="21"/>
  <c r="F849" i="21"/>
  <c r="E849" i="21"/>
  <c r="D849" i="21"/>
  <c r="G848" i="21"/>
  <c r="F848" i="21"/>
  <c r="E848" i="21"/>
  <c r="D848" i="21"/>
  <c r="G847" i="21"/>
  <c r="F847" i="21"/>
  <c r="E847" i="21"/>
  <c r="D847" i="21"/>
  <c r="G846" i="21"/>
  <c r="F846" i="21"/>
  <c r="E846" i="21"/>
  <c r="D846" i="21"/>
  <c r="G845" i="21"/>
  <c r="F845" i="21"/>
  <c r="E845" i="21"/>
  <c r="D845" i="21"/>
  <c r="G844" i="21"/>
  <c r="F844" i="21"/>
  <c r="E844" i="21"/>
  <c r="D844" i="21"/>
  <c r="G843" i="21"/>
  <c r="F843" i="21"/>
  <c r="E843" i="21"/>
  <c r="D843" i="21"/>
  <c r="G842" i="21"/>
  <c r="F842" i="21"/>
  <c r="E842" i="21"/>
  <c r="D842" i="21"/>
  <c r="G841" i="21"/>
  <c r="F841" i="21"/>
  <c r="E841" i="21"/>
  <c r="D841" i="21"/>
  <c r="G840" i="21"/>
  <c r="F840" i="21"/>
  <c r="E840" i="21"/>
  <c r="D840" i="21"/>
  <c r="G839" i="21"/>
  <c r="F839" i="21"/>
  <c r="E839" i="21"/>
  <c r="D839" i="21"/>
  <c r="G838" i="21"/>
  <c r="F838" i="21"/>
  <c r="E838" i="21"/>
  <c r="D838" i="21"/>
  <c r="G837" i="21"/>
  <c r="F837" i="21"/>
  <c r="E837" i="21"/>
  <c r="D837" i="21"/>
  <c r="G836" i="21"/>
  <c r="F836" i="21"/>
  <c r="E836" i="21"/>
  <c r="D836" i="21"/>
  <c r="G835" i="21"/>
  <c r="F835" i="21"/>
  <c r="E835" i="21"/>
  <c r="D835" i="21"/>
  <c r="G834" i="21"/>
  <c r="F834" i="21"/>
  <c r="E834" i="21"/>
  <c r="D834" i="21"/>
  <c r="G833" i="21"/>
  <c r="F833" i="21"/>
  <c r="E833" i="21"/>
  <c r="D833" i="21"/>
  <c r="G832" i="21"/>
  <c r="F832" i="21"/>
  <c r="E832" i="21"/>
  <c r="D832" i="21"/>
  <c r="G831" i="21"/>
  <c r="F831" i="21"/>
  <c r="E831" i="21"/>
  <c r="D831" i="21"/>
  <c r="G830" i="21"/>
  <c r="F830" i="21"/>
  <c r="E830" i="21"/>
  <c r="D830" i="21"/>
  <c r="G829" i="21"/>
  <c r="F829" i="21"/>
  <c r="E829" i="21"/>
  <c r="D829" i="21"/>
  <c r="G828" i="21"/>
  <c r="F828" i="21"/>
  <c r="E828" i="21"/>
  <c r="D828" i="21"/>
  <c r="G827" i="21"/>
  <c r="F827" i="21"/>
  <c r="E827" i="21"/>
  <c r="D827" i="21"/>
  <c r="G826" i="21"/>
  <c r="F826" i="21"/>
  <c r="E826" i="21"/>
  <c r="D826" i="21"/>
  <c r="G825" i="21"/>
  <c r="F825" i="21"/>
  <c r="E825" i="21"/>
  <c r="D825" i="21"/>
  <c r="G824" i="21"/>
  <c r="F824" i="21"/>
  <c r="E824" i="21"/>
  <c r="D824" i="21"/>
  <c r="G823" i="21"/>
  <c r="F823" i="21"/>
  <c r="E823" i="21"/>
  <c r="D823" i="21"/>
  <c r="G822" i="21"/>
  <c r="F822" i="21"/>
  <c r="E822" i="21"/>
  <c r="D822" i="21"/>
  <c r="G821" i="21"/>
  <c r="F821" i="21"/>
  <c r="E821" i="21"/>
  <c r="D821" i="21"/>
  <c r="G820" i="21"/>
  <c r="F820" i="21"/>
  <c r="E820" i="21"/>
  <c r="D820" i="21"/>
  <c r="G819" i="21"/>
  <c r="F819" i="21"/>
  <c r="E819" i="21"/>
  <c r="D819" i="21"/>
  <c r="G818" i="21"/>
  <c r="F818" i="21"/>
  <c r="E818" i="21"/>
  <c r="D818" i="21"/>
  <c r="G817" i="21"/>
  <c r="F817" i="21"/>
  <c r="E817" i="21"/>
  <c r="D817" i="21"/>
  <c r="G816" i="21"/>
  <c r="F816" i="21"/>
  <c r="E816" i="21"/>
  <c r="D816" i="21"/>
  <c r="G815" i="21"/>
  <c r="F815" i="21"/>
  <c r="E815" i="21"/>
  <c r="D815" i="21"/>
  <c r="G814" i="21"/>
  <c r="F814" i="21"/>
  <c r="E814" i="21"/>
  <c r="D814" i="21"/>
  <c r="G813" i="21"/>
  <c r="F813" i="21"/>
  <c r="E813" i="21"/>
  <c r="D813" i="21"/>
  <c r="G812" i="21"/>
  <c r="F812" i="21"/>
  <c r="E812" i="21"/>
  <c r="D812" i="21"/>
  <c r="G811" i="21"/>
  <c r="F811" i="21"/>
  <c r="E811" i="21"/>
  <c r="D811" i="21"/>
  <c r="G810" i="21"/>
  <c r="F810" i="21"/>
  <c r="E810" i="21"/>
  <c r="D810" i="21"/>
  <c r="G809" i="21"/>
  <c r="F809" i="21"/>
  <c r="E809" i="21"/>
  <c r="D809" i="21"/>
  <c r="G808" i="21"/>
  <c r="F808" i="21"/>
  <c r="E808" i="21"/>
  <c r="D808" i="21"/>
  <c r="G807" i="21"/>
  <c r="F807" i="21"/>
  <c r="E807" i="21"/>
  <c r="D807" i="21"/>
  <c r="G806" i="21"/>
  <c r="F806" i="21"/>
  <c r="E806" i="21"/>
  <c r="D806" i="21"/>
  <c r="G805" i="21"/>
  <c r="F805" i="21"/>
  <c r="E805" i="21"/>
  <c r="D805" i="21"/>
  <c r="G804" i="21"/>
  <c r="F804" i="21"/>
  <c r="E804" i="21"/>
  <c r="D804" i="21"/>
  <c r="G803" i="21"/>
  <c r="F803" i="21"/>
  <c r="E803" i="21"/>
  <c r="D803" i="21"/>
  <c r="G802" i="21"/>
  <c r="F802" i="21"/>
  <c r="E802" i="21"/>
  <c r="D802" i="21"/>
  <c r="G801" i="21"/>
  <c r="F801" i="21"/>
  <c r="E801" i="21"/>
  <c r="D801" i="21"/>
  <c r="G800" i="21"/>
  <c r="F800" i="21"/>
  <c r="E800" i="21"/>
  <c r="D800" i="21"/>
  <c r="G799" i="21"/>
  <c r="F799" i="21"/>
  <c r="E799" i="21"/>
  <c r="D799" i="21"/>
  <c r="G798" i="21"/>
  <c r="F798" i="21"/>
  <c r="E798" i="21"/>
  <c r="D798" i="21"/>
  <c r="G797" i="21"/>
  <c r="F797" i="21"/>
  <c r="E797" i="21"/>
  <c r="D797" i="21"/>
  <c r="G796" i="21"/>
  <c r="F796" i="21"/>
  <c r="E796" i="21"/>
  <c r="D796" i="21"/>
  <c r="G795" i="21"/>
  <c r="F795" i="21"/>
  <c r="E795" i="21"/>
  <c r="D795" i="21"/>
  <c r="G794" i="21"/>
  <c r="F794" i="21"/>
  <c r="E794" i="21"/>
  <c r="D794" i="21"/>
  <c r="G793" i="21"/>
  <c r="F793" i="21"/>
  <c r="E793" i="21"/>
  <c r="D793" i="21"/>
  <c r="G792" i="21"/>
  <c r="F792" i="21"/>
  <c r="E792" i="21"/>
  <c r="D792" i="21"/>
  <c r="G791" i="21"/>
  <c r="F791" i="21"/>
  <c r="E791" i="21"/>
  <c r="D791" i="21"/>
  <c r="G790" i="21"/>
  <c r="F790" i="21"/>
  <c r="E790" i="21"/>
  <c r="D790" i="21"/>
  <c r="G789" i="21"/>
  <c r="F789" i="21"/>
  <c r="E789" i="21"/>
  <c r="D789" i="21"/>
  <c r="G788" i="21"/>
  <c r="F788" i="21"/>
  <c r="E788" i="21"/>
  <c r="D788" i="21"/>
  <c r="G787" i="21"/>
  <c r="F787" i="21"/>
  <c r="E787" i="21"/>
  <c r="D787" i="21"/>
  <c r="G786" i="21"/>
  <c r="F786" i="21"/>
  <c r="E786" i="21"/>
  <c r="D786" i="21"/>
  <c r="G785" i="21"/>
  <c r="F785" i="21"/>
  <c r="E785" i="21"/>
  <c r="D785" i="21"/>
  <c r="G784" i="21"/>
  <c r="F784" i="21"/>
  <c r="E784" i="21"/>
  <c r="D784" i="21"/>
  <c r="G783" i="21"/>
  <c r="F783" i="21"/>
  <c r="E783" i="21"/>
  <c r="D783" i="21"/>
  <c r="G782" i="21"/>
  <c r="F782" i="21"/>
  <c r="E782" i="21"/>
  <c r="D782" i="21"/>
  <c r="G781" i="21"/>
  <c r="F781" i="21"/>
  <c r="E781" i="21"/>
  <c r="D781" i="21"/>
  <c r="G780" i="21"/>
  <c r="F780" i="21"/>
  <c r="E780" i="21"/>
  <c r="D780" i="21"/>
  <c r="G779" i="21"/>
  <c r="F779" i="21"/>
  <c r="E779" i="21"/>
  <c r="D779" i="21"/>
  <c r="G778" i="21"/>
  <c r="F778" i="21"/>
  <c r="E778" i="21"/>
  <c r="D778" i="21"/>
  <c r="G777" i="21"/>
  <c r="F777" i="21"/>
  <c r="E777" i="21"/>
  <c r="D777" i="21"/>
  <c r="G776" i="21"/>
  <c r="F776" i="21"/>
  <c r="E776" i="21"/>
  <c r="D776" i="21"/>
  <c r="G775" i="21"/>
  <c r="F775" i="21"/>
  <c r="E775" i="21"/>
  <c r="D775" i="21"/>
  <c r="G774" i="21"/>
  <c r="F774" i="21"/>
  <c r="E774" i="21"/>
  <c r="D774" i="21"/>
  <c r="G773" i="21"/>
  <c r="F773" i="21"/>
  <c r="E773" i="21"/>
  <c r="D773" i="21"/>
  <c r="G772" i="21"/>
  <c r="F772" i="21"/>
  <c r="E772" i="21"/>
  <c r="D772" i="21"/>
  <c r="G771" i="21"/>
  <c r="F771" i="21"/>
  <c r="E771" i="21"/>
  <c r="D771" i="21"/>
  <c r="G770" i="21"/>
  <c r="F770" i="21"/>
  <c r="E770" i="21"/>
  <c r="D770" i="21"/>
  <c r="G769" i="21"/>
  <c r="F769" i="21"/>
  <c r="E769" i="21"/>
  <c r="D769" i="21"/>
  <c r="G768" i="21"/>
  <c r="F768" i="21"/>
  <c r="E768" i="21"/>
  <c r="D768" i="21"/>
  <c r="G767" i="21"/>
  <c r="F767" i="21"/>
  <c r="E767" i="21"/>
  <c r="D767" i="21"/>
  <c r="G766" i="21"/>
  <c r="F766" i="21"/>
  <c r="E766" i="21"/>
  <c r="D766" i="21"/>
  <c r="G765" i="21"/>
  <c r="F765" i="21"/>
  <c r="E765" i="21"/>
  <c r="D765" i="21"/>
  <c r="G764" i="21"/>
  <c r="F764" i="21"/>
  <c r="E764" i="21"/>
  <c r="D764" i="21"/>
  <c r="G763" i="21"/>
  <c r="F763" i="21"/>
  <c r="E763" i="21"/>
  <c r="D763" i="21"/>
  <c r="G762" i="21"/>
  <c r="F762" i="21"/>
  <c r="E762" i="21"/>
  <c r="D762" i="21"/>
  <c r="G761" i="21"/>
  <c r="F761" i="21"/>
  <c r="E761" i="21"/>
  <c r="D761" i="21"/>
  <c r="G760" i="21"/>
  <c r="F760" i="21"/>
  <c r="E760" i="21"/>
  <c r="D760" i="21"/>
  <c r="G759" i="21"/>
  <c r="F759" i="21"/>
  <c r="E759" i="21"/>
  <c r="D759" i="21"/>
  <c r="G758" i="21"/>
  <c r="F758" i="21"/>
  <c r="E758" i="21"/>
  <c r="D758" i="21"/>
  <c r="G757" i="21"/>
  <c r="F757" i="21"/>
  <c r="E757" i="21"/>
  <c r="D757" i="21"/>
  <c r="G756" i="21"/>
  <c r="F756" i="21"/>
  <c r="E756" i="21"/>
  <c r="D756" i="21"/>
  <c r="G755" i="21"/>
  <c r="F755" i="21"/>
  <c r="E755" i="21"/>
  <c r="D755" i="21"/>
  <c r="G754" i="21"/>
  <c r="F754" i="21"/>
  <c r="E754" i="21"/>
  <c r="D754" i="21"/>
  <c r="G753" i="21"/>
  <c r="F753" i="21"/>
  <c r="E753" i="21"/>
  <c r="D753" i="21"/>
  <c r="G752" i="21"/>
  <c r="F752" i="21"/>
  <c r="E752" i="21"/>
  <c r="D752" i="21"/>
  <c r="G751" i="21"/>
  <c r="F751" i="21"/>
  <c r="E751" i="21"/>
  <c r="D751" i="21"/>
  <c r="G750" i="21"/>
  <c r="F750" i="21"/>
  <c r="E750" i="21"/>
  <c r="D750" i="21"/>
  <c r="G749" i="21"/>
  <c r="F749" i="21"/>
  <c r="E749" i="21"/>
  <c r="D749" i="21"/>
  <c r="G748" i="21"/>
  <c r="F748" i="21"/>
  <c r="E748" i="21"/>
  <c r="D748" i="21"/>
  <c r="G747" i="21"/>
  <c r="F747" i="21"/>
  <c r="E747" i="21"/>
  <c r="D747" i="21"/>
  <c r="G746" i="21"/>
  <c r="F746" i="21"/>
  <c r="E746" i="21"/>
  <c r="D746" i="21"/>
  <c r="G745" i="21"/>
  <c r="F745" i="21"/>
  <c r="E745" i="21"/>
  <c r="D745" i="21"/>
  <c r="G744" i="21"/>
  <c r="F744" i="21"/>
  <c r="E744" i="21"/>
  <c r="D744" i="21"/>
  <c r="G743" i="21"/>
  <c r="F743" i="21"/>
  <c r="E743" i="21"/>
  <c r="D743" i="21"/>
  <c r="G742" i="21"/>
  <c r="F742" i="21"/>
  <c r="E742" i="21"/>
  <c r="D742" i="21"/>
  <c r="G741" i="21"/>
  <c r="F741" i="21"/>
  <c r="E741" i="21"/>
  <c r="D741" i="21"/>
  <c r="G740" i="21"/>
  <c r="F740" i="21"/>
  <c r="E740" i="21"/>
  <c r="D740" i="21"/>
  <c r="G739" i="21"/>
  <c r="F739" i="21"/>
  <c r="E739" i="21"/>
  <c r="D739" i="21"/>
  <c r="G738" i="21"/>
  <c r="F738" i="21"/>
  <c r="E738" i="21"/>
  <c r="D738" i="21"/>
  <c r="G737" i="21"/>
  <c r="F737" i="21"/>
  <c r="E737" i="21"/>
  <c r="D737" i="21"/>
  <c r="G736" i="21"/>
  <c r="F736" i="21"/>
  <c r="E736" i="21"/>
  <c r="D736" i="21"/>
  <c r="G735" i="21"/>
  <c r="F735" i="21"/>
  <c r="E735" i="21"/>
  <c r="D735" i="21"/>
  <c r="G734" i="21"/>
  <c r="F734" i="21"/>
  <c r="E734" i="21"/>
  <c r="D734" i="21"/>
  <c r="G733" i="21"/>
  <c r="F733" i="21"/>
  <c r="E733" i="21"/>
  <c r="D733" i="21"/>
  <c r="G732" i="21"/>
  <c r="F732" i="21"/>
  <c r="E732" i="21"/>
  <c r="D732" i="21"/>
  <c r="G731" i="21"/>
  <c r="F731" i="21"/>
  <c r="E731" i="21"/>
  <c r="D731" i="21"/>
  <c r="G730" i="21"/>
  <c r="F730" i="21"/>
  <c r="E730" i="21"/>
  <c r="D730" i="21"/>
  <c r="G729" i="21"/>
  <c r="F729" i="21"/>
  <c r="E729" i="21"/>
  <c r="D729" i="21"/>
  <c r="G728" i="21"/>
  <c r="F728" i="21"/>
  <c r="E728" i="21"/>
  <c r="D728" i="21"/>
  <c r="G727" i="21"/>
  <c r="F727" i="21"/>
  <c r="E727" i="21"/>
  <c r="D727" i="21"/>
  <c r="G726" i="21"/>
  <c r="F726" i="21"/>
  <c r="E726" i="21"/>
  <c r="D726" i="21"/>
  <c r="G725" i="21"/>
  <c r="F725" i="21"/>
  <c r="E725" i="21"/>
  <c r="D725" i="21"/>
  <c r="G724" i="21"/>
  <c r="F724" i="21"/>
  <c r="E724" i="21"/>
  <c r="D724" i="21"/>
  <c r="G723" i="21"/>
  <c r="F723" i="21"/>
  <c r="E723" i="21"/>
  <c r="D723" i="21"/>
  <c r="G722" i="21"/>
  <c r="F722" i="21"/>
  <c r="E722" i="21"/>
  <c r="D722" i="21"/>
  <c r="G721" i="21"/>
  <c r="F721" i="21"/>
  <c r="E721" i="21"/>
  <c r="D721" i="21"/>
  <c r="G720" i="21"/>
  <c r="F720" i="21"/>
  <c r="E720" i="21"/>
  <c r="D720" i="21"/>
  <c r="G719" i="21"/>
  <c r="F719" i="21"/>
  <c r="E719" i="21"/>
  <c r="D719" i="21"/>
  <c r="G718" i="21"/>
  <c r="F718" i="21"/>
  <c r="E718" i="21"/>
  <c r="D718" i="21"/>
  <c r="G717" i="21"/>
  <c r="F717" i="21"/>
  <c r="E717" i="21"/>
  <c r="D717" i="21"/>
  <c r="G716" i="21"/>
  <c r="F716" i="21"/>
  <c r="E716" i="21"/>
  <c r="D716" i="21"/>
  <c r="G715" i="21"/>
  <c r="F715" i="21"/>
  <c r="E715" i="21"/>
  <c r="D715" i="21"/>
  <c r="G714" i="21"/>
  <c r="F714" i="21"/>
  <c r="E714" i="21"/>
  <c r="D714" i="21"/>
  <c r="G713" i="21"/>
  <c r="F713" i="21"/>
  <c r="E713" i="21"/>
  <c r="D713" i="21"/>
  <c r="G712" i="21"/>
  <c r="F712" i="21"/>
  <c r="E712" i="21"/>
  <c r="D712" i="21"/>
  <c r="G711" i="21"/>
  <c r="F711" i="21"/>
  <c r="E711" i="21"/>
  <c r="D711" i="21"/>
  <c r="G710" i="21"/>
  <c r="F710" i="21"/>
  <c r="E710" i="21"/>
  <c r="D710" i="21"/>
  <c r="G709" i="21"/>
  <c r="F709" i="21"/>
  <c r="E709" i="21"/>
  <c r="D709" i="21"/>
  <c r="G708" i="21"/>
  <c r="F708" i="21"/>
  <c r="E708" i="21"/>
  <c r="D708" i="21"/>
  <c r="G707" i="21"/>
  <c r="F707" i="21"/>
  <c r="E707" i="21"/>
  <c r="D707" i="21"/>
  <c r="G706" i="21"/>
  <c r="F706" i="21"/>
  <c r="E706" i="21"/>
  <c r="D706" i="21"/>
  <c r="G705" i="21"/>
  <c r="F705" i="21"/>
  <c r="E705" i="21"/>
  <c r="D705" i="21"/>
  <c r="G704" i="21"/>
  <c r="F704" i="21"/>
  <c r="E704" i="21"/>
  <c r="D704" i="21"/>
  <c r="G703" i="21"/>
  <c r="F703" i="21"/>
  <c r="E703" i="21"/>
  <c r="D703" i="21"/>
  <c r="G702" i="21"/>
  <c r="F702" i="21"/>
  <c r="E702" i="21"/>
  <c r="D702" i="21"/>
  <c r="G701" i="21"/>
  <c r="F701" i="21"/>
  <c r="E701" i="21"/>
  <c r="D701" i="21"/>
  <c r="G700" i="21"/>
  <c r="F700" i="21"/>
  <c r="E700" i="21"/>
  <c r="D700" i="21"/>
  <c r="G699" i="21"/>
  <c r="F699" i="21"/>
  <c r="E699" i="21"/>
  <c r="D699" i="21"/>
  <c r="G698" i="21"/>
  <c r="F698" i="21"/>
  <c r="E698" i="21"/>
  <c r="D698" i="21"/>
  <c r="G697" i="21"/>
  <c r="F697" i="21"/>
  <c r="E697" i="21"/>
  <c r="D697" i="21"/>
  <c r="G696" i="21"/>
  <c r="F696" i="21"/>
  <c r="E696" i="21"/>
  <c r="D696" i="21"/>
  <c r="G695" i="21"/>
  <c r="F695" i="21"/>
  <c r="E695" i="21"/>
  <c r="D695" i="21"/>
  <c r="G694" i="21"/>
  <c r="F694" i="21"/>
  <c r="E694" i="21"/>
  <c r="D694" i="21"/>
  <c r="G693" i="21"/>
  <c r="F693" i="21"/>
  <c r="E693" i="21"/>
  <c r="D693" i="21"/>
  <c r="G692" i="21"/>
  <c r="F692" i="21"/>
  <c r="E692" i="21"/>
  <c r="D692" i="21"/>
  <c r="G691" i="21"/>
  <c r="F691" i="21"/>
  <c r="E691" i="21"/>
  <c r="D691" i="21"/>
  <c r="G690" i="21"/>
  <c r="F690" i="21"/>
  <c r="E690" i="21"/>
  <c r="D690" i="21"/>
  <c r="G689" i="21"/>
  <c r="F689" i="21"/>
  <c r="E689" i="21"/>
  <c r="D689" i="21"/>
  <c r="G688" i="21"/>
  <c r="F688" i="21"/>
  <c r="E688" i="21"/>
  <c r="D688" i="21"/>
  <c r="G687" i="21"/>
  <c r="F687" i="21"/>
  <c r="E687" i="21"/>
  <c r="D687" i="21"/>
  <c r="G686" i="21"/>
  <c r="F686" i="21"/>
  <c r="E686" i="21"/>
  <c r="D686" i="21"/>
  <c r="G685" i="21"/>
  <c r="F685" i="21"/>
  <c r="E685" i="21"/>
  <c r="D685" i="21"/>
  <c r="G684" i="21"/>
  <c r="F684" i="21"/>
  <c r="E684" i="21"/>
  <c r="D684" i="21"/>
  <c r="G683" i="21"/>
  <c r="F683" i="21"/>
  <c r="E683" i="21"/>
  <c r="D683" i="21"/>
  <c r="G682" i="21"/>
  <c r="F682" i="21"/>
  <c r="E682" i="21"/>
  <c r="D682" i="21"/>
  <c r="G681" i="21"/>
  <c r="F681" i="21"/>
  <c r="E681" i="21"/>
  <c r="D681" i="21"/>
  <c r="G680" i="21"/>
  <c r="F680" i="21"/>
  <c r="E680" i="21"/>
  <c r="D680" i="21"/>
  <c r="G679" i="21"/>
  <c r="F679" i="21"/>
  <c r="E679" i="21"/>
  <c r="D679" i="21"/>
  <c r="G678" i="21"/>
  <c r="F678" i="21"/>
  <c r="E678" i="21"/>
  <c r="D678" i="21"/>
  <c r="G677" i="21"/>
  <c r="F677" i="21"/>
  <c r="E677" i="21"/>
  <c r="D677" i="21"/>
  <c r="G676" i="21"/>
  <c r="F676" i="21"/>
  <c r="E676" i="21"/>
  <c r="D676" i="21"/>
  <c r="G675" i="21"/>
  <c r="F675" i="21"/>
  <c r="E675" i="21"/>
  <c r="D675" i="21"/>
  <c r="G674" i="21"/>
  <c r="F674" i="21"/>
  <c r="E674" i="21"/>
  <c r="D674" i="21"/>
  <c r="G673" i="21"/>
  <c r="F673" i="21"/>
  <c r="E673" i="21"/>
  <c r="D673" i="21"/>
  <c r="G672" i="21"/>
  <c r="F672" i="21"/>
  <c r="E672" i="21"/>
  <c r="D672" i="21"/>
  <c r="G671" i="21"/>
  <c r="F671" i="21"/>
  <c r="E671" i="21"/>
  <c r="D671" i="21"/>
  <c r="G670" i="21"/>
  <c r="F670" i="21"/>
  <c r="E670" i="21"/>
  <c r="D670" i="21"/>
  <c r="G669" i="21"/>
  <c r="F669" i="21"/>
  <c r="E669" i="21"/>
  <c r="D669" i="21"/>
  <c r="G668" i="21"/>
  <c r="F668" i="21"/>
  <c r="E668" i="21"/>
  <c r="D668" i="21"/>
  <c r="G667" i="21"/>
  <c r="F667" i="21"/>
  <c r="E667" i="21"/>
  <c r="D667" i="21"/>
  <c r="G666" i="21"/>
  <c r="F666" i="21"/>
  <c r="E666" i="21"/>
  <c r="D666" i="21"/>
  <c r="G665" i="21"/>
  <c r="F665" i="21"/>
  <c r="E665" i="21"/>
  <c r="D665" i="21"/>
  <c r="G664" i="21"/>
  <c r="F664" i="21"/>
  <c r="E664" i="21"/>
  <c r="D664" i="21"/>
  <c r="G663" i="21"/>
  <c r="F663" i="21"/>
  <c r="E663" i="21"/>
  <c r="D663" i="21"/>
  <c r="G662" i="21"/>
  <c r="F662" i="21"/>
  <c r="E662" i="21"/>
  <c r="D662" i="21"/>
  <c r="G661" i="21"/>
  <c r="F661" i="21"/>
  <c r="E661" i="21"/>
  <c r="D661" i="21"/>
  <c r="G660" i="21"/>
  <c r="F660" i="21"/>
  <c r="E660" i="21"/>
  <c r="D660" i="21"/>
  <c r="G659" i="21"/>
  <c r="F659" i="21"/>
  <c r="E659" i="21"/>
  <c r="D659" i="21"/>
  <c r="G658" i="21"/>
  <c r="F658" i="21"/>
  <c r="E658" i="21"/>
  <c r="D658" i="21"/>
  <c r="G657" i="21"/>
  <c r="F657" i="21"/>
  <c r="E657" i="21"/>
  <c r="D657" i="21"/>
  <c r="G656" i="21"/>
  <c r="F656" i="21"/>
  <c r="E656" i="21"/>
  <c r="D656" i="21"/>
  <c r="G655" i="21"/>
  <c r="F655" i="21"/>
  <c r="E655" i="21"/>
  <c r="D655" i="21"/>
  <c r="G654" i="21"/>
  <c r="F654" i="21"/>
  <c r="E654" i="21"/>
  <c r="D654" i="21"/>
  <c r="G653" i="21"/>
  <c r="F653" i="21"/>
  <c r="E653" i="21"/>
  <c r="D653" i="21"/>
  <c r="G652" i="21"/>
  <c r="F652" i="21"/>
  <c r="E652" i="21"/>
  <c r="D652" i="21"/>
  <c r="G651" i="21"/>
  <c r="F651" i="21"/>
  <c r="E651" i="21"/>
  <c r="D651" i="21"/>
  <c r="G650" i="21"/>
  <c r="F650" i="21"/>
  <c r="E650" i="21"/>
  <c r="D650" i="21"/>
  <c r="G649" i="21"/>
  <c r="F649" i="21"/>
  <c r="E649" i="21"/>
  <c r="D649" i="21"/>
  <c r="G648" i="21"/>
  <c r="F648" i="21"/>
  <c r="E648" i="21"/>
  <c r="D648" i="21"/>
  <c r="G647" i="21"/>
  <c r="F647" i="21"/>
  <c r="E647" i="21"/>
  <c r="D647" i="21"/>
  <c r="G646" i="21"/>
  <c r="F646" i="21"/>
  <c r="E646" i="21"/>
  <c r="D646" i="21"/>
  <c r="G645" i="21"/>
  <c r="F645" i="21"/>
  <c r="E645" i="21"/>
  <c r="D645" i="21"/>
  <c r="G644" i="21"/>
  <c r="F644" i="21"/>
  <c r="E644" i="21"/>
  <c r="D644" i="21"/>
  <c r="G643" i="21"/>
  <c r="F643" i="21"/>
  <c r="E643" i="21"/>
  <c r="D643" i="21"/>
  <c r="G642" i="21"/>
  <c r="F642" i="21"/>
  <c r="E642" i="21"/>
  <c r="D642" i="21"/>
  <c r="G641" i="21"/>
  <c r="F641" i="21"/>
  <c r="E641" i="21"/>
  <c r="D641" i="21"/>
  <c r="G640" i="21"/>
  <c r="F640" i="21"/>
  <c r="E640" i="21"/>
  <c r="D640" i="21"/>
  <c r="G639" i="21"/>
  <c r="F639" i="21"/>
  <c r="E639" i="21"/>
  <c r="D639" i="21"/>
  <c r="G638" i="21"/>
  <c r="F638" i="21"/>
  <c r="E638" i="21"/>
  <c r="D638" i="21"/>
  <c r="G637" i="21"/>
  <c r="F637" i="21"/>
  <c r="E637" i="21"/>
  <c r="D637" i="21"/>
  <c r="G636" i="21"/>
  <c r="F636" i="21"/>
  <c r="E636" i="21"/>
  <c r="D636" i="21"/>
  <c r="G635" i="21"/>
  <c r="F635" i="21"/>
  <c r="E635" i="21"/>
  <c r="D635" i="21"/>
  <c r="G634" i="21"/>
  <c r="F634" i="21"/>
  <c r="E634" i="21"/>
  <c r="D634" i="21"/>
  <c r="G633" i="21"/>
  <c r="F633" i="21"/>
  <c r="E633" i="21"/>
  <c r="D633" i="21"/>
  <c r="G632" i="21"/>
  <c r="F632" i="21"/>
  <c r="E632" i="21"/>
  <c r="D632" i="21"/>
  <c r="G631" i="21"/>
  <c r="F631" i="21"/>
  <c r="E631" i="21"/>
  <c r="D631" i="21"/>
  <c r="G630" i="21"/>
  <c r="F630" i="21"/>
  <c r="E630" i="21"/>
  <c r="D630" i="21"/>
  <c r="G629" i="21"/>
  <c r="F629" i="21"/>
  <c r="E629" i="21"/>
  <c r="D629" i="21"/>
  <c r="G628" i="21"/>
  <c r="F628" i="21"/>
  <c r="E628" i="21"/>
  <c r="D628" i="21"/>
  <c r="G627" i="21"/>
  <c r="F627" i="21"/>
  <c r="E627" i="21"/>
  <c r="D627" i="21"/>
  <c r="G626" i="21"/>
  <c r="F626" i="21"/>
  <c r="E626" i="21"/>
  <c r="D626" i="21"/>
  <c r="G625" i="21"/>
  <c r="F625" i="21"/>
  <c r="E625" i="21"/>
  <c r="D625" i="21"/>
  <c r="G624" i="21"/>
  <c r="F624" i="21"/>
  <c r="E624" i="21"/>
  <c r="D624" i="21"/>
  <c r="G623" i="21"/>
  <c r="F623" i="21"/>
  <c r="E623" i="21"/>
  <c r="D623" i="21"/>
  <c r="G622" i="21"/>
  <c r="F622" i="21"/>
  <c r="E622" i="21"/>
  <c r="D622" i="21"/>
  <c r="G621" i="21"/>
  <c r="F621" i="21"/>
  <c r="E621" i="21"/>
  <c r="D621" i="21"/>
  <c r="G620" i="21"/>
  <c r="F620" i="21"/>
  <c r="E620" i="21"/>
  <c r="D620" i="21"/>
  <c r="G619" i="21"/>
  <c r="F619" i="21"/>
  <c r="E619" i="21"/>
  <c r="D619" i="21"/>
  <c r="G618" i="21"/>
  <c r="F618" i="21"/>
  <c r="E618" i="21"/>
  <c r="D618" i="21"/>
  <c r="G617" i="21"/>
  <c r="F617" i="21"/>
  <c r="E617" i="21"/>
  <c r="D617" i="21"/>
  <c r="G616" i="21"/>
  <c r="F616" i="21"/>
  <c r="E616" i="21"/>
  <c r="D616" i="21"/>
  <c r="G615" i="21"/>
  <c r="F615" i="21"/>
  <c r="E615" i="21"/>
  <c r="D615" i="21"/>
  <c r="G614" i="21"/>
  <c r="F614" i="21"/>
  <c r="E614" i="21"/>
  <c r="D614" i="21"/>
  <c r="G613" i="21"/>
  <c r="F613" i="21"/>
  <c r="E613" i="21"/>
  <c r="D613" i="21"/>
  <c r="G612" i="21"/>
  <c r="F612" i="21"/>
  <c r="E612" i="21"/>
  <c r="D612" i="21"/>
  <c r="G611" i="21"/>
  <c r="F611" i="21"/>
  <c r="E611" i="21"/>
  <c r="D611" i="21"/>
  <c r="G610" i="21"/>
  <c r="F610" i="21"/>
  <c r="E610" i="21"/>
  <c r="D610" i="21"/>
  <c r="G609" i="21"/>
  <c r="F609" i="21"/>
  <c r="E609" i="21"/>
  <c r="D609" i="21"/>
  <c r="G608" i="21"/>
  <c r="F608" i="21"/>
  <c r="E608" i="21"/>
  <c r="D608" i="21"/>
  <c r="G607" i="21"/>
  <c r="F607" i="21"/>
  <c r="E607" i="21"/>
  <c r="D607" i="21"/>
  <c r="G606" i="21"/>
  <c r="F606" i="21"/>
  <c r="E606" i="21"/>
  <c r="D606" i="21"/>
  <c r="G605" i="21"/>
  <c r="F605" i="21"/>
  <c r="E605" i="21"/>
  <c r="D605" i="21"/>
  <c r="G604" i="21"/>
  <c r="F604" i="21"/>
  <c r="E604" i="21"/>
  <c r="D604" i="21"/>
  <c r="G603" i="21"/>
  <c r="F603" i="21"/>
  <c r="E603" i="21"/>
  <c r="D603" i="21"/>
  <c r="G602" i="21"/>
  <c r="F602" i="21"/>
  <c r="E602" i="21"/>
  <c r="D602" i="21"/>
  <c r="G601" i="21"/>
  <c r="F601" i="21"/>
  <c r="E601" i="21"/>
  <c r="D601" i="21"/>
  <c r="G600" i="21"/>
  <c r="F600" i="21"/>
  <c r="E600" i="21"/>
  <c r="D600" i="21"/>
  <c r="G599" i="21"/>
  <c r="F599" i="21"/>
  <c r="E599" i="21"/>
  <c r="D599" i="21"/>
  <c r="G598" i="21"/>
  <c r="F598" i="21"/>
  <c r="E598" i="21"/>
  <c r="D598" i="21"/>
  <c r="G597" i="21"/>
  <c r="F597" i="21"/>
  <c r="E597" i="21"/>
  <c r="D597" i="21"/>
  <c r="G596" i="21"/>
  <c r="F596" i="21"/>
  <c r="E596" i="21"/>
  <c r="D596" i="21"/>
  <c r="G595" i="21"/>
  <c r="F595" i="21"/>
  <c r="E595" i="21"/>
  <c r="D595" i="21"/>
  <c r="G594" i="21"/>
  <c r="F594" i="21"/>
  <c r="E594" i="21"/>
  <c r="D594" i="21"/>
  <c r="G593" i="21"/>
  <c r="F593" i="21"/>
  <c r="E593" i="21"/>
  <c r="D593" i="21"/>
  <c r="G592" i="21"/>
  <c r="F592" i="21"/>
  <c r="E592" i="21"/>
  <c r="D592" i="21"/>
  <c r="G591" i="21"/>
  <c r="F591" i="21"/>
  <c r="E591" i="21"/>
  <c r="D591" i="21"/>
  <c r="G590" i="21"/>
  <c r="F590" i="21"/>
  <c r="E590" i="21"/>
  <c r="D590" i="21"/>
  <c r="G589" i="21"/>
  <c r="F589" i="21"/>
  <c r="E589" i="21"/>
  <c r="D589" i="21"/>
  <c r="G588" i="21"/>
  <c r="F588" i="21"/>
  <c r="E588" i="21"/>
  <c r="D588" i="21"/>
  <c r="G587" i="21"/>
  <c r="F587" i="21"/>
  <c r="E587" i="21"/>
  <c r="D587" i="21"/>
  <c r="G586" i="21"/>
  <c r="F586" i="21"/>
  <c r="E586" i="21"/>
  <c r="D586" i="21"/>
  <c r="G585" i="21"/>
  <c r="F585" i="21"/>
  <c r="E585" i="21"/>
  <c r="D585" i="21"/>
  <c r="G584" i="21"/>
  <c r="F584" i="21"/>
  <c r="E584" i="21"/>
  <c r="D584" i="21"/>
  <c r="G583" i="21"/>
  <c r="F583" i="21"/>
  <c r="E583" i="21"/>
  <c r="D583" i="21"/>
  <c r="G582" i="21"/>
  <c r="F582" i="21"/>
  <c r="E582" i="21"/>
  <c r="D582" i="21"/>
  <c r="G581" i="21"/>
  <c r="F581" i="21"/>
  <c r="E581" i="21"/>
  <c r="D581" i="21"/>
  <c r="G580" i="21"/>
  <c r="F580" i="21"/>
  <c r="E580" i="21"/>
  <c r="D580" i="21"/>
  <c r="G579" i="21"/>
  <c r="F579" i="21"/>
  <c r="E579" i="21"/>
  <c r="D579" i="21"/>
  <c r="G578" i="21"/>
  <c r="F578" i="21"/>
  <c r="E578" i="21"/>
  <c r="D578" i="21"/>
  <c r="G577" i="21"/>
  <c r="F577" i="21"/>
  <c r="E577" i="21"/>
  <c r="D577" i="21"/>
  <c r="G576" i="21"/>
  <c r="F576" i="21"/>
  <c r="E576" i="21"/>
  <c r="D576" i="21"/>
  <c r="G575" i="21"/>
  <c r="F575" i="21"/>
  <c r="E575" i="21"/>
  <c r="D575" i="21"/>
  <c r="G574" i="21"/>
  <c r="F574" i="21"/>
  <c r="E574" i="21"/>
  <c r="D574" i="21"/>
  <c r="G573" i="21"/>
  <c r="F573" i="21"/>
  <c r="E573" i="21"/>
  <c r="D573" i="21"/>
  <c r="G572" i="21"/>
  <c r="F572" i="21"/>
  <c r="E572" i="21"/>
  <c r="D572" i="21"/>
  <c r="G571" i="21"/>
  <c r="F571" i="21"/>
  <c r="E571" i="21"/>
  <c r="D571" i="21"/>
  <c r="G570" i="21"/>
  <c r="F570" i="21"/>
  <c r="E570" i="21"/>
  <c r="D570" i="21"/>
  <c r="G569" i="21"/>
  <c r="F569" i="21"/>
  <c r="E569" i="21"/>
  <c r="D569" i="21"/>
  <c r="G568" i="21"/>
  <c r="F568" i="21"/>
  <c r="E568" i="21"/>
  <c r="D568" i="21"/>
  <c r="G567" i="21"/>
  <c r="F567" i="21"/>
  <c r="E567" i="21"/>
  <c r="D567" i="21"/>
  <c r="G566" i="21"/>
  <c r="F566" i="21"/>
  <c r="E566" i="21"/>
  <c r="D566" i="21"/>
  <c r="G565" i="21"/>
  <c r="F565" i="21"/>
  <c r="E565" i="21"/>
  <c r="D565" i="21"/>
  <c r="G564" i="21"/>
  <c r="F564" i="21"/>
  <c r="E564" i="21"/>
  <c r="D564" i="21"/>
  <c r="G563" i="21"/>
  <c r="F563" i="21"/>
  <c r="E563" i="21"/>
  <c r="D563" i="21"/>
  <c r="G562" i="21"/>
  <c r="F562" i="21"/>
  <c r="E562" i="21"/>
  <c r="D562" i="21"/>
  <c r="G561" i="21"/>
  <c r="F561" i="21"/>
  <c r="E561" i="21"/>
  <c r="D561" i="21"/>
  <c r="G560" i="21"/>
  <c r="F560" i="21"/>
  <c r="E560" i="21"/>
  <c r="D560" i="21"/>
  <c r="G559" i="21"/>
  <c r="F559" i="21"/>
  <c r="E559" i="21"/>
  <c r="D559" i="21"/>
  <c r="G558" i="21"/>
  <c r="F558" i="21"/>
  <c r="E558" i="21"/>
  <c r="D558" i="21"/>
  <c r="G557" i="21"/>
  <c r="F557" i="21"/>
  <c r="E557" i="21"/>
  <c r="D557" i="21"/>
  <c r="G556" i="21"/>
  <c r="F556" i="21"/>
  <c r="E556" i="21"/>
  <c r="D556" i="21"/>
  <c r="G555" i="21"/>
  <c r="F555" i="21"/>
  <c r="E555" i="21"/>
  <c r="D555" i="21"/>
  <c r="G554" i="21"/>
  <c r="F554" i="21"/>
  <c r="E554" i="21"/>
  <c r="D554" i="21"/>
  <c r="G553" i="21"/>
  <c r="F553" i="21"/>
  <c r="E553" i="21"/>
  <c r="D553" i="21"/>
  <c r="G552" i="21"/>
  <c r="F552" i="21"/>
  <c r="E552" i="21"/>
  <c r="D552" i="21"/>
  <c r="G551" i="21"/>
  <c r="F551" i="21"/>
  <c r="E551" i="21"/>
  <c r="D551" i="21"/>
  <c r="G550" i="21"/>
  <c r="F550" i="21"/>
  <c r="E550" i="21"/>
  <c r="D550" i="21"/>
  <c r="G549" i="21"/>
  <c r="F549" i="21"/>
  <c r="E549" i="21"/>
  <c r="D549" i="21"/>
  <c r="G548" i="21"/>
  <c r="F548" i="21"/>
  <c r="E548" i="21"/>
  <c r="D548" i="21"/>
  <c r="G547" i="21"/>
  <c r="F547" i="21"/>
  <c r="E547" i="21"/>
  <c r="D547" i="21"/>
  <c r="G546" i="21"/>
  <c r="F546" i="21"/>
  <c r="E546" i="21"/>
  <c r="D546" i="21"/>
  <c r="G545" i="21"/>
  <c r="F545" i="21"/>
  <c r="E545" i="21"/>
  <c r="D545" i="21"/>
  <c r="G544" i="21"/>
  <c r="F544" i="21"/>
  <c r="E544" i="21"/>
  <c r="D544" i="21"/>
  <c r="G543" i="21"/>
  <c r="F543" i="21"/>
  <c r="E543" i="21"/>
  <c r="D543" i="21"/>
  <c r="G542" i="21"/>
  <c r="F542" i="21"/>
  <c r="E542" i="21"/>
  <c r="D542" i="21"/>
  <c r="G541" i="21"/>
  <c r="F541" i="21"/>
  <c r="E541" i="21"/>
  <c r="D541" i="21"/>
  <c r="G540" i="21"/>
  <c r="F540" i="21"/>
  <c r="E540" i="21"/>
  <c r="D540" i="21"/>
  <c r="G539" i="21"/>
  <c r="F539" i="21"/>
  <c r="E539" i="21"/>
  <c r="D539" i="21"/>
  <c r="G538" i="21"/>
  <c r="F538" i="21"/>
  <c r="E538" i="21"/>
  <c r="D538" i="21"/>
  <c r="G537" i="21"/>
  <c r="F537" i="21"/>
  <c r="E537" i="21"/>
  <c r="D537" i="21"/>
  <c r="G536" i="21"/>
  <c r="F536" i="21"/>
  <c r="E536" i="21"/>
  <c r="D536" i="21"/>
  <c r="G535" i="21"/>
  <c r="F535" i="21"/>
  <c r="E535" i="21"/>
  <c r="D535" i="21"/>
  <c r="G534" i="21"/>
  <c r="F534" i="21"/>
  <c r="E534" i="21"/>
  <c r="D534" i="21"/>
  <c r="G533" i="21"/>
  <c r="F533" i="21"/>
  <c r="E533" i="21"/>
  <c r="D533" i="21"/>
  <c r="G532" i="21"/>
  <c r="F532" i="21"/>
  <c r="E532" i="21"/>
  <c r="D532" i="21"/>
  <c r="G531" i="21"/>
  <c r="F531" i="21"/>
  <c r="E531" i="21"/>
  <c r="D531" i="21"/>
  <c r="G530" i="21"/>
  <c r="F530" i="21"/>
  <c r="E530" i="21"/>
  <c r="D530" i="21"/>
  <c r="G529" i="21"/>
  <c r="F529" i="21"/>
  <c r="E529" i="21"/>
  <c r="D529" i="21"/>
  <c r="G528" i="21"/>
  <c r="F528" i="21"/>
  <c r="E528" i="21"/>
  <c r="D528" i="21"/>
  <c r="G527" i="21"/>
  <c r="F527" i="21"/>
  <c r="E527" i="21"/>
  <c r="D527" i="21"/>
  <c r="G526" i="21"/>
  <c r="F526" i="21"/>
  <c r="E526" i="21"/>
  <c r="D526" i="21"/>
  <c r="G525" i="21"/>
  <c r="F525" i="21"/>
  <c r="E525" i="21"/>
  <c r="D525" i="21"/>
  <c r="G524" i="21"/>
  <c r="F524" i="21"/>
  <c r="E524" i="21"/>
  <c r="D524" i="21"/>
  <c r="G523" i="21"/>
  <c r="F523" i="21"/>
  <c r="E523" i="21"/>
  <c r="D523" i="21"/>
  <c r="G522" i="21"/>
  <c r="F522" i="21"/>
  <c r="E522" i="21"/>
  <c r="D522" i="21"/>
  <c r="G521" i="21"/>
  <c r="F521" i="21"/>
  <c r="E521" i="21"/>
  <c r="D521" i="21"/>
  <c r="G520" i="21"/>
  <c r="F520" i="21"/>
  <c r="E520" i="21"/>
  <c r="D520" i="21"/>
  <c r="G519" i="21"/>
  <c r="F519" i="21"/>
  <c r="E519" i="21"/>
  <c r="D519" i="21"/>
  <c r="G518" i="21"/>
  <c r="F518" i="21"/>
  <c r="E518" i="21"/>
  <c r="D518" i="21"/>
  <c r="G517" i="21"/>
  <c r="F517" i="21"/>
  <c r="E517" i="21"/>
  <c r="D517" i="21"/>
  <c r="G516" i="21"/>
  <c r="F516" i="21"/>
  <c r="E516" i="21"/>
  <c r="D516" i="21"/>
  <c r="G515" i="21"/>
  <c r="F515" i="21"/>
  <c r="E515" i="21"/>
  <c r="D515" i="21"/>
  <c r="G514" i="21"/>
  <c r="F514" i="21"/>
  <c r="E514" i="21"/>
  <c r="D514" i="21"/>
  <c r="G513" i="21"/>
  <c r="F513" i="21"/>
  <c r="E513" i="21"/>
  <c r="D513" i="21"/>
  <c r="G512" i="21"/>
  <c r="F512" i="21"/>
  <c r="E512" i="21"/>
  <c r="D512" i="21"/>
  <c r="G511" i="21"/>
  <c r="F511" i="21"/>
  <c r="E511" i="21"/>
  <c r="D511" i="21"/>
  <c r="G510" i="21"/>
  <c r="F510" i="21"/>
  <c r="E510" i="21"/>
  <c r="D510" i="21"/>
  <c r="G509" i="21"/>
  <c r="F509" i="21"/>
  <c r="E509" i="21"/>
  <c r="D509" i="21"/>
  <c r="G508" i="21"/>
  <c r="F508" i="21"/>
  <c r="E508" i="21"/>
  <c r="D508" i="21"/>
  <c r="G507" i="21"/>
  <c r="F507" i="21"/>
  <c r="E507" i="21"/>
  <c r="D507" i="21"/>
  <c r="G506" i="21"/>
  <c r="F506" i="21"/>
  <c r="E506" i="21"/>
  <c r="D506" i="21"/>
  <c r="G505" i="21"/>
  <c r="F505" i="21"/>
  <c r="E505" i="21"/>
  <c r="D505" i="21"/>
  <c r="G504" i="21"/>
  <c r="F504" i="21"/>
  <c r="E504" i="21"/>
  <c r="D504" i="21"/>
  <c r="G503" i="21"/>
  <c r="F503" i="21"/>
  <c r="E503" i="21"/>
  <c r="D503" i="21"/>
  <c r="G502" i="21"/>
  <c r="F502" i="21"/>
  <c r="E502" i="21"/>
  <c r="D502" i="21"/>
  <c r="G501" i="21"/>
  <c r="F501" i="21"/>
  <c r="E501" i="21"/>
  <c r="D501" i="21"/>
  <c r="G500" i="21"/>
  <c r="F500" i="21"/>
  <c r="E500" i="21"/>
  <c r="D500" i="21"/>
  <c r="G499" i="21"/>
  <c r="F499" i="21"/>
  <c r="E499" i="21"/>
  <c r="D499" i="21"/>
  <c r="G498" i="21"/>
  <c r="F498" i="21"/>
  <c r="E498" i="21"/>
  <c r="D498" i="21"/>
  <c r="G497" i="21"/>
  <c r="F497" i="21"/>
  <c r="E497" i="21"/>
  <c r="D497" i="21"/>
  <c r="G496" i="21"/>
  <c r="F496" i="21"/>
  <c r="E496" i="21"/>
  <c r="D496" i="21"/>
  <c r="G495" i="21"/>
  <c r="F495" i="21"/>
  <c r="E495" i="21"/>
  <c r="D495" i="21"/>
  <c r="G494" i="21"/>
  <c r="F494" i="21"/>
  <c r="E494" i="21"/>
  <c r="D494" i="21"/>
  <c r="G493" i="21"/>
  <c r="F493" i="21"/>
  <c r="E493" i="21"/>
  <c r="D493" i="21"/>
  <c r="G492" i="21"/>
  <c r="F492" i="21"/>
  <c r="E492" i="21"/>
  <c r="D492" i="21"/>
  <c r="G491" i="21"/>
  <c r="F491" i="21"/>
  <c r="E491" i="21"/>
  <c r="D491" i="21"/>
  <c r="G490" i="21"/>
  <c r="F490" i="21"/>
  <c r="E490" i="21"/>
  <c r="D490" i="21"/>
  <c r="G489" i="21"/>
  <c r="F489" i="21"/>
  <c r="E489" i="21"/>
  <c r="D489" i="21"/>
  <c r="G488" i="21"/>
  <c r="F488" i="21"/>
  <c r="E488" i="21"/>
  <c r="D488" i="21"/>
  <c r="G487" i="21"/>
  <c r="F487" i="21"/>
  <c r="E487" i="21"/>
  <c r="D487" i="21"/>
  <c r="G486" i="21"/>
  <c r="F486" i="21"/>
  <c r="E486" i="21"/>
  <c r="D486" i="21"/>
  <c r="G485" i="21"/>
  <c r="F485" i="21"/>
  <c r="E485" i="21"/>
  <c r="D485" i="21"/>
  <c r="G484" i="21"/>
  <c r="F484" i="21"/>
  <c r="E484" i="21"/>
  <c r="D484" i="21"/>
  <c r="G483" i="21"/>
  <c r="F483" i="21"/>
  <c r="E483" i="21"/>
  <c r="D483" i="21"/>
  <c r="G482" i="21"/>
  <c r="F482" i="21"/>
  <c r="E482" i="21"/>
  <c r="D482" i="21"/>
  <c r="G481" i="21"/>
  <c r="F481" i="21"/>
  <c r="E481" i="21"/>
  <c r="D481" i="21"/>
  <c r="G480" i="21"/>
  <c r="F480" i="21"/>
  <c r="E480" i="21"/>
  <c r="D480" i="21"/>
  <c r="G479" i="21"/>
  <c r="F479" i="21"/>
  <c r="E479" i="21"/>
  <c r="D479" i="21"/>
  <c r="G478" i="21"/>
  <c r="F478" i="21"/>
  <c r="E478" i="21"/>
  <c r="D478" i="21"/>
  <c r="G477" i="21"/>
  <c r="F477" i="21"/>
  <c r="E477" i="21"/>
  <c r="D477" i="21"/>
  <c r="G476" i="21"/>
  <c r="F476" i="21"/>
  <c r="E476" i="21"/>
  <c r="D476" i="21"/>
  <c r="G475" i="21"/>
  <c r="F475" i="21"/>
  <c r="E475" i="21"/>
  <c r="D475" i="21"/>
  <c r="G474" i="21"/>
  <c r="F474" i="21"/>
  <c r="E474" i="21"/>
  <c r="D474" i="21"/>
  <c r="G473" i="21"/>
  <c r="F473" i="21"/>
  <c r="E473" i="21"/>
  <c r="D473" i="21"/>
  <c r="G472" i="21"/>
  <c r="F472" i="21"/>
  <c r="E472" i="21"/>
  <c r="D472" i="21"/>
  <c r="G471" i="21"/>
  <c r="F471" i="21"/>
  <c r="E471" i="21"/>
  <c r="D471" i="21"/>
  <c r="G470" i="21"/>
  <c r="F470" i="21"/>
  <c r="E470" i="21"/>
  <c r="D470" i="21"/>
  <c r="G469" i="21"/>
  <c r="F469" i="21"/>
  <c r="E469" i="21"/>
  <c r="D469" i="21"/>
  <c r="G468" i="21"/>
  <c r="F468" i="21"/>
  <c r="E468" i="21"/>
  <c r="D468" i="21"/>
  <c r="G467" i="21"/>
  <c r="F467" i="21"/>
  <c r="E467" i="21"/>
  <c r="D467" i="21"/>
  <c r="G466" i="21"/>
  <c r="F466" i="21"/>
  <c r="E466" i="21"/>
  <c r="D466" i="21"/>
  <c r="G465" i="21"/>
  <c r="F465" i="21"/>
  <c r="E465" i="21"/>
  <c r="D465" i="21"/>
  <c r="G464" i="21"/>
  <c r="F464" i="21"/>
  <c r="E464" i="21"/>
  <c r="D464" i="21"/>
  <c r="G463" i="21"/>
  <c r="F463" i="21"/>
  <c r="E463" i="21"/>
  <c r="D463" i="21"/>
  <c r="G462" i="21"/>
  <c r="F462" i="21"/>
  <c r="E462" i="21"/>
  <c r="D462" i="21"/>
  <c r="G461" i="21"/>
  <c r="F461" i="21"/>
  <c r="E461" i="21"/>
  <c r="D461" i="21"/>
  <c r="G460" i="21"/>
  <c r="F460" i="21"/>
  <c r="E460" i="21"/>
  <c r="D460" i="21"/>
  <c r="G459" i="21"/>
  <c r="F459" i="21"/>
  <c r="E459" i="21"/>
  <c r="D459" i="21"/>
  <c r="G458" i="21"/>
  <c r="F458" i="21"/>
  <c r="E458" i="21"/>
  <c r="D458" i="21"/>
  <c r="G457" i="21"/>
  <c r="F457" i="21"/>
  <c r="E457" i="21"/>
  <c r="D457" i="21"/>
  <c r="G456" i="21"/>
  <c r="F456" i="21"/>
  <c r="E456" i="21"/>
  <c r="D456" i="21"/>
  <c r="G455" i="21"/>
  <c r="F455" i="21"/>
  <c r="E455" i="21"/>
  <c r="D455" i="21"/>
  <c r="G454" i="21"/>
  <c r="F454" i="21"/>
  <c r="E454" i="21"/>
  <c r="D454" i="21"/>
  <c r="G453" i="21"/>
  <c r="F453" i="21"/>
  <c r="E453" i="21"/>
  <c r="D453" i="21"/>
  <c r="G452" i="21"/>
  <c r="F452" i="21"/>
  <c r="E452" i="21"/>
  <c r="D452" i="21"/>
  <c r="G451" i="21"/>
  <c r="F451" i="21"/>
  <c r="E451" i="21"/>
  <c r="D451" i="21"/>
  <c r="G450" i="21"/>
  <c r="F450" i="21"/>
  <c r="E450" i="21"/>
  <c r="D450" i="21"/>
  <c r="G449" i="21"/>
  <c r="F449" i="21"/>
  <c r="E449" i="21"/>
  <c r="D449" i="21"/>
  <c r="G448" i="21"/>
  <c r="F448" i="21"/>
  <c r="E448" i="21"/>
  <c r="D448" i="21"/>
  <c r="G447" i="21"/>
  <c r="F447" i="21"/>
  <c r="E447" i="21"/>
  <c r="D447" i="21"/>
  <c r="G446" i="21"/>
  <c r="F446" i="21"/>
  <c r="E446" i="21"/>
  <c r="D446" i="21"/>
  <c r="G445" i="21"/>
  <c r="F445" i="21"/>
  <c r="E445" i="21"/>
  <c r="D445" i="21"/>
  <c r="G444" i="21"/>
  <c r="F444" i="21"/>
  <c r="E444" i="21"/>
  <c r="D444" i="21"/>
  <c r="G443" i="21"/>
  <c r="F443" i="21"/>
  <c r="E443" i="21"/>
  <c r="D443" i="21"/>
  <c r="G442" i="21"/>
  <c r="F442" i="21"/>
  <c r="E442" i="21"/>
  <c r="D442" i="21"/>
  <c r="G441" i="21"/>
  <c r="F441" i="21"/>
  <c r="E441" i="21"/>
  <c r="D441" i="21"/>
  <c r="G440" i="21"/>
  <c r="F440" i="21"/>
  <c r="E440" i="21"/>
  <c r="D440" i="21"/>
  <c r="G439" i="21"/>
  <c r="F439" i="21"/>
  <c r="E439" i="21"/>
  <c r="D439" i="21"/>
  <c r="G438" i="21"/>
  <c r="F438" i="21"/>
  <c r="E438" i="21"/>
  <c r="D438" i="21"/>
  <c r="G437" i="21"/>
  <c r="F437" i="21"/>
  <c r="E437" i="21"/>
  <c r="D437" i="21"/>
  <c r="G436" i="21"/>
  <c r="F436" i="21"/>
  <c r="E436" i="21"/>
  <c r="D436" i="21"/>
  <c r="G435" i="21"/>
  <c r="F435" i="21"/>
  <c r="E435" i="21"/>
  <c r="D435" i="21"/>
  <c r="G434" i="21"/>
  <c r="F434" i="21"/>
  <c r="E434" i="21"/>
  <c r="D434" i="21"/>
  <c r="G433" i="21"/>
  <c r="F433" i="21"/>
  <c r="E433" i="21"/>
  <c r="D433" i="21"/>
  <c r="G432" i="21"/>
  <c r="F432" i="21"/>
  <c r="E432" i="21"/>
  <c r="D432" i="21"/>
  <c r="G431" i="21"/>
  <c r="F431" i="21"/>
  <c r="E431" i="21"/>
  <c r="D431" i="21"/>
  <c r="G430" i="21"/>
  <c r="F430" i="21"/>
  <c r="E430" i="21"/>
  <c r="D430" i="21"/>
  <c r="G429" i="21"/>
  <c r="F429" i="21"/>
  <c r="E429" i="21"/>
  <c r="D429" i="21"/>
  <c r="G428" i="21"/>
  <c r="F428" i="21"/>
  <c r="E428" i="21"/>
  <c r="D428" i="21"/>
  <c r="G427" i="21"/>
  <c r="F427" i="21"/>
  <c r="E427" i="21"/>
  <c r="D427" i="21"/>
  <c r="G426" i="21"/>
  <c r="F426" i="21"/>
  <c r="E426" i="21"/>
  <c r="D426" i="21"/>
  <c r="G425" i="21"/>
  <c r="F425" i="21"/>
  <c r="E425" i="21"/>
  <c r="D425" i="21"/>
  <c r="G424" i="21"/>
  <c r="F424" i="21"/>
  <c r="E424" i="21"/>
  <c r="D424" i="21"/>
  <c r="G423" i="21"/>
  <c r="F423" i="21"/>
  <c r="E423" i="21"/>
  <c r="D423" i="21"/>
  <c r="G422" i="21"/>
  <c r="F422" i="21"/>
  <c r="E422" i="21"/>
  <c r="D422" i="21"/>
  <c r="G421" i="21"/>
  <c r="F421" i="21"/>
  <c r="E421" i="21"/>
  <c r="D421" i="21"/>
  <c r="G420" i="21"/>
  <c r="F420" i="21"/>
  <c r="E420" i="21"/>
  <c r="D420" i="21"/>
  <c r="G419" i="21"/>
  <c r="F419" i="21"/>
  <c r="E419" i="21"/>
  <c r="D419" i="21"/>
  <c r="G418" i="21"/>
  <c r="F418" i="21"/>
  <c r="E418" i="21"/>
  <c r="D418" i="21"/>
  <c r="G417" i="21"/>
  <c r="F417" i="21"/>
  <c r="E417" i="21"/>
  <c r="D417" i="21"/>
  <c r="G416" i="21"/>
  <c r="F416" i="21"/>
  <c r="E416" i="21"/>
  <c r="D416" i="21"/>
  <c r="G415" i="21"/>
  <c r="F415" i="21"/>
  <c r="E415" i="21"/>
  <c r="D415" i="21"/>
  <c r="G414" i="21"/>
  <c r="F414" i="21"/>
  <c r="E414" i="21"/>
  <c r="D414" i="21"/>
  <c r="G413" i="21"/>
  <c r="F413" i="21"/>
  <c r="E413" i="21"/>
  <c r="D413" i="21"/>
  <c r="G412" i="21"/>
  <c r="F412" i="21"/>
  <c r="E412" i="21"/>
  <c r="D412" i="21"/>
  <c r="G411" i="21"/>
  <c r="F411" i="21"/>
  <c r="E411" i="21"/>
  <c r="D411" i="21"/>
  <c r="G410" i="21"/>
  <c r="F410" i="21"/>
  <c r="E410" i="21"/>
  <c r="D410" i="21"/>
  <c r="G409" i="21"/>
  <c r="F409" i="21"/>
  <c r="E409" i="21"/>
  <c r="D409" i="21"/>
  <c r="G408" i="21"/>
  <c r="F408" i="21"/>
  <c r="E408" i="21"/>
  <c r="D408" i="21"/>
  <c r="G407" i="21"/>
  <c r="F407" i="21"/>
  <c r="E407" i="21"/>
  <c r="D407" i="21"/>
  <c r="G406" i="21"/>
  <c r="F406" i="21"/>
  <c r="E406" i="21"/>
  <c r="D406" i="21"/>
  <c r="G405" i="21"/>
  <c r="F405" i="21"/>
  <c r="E405" i="21"/>
  <c r="D405" i="21"/>
  <c r="G404" i="21"/>
  <c r="F404" i="21"/>
  <c r="E404" i="21"/>
  <c r="D404" i="21"/>
  <c r="G403" i="21"/>
  <c r="F403" i="21"/>
  <c r="E403" i="21"/>
  <c r="D403" i="21"/>
  <c r="G402" i="21"/>
  <c r="F402" i="21"/>
  <c r="E402" i="21"/>
  <c r="D402" i="21"/>
  <c r="G401" i="21"/>
  <c r="F401" i="21"/>
  <c r="E401" i="21"/>
  <c r="D401" i="21"/>
  <c r="G400" i="21"/>
  <c r="F400" i="21"/>
  <c r="E400" i="21"/>
  <c r="D400" i="21"/>
  <c r="G399" i="21"/>
  <c r="F399" i="21"/>
  <c r="E399" i="21"/>
  <c r="D399" i="21"/>
  <c r="G398" i="21"/>
  <c r="F398" i="21"/>
  <c r="E398" i="21"/>
  <c r="D398" i="21"/>
  <c r="G397" i="21"/>
  <c r="F397" i="21"/>
  <c r="E397" i="21"/>
  <c r="D397" i="21"/>
  <c r="G396" i="21"/>
  <c r="F396" i="21"/>
  <c r="E396" i="21"/>
  <c r="D396" i="21"/>
  <c r="G395" i="21"/>
  <c r="F395" i="21"/>
  <c r="E395" i="21"/>
  <c r="D395" i="21"/>
  <c r="G394" i="21"/>
  <c r="F394" i="21"/>
  <c r="E394" i="21"/>
  <c r="D394" i="21"/>
  <c r="G393" i="21"/>
  <c r="F393" i="21"/>
  <c r="E393" i="21"/>
  <c r="D393" i="21"/>
  <c r="G392" i="21"/>
  <c r="F392" i="21"/>
  <c r="E392" i="21"/>
  <c r="D392" i="21"/>
  <c r="G391" i="21"/>
  <c r="F391" i="21"/>
  <c r="E391" i="21"/>
  <c r="D391" i="21"/>
  <c r="G390" i="21"/>
  <c r="F390" i="21"/>
  <c r="E390" i="21"/>
  <c r="D390" i="21"/>
  <c r="G389" i="21"/>
  <c r="F389" i="21"/>
  <c r="E389" i="21"/>
  <c r="D389" i="21"/>
  <c r="G388" i="21"/>
  <c r="F388" i="21"/>
  <c r="E388" i="21"/>
  <c r="D388" i="21"/>
  <c r="G387" i="21"/>
  <c r="F387" i="21"/>
  <c r="E387" i="21"/>
  <c r="D387" i="21"/>
  <c r="G386" i="21"/>
  <c r="F386" i="21"/>
  <c r="E386" i="21"/>
  <c r="D386" i="21"/>
  <c r="G385" i="21"/>
  <c r="F385" i="21"/>
  <c r="E385" i="21"/>
  <c r="D385" i="21"/>
  <c r="G384" i="21"/>
  <c r="F384" i="21"/>
  <c r="E384" i="21"/>
  <c r="D384" i="21"/>
  <c r="G383" i="21"/>
  <c r="F383" i="21"/>
  <c r="E383" i="21"/>
  <c r="D383" i="21"/>
  <c r="G382" i="21"/>
  <c r="F382" i="21"/>
  <c r="E382" i="21"/>
  <c r="D382" i="21"/>
  <c r="G381" i="21"/>
  <c r="F381" i="21"/>
  <c r="E381" i="21"/>
  <c r="D381" i="21"/>
  <c r="G380" i="21"/>
  <c r="F380" i="21"/>
  <c r="E380" i="21"/>
  <c r="D380" i="21"/>
  <c r="G379" i="21"/>
  <c r="F379" i="21"/>
  <c r="E379" i="21"/>
  <c r="D379" i="21"/>
  <c r="G378" i="21"/>
  <c r="F378" i="21"/>
  <c r="E378" i="21"/>
  <c r="D378" i="21"/>
  <c r="G377" i="21"/>
  <c r="F377" i="21"/>
  <c r="E377" i="21"/>
  <c r="D377" i="21"/>
  <c r="G376" i="21"/>
  <c r="F376" i="21"/>
  <c r="E376" i="21"/>
  <c r="D376" i="21"/>
  <c r="G375" i="21"/>
  <c r="F375" i="21"/>
  <c r="E375" i="21"/>
  <c r="D375" i="21"/>
  <c r="G374" i="21"/>
  <c r="F374" i="21"/>
  <c r="E374" i="21"/>
  <c r="D374" i="21"/>
  <c r="G373" i="21"/>
  <c r="F373" i="21"/>
  <c r="E373" i="21"/>
  <c r="D373" i="21"/>
  <c r="G372" i="21"/>
  <c r="F372" i="21"/>
  <c r="E372" i="21"/>
  <c r="D372" i="21"/>
  <c r="G371" i="21"/>
  <c r="F371" i="21"/>
  <c r="E371" i="21"/>
  <c r="D371" i="21"/>
  <c r="G370" i="21"/>
  <c r="F370" i="21"/>
  <c r="E370" i="21"/>
  <c r="D370" i="21"/>
  <c r="G369" i="21"/>
  <c r="F369" i="21"/>
  <c r="E369" i="21"/>
  <c r="D369" i="21"/>
  <c r="G368" i="21"/>
  <c r="F368" i="21"/>
  <c r="E368" i="21"/>
  <c r="D368" i="21"/>
  <c r="G367" i="21"/>
  <c r="F367" i="21"/>
  <c r="E367" i="21"/>
  <c r="D367" i="21"/>
  <c r="G366" i="21"/>
  <c r="F366" i="21"/>
  <c r="E366" i="21"/>
  <c r="D366" i="21"/>
  <c r="G365" i="21"/>
  <c r="F365" i="21"/>
  <c r="E365" i="21"/>
  <c r="D365" i="21"/>
  <c r="G364" i="21"/>
  <c r="F364" i="21"/>
  <c r="E364" i="21"/>
  <c r="D364" i="21"/>
  <c r="G363" i="21"/>
  <c r="F363" i="21"/>
  <c r="E363" i="21"/>
  <c r="D363" i="21"/>
  <c r="G362" i="21"/>
  <c r="F362" i="21"/>
  <c r="E362" i="21"/>
  <c r="D362" i="21"/>
  <c r="G361" i="21"/>
  <c r="F361" i="21"/>
  <c r="E361" i="21"/>
  <c r="D361" i="21"/>
  <c r="G360" i="21"/>
  <c r="F360" i="21"/>
  <c r="E360" i="21"/>
  <c r="D360" i="21"/>
  <c r="G359" i="21"/>
  <c r="F359" i="21"/>
  <c r="E359" i="21"/>
  <c r="D359" i="21"/>
  <c r="G358" i="21"/>
  <c r="F358" i="21"/>
  <c r="E358" i="21"/>
  <c r="D358" i="21"/>
  <c r="G357" i="21"/>
  <c r="F357" i="21"/>
  <c r="E357" i="21"/>
  <c r="D357" i="21"/>
  <c r="G356" i="21"/>
  <c r="F356" i="21"/>
  <c r="E356" i="21"/>
  <c r="D356" i="21"/>
  <c r="G355" i="21"/>
  <c r="F355" i="21"/>
  <c r="E355" i="21"/>
  <c r="D355" i="21"/>
  <c r="G354" i="21"/>
  <c r="F354" i="21"/>
  <c r="E354" i="21"/>
  <c r="D354" i="21"/>
  <c r="G353" i="21"/>
  <c r="F353" i="21"/>
  <c r="E353" i="21"/>
  <c r="D353" i="21"/>
  <c r="G352" i="21"/>
  <c r="F352" i="21"/>
  <c r="E352" i="21"/>
  <c r="D352" i="21"/>
  <c r="G351" i="21"/>
  <c r="F351" i="21"/>
  <c r="E351" i="21"/>
  <c r="D351" i="21"/>
  <c r="G350" i="21"/>
  <c r="F350" i="21"/>
  <c r="E350" i="21"/>
  <c r="D350" i="21"/>
  <c r="G349" i="21"/>
  <c r="F349" i="21"/>
  <c r="E349" i="21"/>
  <c r="D349" i="21"/>
  <c r="G348" i="21"/>
  <c r="F348" i="21"/>
  <c r="E348" i="21"/>
  <c r="D348" i="21"/>
  <c r="G347" i="21"/>
  <c r="F347" i="21"/>
  <c r="E347" i="21"/>
  <c r="D347" i="21"/>
  <c r="G346" i="21"/>
  <c r="F346" i="21"/>
  <c r="E346" i="21"/>
  <c r="D346" i="21"/>
  <c r="G345" i="21"/>
  <c r="F345" i="21"/>
  <c r="E345" i="21"/>
  <c r="D345" i="21"/>
  <c r="G344" i="21"/>
  <c r="F344" i="21"/>
  <c r="E344" i="21"/>
  <c r="D344" i="21"/>
  <c r="G343" i="21"/>
  <c r="F343" i="21"/>
  <c r="E343" i="21"/>
  <c r="D343" i="21"/>
  <c r="G342" i="21"/>
  <c r="F342" i="21"/>
  <c r="E342" i="21"/>
  <c r="D342" i="21"/>
  <c r="G341" i="21"/>
  <c r="F341" i="21"/>
  <c r="E341" i="21"/>
  <c r="D341" i="21"/>
  <c r="G340" i="21"/>
  <c r="F340" i="21"/>
  <c r="E340" i="21"/>
  <c r="D340" i="21"/>
  <c r="G339" i="21"/>
  <c r="F339" i="21"/>
  <c r="E339" i="21"/>
  <c r="D339" i="21"/>
  <c r="G338" i="21"/>
  <c r="F338" i="21"/>
  <c r="E338" i="21"/>
  <c r="D338" i="21"/>
  <c r="G337" i="21"/>
  <c r="F337" i="21"/>
  <c r="E337" i="21"/>
  <c r="D337" i="21"/>
  <c r="G336" i="21"/>
  <c r="F336" i="21"/>
  <c r="E336" i="21"/>
  <c r="D336" i="21"/>
  <c r="G335" i="21"/>
  <c r="F335" i="21"/>
  <c r="E335" i="21"/>
  <c r="D335" i="21"/>
  <c r="G334" i="21"/>
  <c r="F334" i="21"/>
  <c r="E334" i="21"/>
  <c r="D334" i="21"/>
  <c r="G333" i="21"/>
  <c r="F333" i="21"/>
  <c r="E333" i="21"/>
  <c r="D333" i="21"/>
  <c r="G332" i="21"/>
  <c r="F332" i="21"/>
  <c r="E332" i="21"/>
  <c r="D332" i="21"/>
  <c r="G331" i="21"/>
  <c r="F331" i="21"/>
  <c r="E331" i="21"/>
  <c r="D331" i="21"/>
  <c r="G330" i="21"/>
  <c r="F330" i="21"/>
  <c r="E330" i="21"/>
  <c r="D330" i="21"/>
  <c r="G329" i="21"/>
  <c r="F329" i="21"/>
  <c r="E329" i="21"/>
  <c r="D329" i="21"/>
  <c r="G328" i="21"/>
  <c r="F328" i="21"/>
  <c r="E328" i="21"/>
  <c r="D328" i="21"/>
  <c r="G327" i="21"/>
  <c r="F327" i="21"/>
  <c r="E327" i="21"/>
  <c r="D327" i="21"/>
  <c r="G326" i="21"/>
  <c r="F326" i="21"/>
  <c r="E326" i="21"/>
  <c r="D326" i="21"/>
  <c r="G325" i="21"/>
  <c r="F325" i="21"/>
  <c r="E325" i="21"/>
  <c r="D325" i="21"/>
  <c r="G324" i="21"/>
  <c r="F324" i="21"/>
  <c r="E324" i="21"/>
  <c r="D324" i="21"/>
  <c r="G323" i="21"/>
  <c r="F323" i="21"/>
  <c r="E323" i="21"/>
  <c r="D323" i="21"/>
  <c r="G322" i="21"/>
  <c r="F322" i="21"/>
  <c r="E322" i="21"/>
  <c r="D322" i="21"/>
  <c r="G321" i="21"/>
  <c r="F321" i="21"/>
  <c r="E321" i="21"/>
  <c r="D321" i="21"/>
  <c r="G320" i="21"/>
  <c r="F320" i="21"/>
  <c r="E320" i="21"/>
  <c r="D320" i="21"/>
  <c r="G319" i="21"/>
  <c r="F319" i="21"/>
  <c r="E319" i="21"/>
  <c r="D319" i="21"/>
  <c r="G318" i="21"/>
  <c r="F318" i="21"/>
  <c r="E318" i="21"/>
  <c r="D318" i="21"/>
  <c r="G317" i="21"/>
  <c r="F317" i="21"/>
  <c r="E317" i="21"/>
  <c r="D317" i="21"/>
  <c r="G316" i="21"/>
  <c r="F316" i="21"/>
  <c r="E316" i="21"/>
  <c r="D316" i="21"/>
  <c r="G315" i="21"/>
  <c r="F315" i="21"/>
  <c r="E315" i="21"/>
  <c r="D315" i="21"/>
  <c r="G314" i="21"/>
  <c r="F314" i="21"/>
  <c r="E314" i="21"/>
  <c r="D314" i="21"/>
  <c r="G313" i="21"/>
  <c r="F313" i="21"/>
  <c r="E313" i="21"/>
  <c r="D313" i="21"/>
  <c r="G312" i="21"/>
  <c r="F312" i="21"/>
  <c r="E312" i="21"/>
  <c r="D312" i="21"/>
  <c r="G311" i="21"/>
  <c r="F311" i="21"/>
  <c r="E311" i="21"/>
  <c r="D311" i="21"/>
  <c r="G310" i="21"/>
  <c r="F310" i="21"/>
  <c r="E310" i="21"/>
  <c r="D310" i="21"/>
  <c r="G309" i="21"/>
  <c r="F309" i="21"/>
  <c r="E309" i="21"/>
  <c r="D309" i="21"/>
  <c r="G308" i="21"/>
  <c r="F308" i="21"/>
  <c r="E308" i="21"/>
  <c r="D308" i="21"/>
  <c r="G307" i="21"/>
  <c r="F307" i="21"/>
  <c r="E307" i="21"/>
  <c r="D307" i="21"/>
  <c r="G306" i="21"/>
  <c r="F306" i="21"/>
  <c r="E306" i="21"/>
  <c r="D306" i="21"/>
  <c r="G305" i="21"/>
  <c r="F305" i="21"/>
  <c r="E305" i="21"/>
  <c r="D305" i="21"/>
  <c r="G304" i="21"/>
  <c r="F304" i="21"/>
  <c r="E304" i="21"/>
  <c r="D304" i="21"/>
  <c r="G303" i="21"/>
  <c r="F303" i="21"/>
  <c r="E303" i="21"/>
  <c r="D303" i="21"/>
  <c r="G302" i="21"/>
  <c r="F302" i="21"/>
  <c r="E302" i="21"/>
  <c r="D302" i="21"/>
  <c r="G301" i="21"/>
  <c r="F301" i="21"/>
  <c r="E301" i="21"/>
  <c r="D301" i="21"/>
  <c r="G300" i="21"/>
  <c r="F300" i="21"/>
  <c r="E300" i="21"/>
  <c r="D300" i="21"/>
  <c r="G299" i="21"/>
  <c r="F299" i="21"/>
  <c r="E299" i="21"/>
  <c r="D299" i="21"/>
  <c r="G298" i="21"/>
  <c r="F298" i="21"/>
  <c r="E298" i="21"/>
  <c r="D298" i="21"/>
  <c r="G297" i="21"/>
  <c r="F297" i="21"/>
  <c r="E297" i="21"/>
  <c r="D297" i="21"/>
  <c r="G296" i="21"/>
  <c r="F296" i="21"/>
  <c r="E296" i="21"/>
  <c r="D296" i="21"/>
  <c r="G295" i="21"/>
  <c r="F295" i="21"/>
  <c r="E295" i="21"/>
  <c r="D295" i="21"/>
  <c r="G294" i="21"/>
  <c r="F294" i="21"/>
  <c r="E294" i="21"/>
  <c r="D294" i="21"/>
  <c r="G293" i="21"/>
  <c r="F293" i="21"/>
  <c r="E293" i="21"/>
  <c r="D293" i="21"/>
  <c r="G292" i="21"/>
  <c r="F292" i="21"/>
  <c r="E292" i="21"/>
  <c r="D292" i="21"/>
  <c r="G291" i="21"/>
  <c r="F291" i="21"/>
  <c r="E291" i="21"/>
  <c r="D291" i="21"/>
  <c r="G290" i="21"/>
  <c r="F290" i="21"/>
  <c r="E290" i="21"/>
  <c r="D290" i="21"/>
  <c r="G289" i="21"/>
  <c r="F289" i="21"/>
  <c r="E289" i="21"/>
  <c r="D289" i="21"/>
  <c r="G288" i="21"/>
  <c r="F288" i="21"/>
  <c r="E288" i="21"/>
  <c r="D288" i="21"/>
  <c r="G287" i="21"/>
  <c r="F287" i="21"/>
  <c r="E287" i="21"/>
  <c r="D287" i="21"/>
  <c r="G286" i="21"/>
  <c r="F286" i="21"/>
  <c r="E286" i="21"/>
  <c r="D286" i="21"/>
  <c r="G285" i="21"/>
  <c r="F285" i="21"/>
  <c r="E285" i="21"/>
  <c r="D285" i="21"/>
  <c r="G284" i="21"/>
  <c r="F284" i="21"/>
  <c r="E284" i="21"/>
  <c r="D284" i="21"/>
  <c r="G283" i="21"/>
  <c r="F283" i="21"/>
  <c r="E283" i="21"/>
  <c r="D283" i="21"/>
  <c r="G282" i="21"/>
  <c r="F282" i="21"/>
  <c r="E282" i="21"/>
  <c r="D282" i="21"/>
  <c r="G281" i="21"/>
  <c r="F281" i="21"/>
  <c r="E281" i="21"/>
  <c r="D281" i="21"/>
  <c r="G280" i="21"/>
  <c r="F280" i="21"/>
  <c r="E280" i="21"/>
  <c r="D280" i="21"/>
  <c r="G279" i="21"/>
  <c r="F279" i="21"/>
  <c r="E279" i="21"/>
  <c r="D279" i="21"/>
  <c r="G278" i="21"/>
  <c r="F278" i="21"/>
  <c r="E278" i="21"/>
  <c r="D278" i="21"/>
  <c r="G277" i="21"/>
  <c r="F277" i="21"/>
  <c r="E277" i="21"/>
  <c r="D277" i="21"/>
  <c r="G276" i="21"/>
  <c r="F276" i="21"/>
  <c r="E276" i="21"/>
  <c r="D276" i="21"/>
  <c r="G275" i="21"/>
  <c r="F275" i="21"/>
  <c r="E275" i="21"/>
  <c r="D275" i="21"/>
  <c r="G274" i="21"/>
  <c r="F274" i="21"/>
  <c r="E274" i="21"/>
  <c r="D274" i="21"/>
  <c r="G273" i="21"/>
  <c r="F273" i="21"/>
  <c r="E273" i="21"/>
  <c r="D273" i="21"/>
  <c r="G272" i="21"/>
  <c r="F272" i="21"/>
  <c r="E272" i="21"/>
  <c r="D272" i="21"/>
  <c r="G271" i="21"/>
  <c r="F271" i="21"/>
  <c r="E271" i="21"/>
  <c r="D271" i="21"/>
  <c r="G270" i="21"/>
  <c r="F270" i="21"/>
  <c r="E270" i="21"/>
  <c r="D270" i="21"/>
  <c r="G269" i="21"/>
  <c r="F269" i="21"/>
  <c r="E269" i="21"/>
  <c r="D269" i="21"/>
  <c r="G268" i="21"/>
  <c r="F268" i="21"/>
  <c r="E268" i="21"/>
  <c r="D268" i="21"/>
  <c r="G267" i="21"/>
  <c r="F267" i="21"/>
  <c r="E267" i="21"/>
  <c r="D267" i="21"/>
  <c r="G266" i="21"/>
  <c r="F266" i="21"/>
  <c r="E266" i="21"/>
  <c r="D266" i="21"/>
  <c r="G265" i="21"/>
  <c r="F265" i="21"/>
  <c r="E265" i="21"/>
  <c r="D265" i="21"/>
  <c r="G264" i="21"/>
  <c r="F264" i="21"/>
  <c r="E264" i="21"/>
  <c r="D264" i="21"/>
  <c r="G263" i="21"/>
  <c r="F263" i="21"/>
  <c r="E263" i="21"/>
  <c r="D263" i="21"/>
  <c r="G262" i="21"/>
  <c r="F262" i="21"/>
  <c r="E262" i="21"/>
  <c r="D262" i="21"/>
  <c r="G261" i="21"/>
  <c r="F261" i="21"/>
  <c r="E261" i="21"/>
  <c r="D261" i="21"/>
  <c r="G260" i="21"/>
  <c r="F260" i="21"/>
  <c r="E260" i="21"/>
  <c r="D260" i="21"/>
  <c r="G259" i="21"/>
  <c r="F259" i="21"/>
  <c r="E259" i="21"/>
  <c r="D259" i="21"/>
  <c r="G258" i="21"/>
  <c r="F258" i="21"/>
  <c r="E258" i="21"/>
  <c r="D258" i="21"/>
  <c r="G257" i="21"/>
  <c r="F257" i="21"/>
  <c r="E257" i="21"/>
  <c r="D257" i="21"/>
  <c r="G256" i="21"/>
  <c r="F256" i="21"/>
  <c r="E256" i="21"/>
  <c r="D256" i="21"/>
  <c r="G255" i="21"/>
  <c r="F255" i="21"/>
  <c r="E255" i="21"/>
  <c r="D255" i="21"/>
  <c r="G254" i="21"/>
  <c r="F254" i="21"/>
  <c r="E254" i="21"/>
  <c r="D254" i="21"/>
  <c r="G253" i="21"/>
  <c r="F253" i="21"/>
  <c r="E253" i="21"/>
  <c r="D253" i="21"/>
  <c r="G252" i="21"/>
  <c r="F252" i="21"/>
  <c r="E252" i="21"/>
  <c r="D252" i="21"/>
  <c r="G251" i="21"/>
  <c r="F251" i="21"/>
  <c r="E251" i="21"/>
  <c r="D251" i="21"/>
  <c r="G250" i="21"/>
  <c r="F250" i="21"/>
  <c r="E250" i="21"/>
  <c r="D250" i="21"/>
  <c r="G249" i="21"/>
  <c r="F249" i="21"/>
  <c r="E249" i="21"/>
  <c r="D249" i="21"/>
  <c r="G248" i="21"/>
  <c r="F248" i="21"/>
  <c r="E248" i="21"/>
  <c r="D248" i="21"/>
  <c r="G247" i="21"/>
  <c r="F247" i="21"/>
  <c r="E247" i="21"/>
  <c r="D247" i="21"/>
  <c r="G246" i="21"/>
  <c r="F246" i="21"/>
  <c r="E246" i="21"/>
  <c r="D246" i="21"/>
  <c r="G245" i="21"/>
  <c r="F245" i="21"/>
  <c r="E245" i="21"/>
  <c r="D245" i="21"/>
  <c r="G244" i="21"/>
  <c r="F244" i="21"/>
  <c r="E244" i="21"/>
  <c r="D244" i="21"/>
  <c r="G243" i="21"/>
  <c r="F243" i="21"/>
  <c r="E243" i="21"/>
  <c r="D243" i="21"/>
  <c r="G242" i="21"/>
  <c r="F242" i="21"/>
  <c r="E242" i="21"/>
  <c r="D242" i="21"/>
  <c r="G241" i="21"/>
  <c r="F241" i="21"/>
  <c r="E241" i="21"/>
  <c r="D241" i="21"/>
  <c r="G240" i="21"/>
  <c r="F240" i="21"/>
  <c r="E240" i="21"/>
  <c r="D240" i="21"/>
  <c r="G239" i="21"/>
  <c r="F239" i="21"/>
  <c r="E239" i="21"/>
  <c r="D239" i="21"/>
  <c r="G238" i="21"/>
  <c r="F238" i="21"/>
  <c r="E238" i="21"/>
  <c r="D238" i="21"/>
  <c r="G237" i="21"/>
  <c r="F237" i="21"/>
  <c r="E237" i="21"/>
  <c r="D23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5" i="21"/>
  <c r="F225" i="21"/>
  <c r="E225" i="21"/>
  <c r="D225" i="21"/>
  <c r="G224" i="21"/>
  <c r="F224" i="21"/>
  <c r="E224" i="21"/>
  <c r="D224" i="21"/>
  <c r="G223" i="21"/>
  <c r="F223" i="21"/>
  <c r="E223" i="21"/>
  <c r="D223" i="21"/>
  <c r="G222" i="21"/>
  <c r="F222" i="21"/>
  <c r="E222" i="21"/>
  <c r="D222" i="21"/>
  <c r="G221" i="21"/>
  <c r="F221" i="21"/>
  <c r="E221" i="21"/>
  <c r="D221" i="21"/>
  <c r="G220" i="21"/>
  <c r="F220" i="21"/>
  <c r="E220" i="21"/>
  <c r="D220" i="21"/>
  <c r="G219" i="21"/>
  <c r="F219" i="21"/>
  <c r="E219" i="21"/>
  <c r="D219"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1" i="21"/>
  <c r="F211" i="21"/>
  <c r="E211" i="21"/>
  <c r="D211" i="21"/>
  <c r="G210" i="21"/>
  <c r="F210" i="21"/>
  <c r="E210" i="21"/>
  <c r="D210" i="21"/>
  <c r="G209" i="21"/>
  <c r="F209" i="21"/>
  <c r="E209" i="21"/>
  <c r="D209" i="21"/>
  <c r="G208" i="21"/>
  <c r="F208" i="21"/>
  <c r="E208" i="21"/>
  <c r="D208"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200" i="21"/>
  <c r="F200" i="21"/>
  <c r="E200" i="21"/>
  <c r="D200" i="21"/>
  <c r="G199" i="21"/>
  <c r="F199" i="21"/>
  <c r="E199" i="21"/>
  <c r="D199" i="21"/>
  <c r="G198" i="21"/>
  <c r="F198" i="21"/>
  <c r="E198" i="21"/>
  <c r="D198" i="21"/>
  <c r="G197" i="21"/>
  <c r="F197" i="21"/>
  <c r="E197" i="21"/>
  <c r="D197" i="21"/>
  <c r="G196" i="21"/>
  <c r="F196" i="21"/>
  <c r="E196" i="21"/>
  <c r="D196" i="21"/>
  <c r="G195" i="21"/>
  <c r="F195" i="21"/>
  <c r="E195" i="21"/>
  <c r="D195" i="21"/>
  <c r="G194" i="21"/>
  <c r="F194" i="21"/>
  <c r="E194" i="21"/>
  <c r="D194" i="21"/>
  <c r="G193" i="21"/>
  <c r="F193" i="21"/>
  <c r="E193" i="21"/>
  <c r="D193" i="21"/>
  <c r="G192" i="21"/>
  <c r="F192" i="21"/>
  <c r="E192" i="21"/>
  <c r="D192" i="21"/>
  <c r="G191" i="21"/>
  <c r="F191" i="21"/>
  <c r="E191" i="21"/>
  <c r="D191" i="21"/>
  <c r="G190" i="21"/>
  <c r="F190" i="21"/>
  <c r="E190" i="21"/>
  <c r="D190"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81" i="21"/>
  <c r="F181" i="21"/>
  <c r="E181" i="21"/>
  <c r="D181" i="21"/>
  <c r="G180" i="21"/>
  <c r="F180" i="21"/>
  <c r="E180" i="21"/>
  <c r="D180" i="21"/>
  <c r="G179" i="21"/>
  <c r="F179" i="21"/>
  <c r="E179" i="21"/>
  <c r="D179" i="21"/>
  <c r="G178" i="21"/>
  <c r="F178" i="21"/>
  <c r="E178" i="21"/>
  <c r="D178" i="21"/>
  <c r="G177" i="21"/>
  <c r="F177" i="21"/>
  <c r="E177" i="21"/>
  <c r="D177" i="21"/>
  <c r="G176" i="21"/>
  <c r="F176" i="21"/>
  <c r="E176" i="21"/>
  <c r="D176"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5" i="21"/>
  <c r="F165" i="21"/>
  <c r="E165" i="21"/>
  <c r="D165" i="21"/>
  <c r="G164" i="21"/>
  <c r="F164" i="21"/>
  <c r="E164" i="21"/>
  <c r="D164" i="21"/>
  <c r="G163" i="21"/>
  <c r="F163" i="21"/>
  <c r="E163" i="21"/>
  <c r="D163" i="21"/>
  <c r="G162" i="21"/>
  <c r="F162" i="21"/>
  <c r="E162" i="21"/>
  <c r="D162" i="21"/>
  <c r="G161" i="21"/>
  <c r="F161" i="21"/>
  <c r="E161" i="21"/>
  <c r="D161" i="21"/>
  <c r="G160" i="21"/>
  <c r="F160" i="21"/>
  <c r="E160" i="21"/>
  <c r="D160" i="21"/>
  <c r="G159" i="21"/>
  <c r="F159" i="21"/>
  <c r="E159" i="21"/>
  <c r="D159" i="21"/>
  <c r="G158" i="21"/>
  <c r="F158" i="21"/>
  <c r="E158" i="21"/>
  <c r="D158" i="21"/>
  <c r="G157" i="21"/>
  <c r="F157" i="21"/>
  <c r="E157" i="21"/>
  <c r="D157" i="21"/>
  <c r="G156" i="21"/>
  <c r="F156" i="21"/>
  <c r="E156" i="21"/>
  <c r="D156" i="21"/>
  <c r="G155" i="21"/>
  <c r="F155" i="21"/>
  <c r="E155" i="21"/>
  <c r="D155" i="21"/>
  <c r="G154" i="21"/>
  <c r="F154" i="21"/>
  <c r="E154" i="21"/>
  <c r="D154" i="21"/>
  <c r="G153" i="21"/>
  <c r="F153" i="21"/>
  <c r="E153" i="21"/>
  <c r="D153" i="21"/>
  <c r="G152" i="21"/>
  <c r="F152" i="21"/>
  <c r="E152" i="21"/>
  <c r="D152" i="21"/>
  <c r="G151" i="21"/>
  <c r="F151" i="21"/>
  <c r="E151" i="21"/>
  <c r="D151"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3" i="21"/>
  <c r="F143" i="21"/>
  <c r="E143" i="21"/>
  <c r="D143" i="21"/>
  <c r="G142" i="21"/>
  <c r="F142" i="21"/>
  <c r="E142" i="21"/>
  <c r="D142" i="21"/>
  <c r="G141" i="21"/>
  <c r="F141" i="21"/>
  <c r="E141" i="21"/>
  <c r="D141" i="21"/>
  <c r="G140" i="21"/>
  <c r="F140" i="21"/>
  <c r="E140" i="21"/>
  <c r="D140" i="21"/>
  <c r="G139" i="21"/>
  <c r="F139" i="21"/>
  <c r="E139" i="21"/>
  <c r="D139" i="21"/>
  <c r="G138" i="21"/>
  <c r="F138" i="21"/>
  <c r="E138" i="21"/>
  <c r="D138" i="21"/>
  <c r="G137" i="21"/>
  <c r="F137" i="21"/>
  <c r="E137" i="21"/>
  <c r="D137" i="21"/>
  <c r="G136" i="21"/>
  <c r="F136" i="21"/>
  <c r="E136" i="21"/>
  <c r="D136" i="21"/>
  <c r="G135" i="21"/>
  <c r="F135" i="21"/>
  <c r="E135" i="21"/>
  <c r="D135" i="21"/>
  <c r="G134" i="21"/>
  <c r="F134" i="21"/>
  <c r="E134" i="21"/>
  <c r="D134" i="21"/>
  <c r="G133" i="21"/>
  <c r="F133" i="21"/>
  <c r="E133" i="21"/>
  <c r="D133" i="21"/>
  <c r="G132" i="21"/>
  <c r="F132" i="21"/>
  <c r="E132" i="21"/>
  <c r="D132" i="21"/>
  <c r="G131" i="21"/>
  <c r="F131" i="21"/>
  <c r="E131" i="21"/>
  <c r="D131" i="21"/>
  <c r="G130" i="21"/>
  <c r="F130" i="21"/>
  <c r="E130" i="21"/>
  <c r="D130" i="21"/>
  <c r="G129" i="21"/>
  <c r="F129" i="21"/>
  <c r="E129" i="21"/>
  <c r="D129"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22" i="21"/>
  <c r="F122" i="21"/>
  <c r="E122" i="21"/>
  <c r="D122" i="21"/>
  <c r="G121" i="21"/>
  <c r="F121" i="21"/>
  <c r="E121" i="21"/>
  <c r="D121" i="21"/>
  <c r="G120" i="21"/>
  <c r="F120" i="21"/>
  <c r="E120" i="21"/>
  <c r="D120" i="21"/>
  <c r="G119" i="21"/>
  <c r="F119" i="21"/>
  <c r="E119" i="21"/>
  <c r="D119" i="21"/>
  <c r="G118" i="21"/>
  <c r="F118" i="21"/>
  <c r="E118" i="21"/>
  <c r="D118" i="21"/>
  <c r="G117" i="21"/>
  <c r="F117" i="21"/>
  <c r="E117" i="21"/>
  <c r="D117" i="21"/>
  <c r="G116" i="21"/>
  <c r="F116" i="21"/>
  <c r="E116" i="21"/>
  <c r="D116" i="21"/>
  <c r="G115" i="21"/>
  <c r="F115" i="21"/>
  <c r="E115" i="21"/>
  <c r="D115" i="21"/>
  <c r="G114" i="21"/>
  <c r="F114" i="21"/>
  <c r="E114" i="21"/>
  <c r="D114" i="21"/>
  <c r="G113" i="21"/>
  <c r="F113" i="21"/>
  <c r="E113" i="21"/>
  <c r="D113" i="21"/>
  <c r="G112" i="21"/>
  <c r="F112" i="21"/>
  <c r="E112" i="21"/>
  <c r="D112" i="21"/>
  <c r="G111" i="21"/>
  <c r="F111" i="21"/>
  <c r="E111" i="21"/>
  <c r="D111" i="21"/>
  <c r="G110" i="21"/>
  <c r="F110" i="21"/>
  <c r="E110" i="21"/>
  <c r="D110" i="21"/>
  <c r="G109" i="21"/>
  <c r="F109" i="21"/>
  <c r="E109" i="21"/>
  <c r="D109" i="21"/>
  <c r="G108" i="21"/>
  <c r="F108" i="21"/>
  <c r="E108" i="21"/>
  <c r="D108" i="21"/>
  <c r="G107" i="21"/>
  <c r="F107" i="21"/>
  <c r="E107" i="21"/>
  <c r="D107" i="21"/>
  <c r="G106" i="21"/>
  <c r="F106" i="21"/>
  <c r="E106" i="21"/>
  <c r="D106" i="21"/>
  <c r="G105" i="21"/>
  <c r="F105" i="21"/>
  <c r="E105" i="21"/>
  <c r="D105" i="21"/>
  <c r="G104" i="21"/>
  <c r="F104" i="21"/>
  <c r="E104" i="21"/>
  <c r="D104"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7" i="21"/>
  <c r="F97" i="21"/>
  <c r="E97" i="21"/>
  <c r="D97" i="21"/>
  <c r="G96" i="21"/>
  <c r="F96" i="21"/>
  <c r="E96" i="21"/>
  <c r="D96" i="21"/>
  <c r="G95" i="21"/>
  <c r="F95" i="21"/>
  <c r="E95" i="21"/>
  <c r="D95" i="21"/>
  <c r="G94" i="21"/>
  <c r="F94" i="21"/>
  <c r="E94" i="21"/>
  <c r="D94" i="21"/>
  <c r="G93" i="21"/>
  <c r="F93" i="21"/>
  <c r="E93" i="21"/>
  <c r="D93" i="21"/>
  <c r="G92" i="21"/>
  <c r="F92" i="21"/>
  <c r="E92" i="21"/>
  <c r="D92" i="21"/>
  <c r="G91" i="21"/>
  <c r="F91" i="21"/>
  <c r="E91" i="21"/>
  <c r="D91" i="21"/>
  <c r="G90" i="21"/>
  <c r="F90" i="21"/>
  <c r="E90" i="21"/>
  <c r="D90" i="21"/>
  <c r="G89" i="21"/>
  <c r="F89" i="21"/>
  <c r="E89" i="21"/>
  <c r="D89"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1" i="21"/>
  <c r="F81" i="21"/>
  <c r="E81" i="21"/>
  <c r="D81" i="21"/>
  <c r="G80" i="21"/>
  <c r="F80" i="21"/>
  <c r="E80" i="21"/>
  <c r="D80" i="21"/>
  <c r="G79" i="21"/>
  <c r="F79" i="21"/>
  <c r="E79" i="21"/>
  <c r="D79" i="21"/>
  <c r="G78" i="21"/>
  <c r="F78" i="21"/>
  <c r="E78" i="21"/>
  <c r="D78" i="21"/>
  <c r="G77" i="21"/>
  <c r="F77" i="21"/>
  <c r="E77" i="21"/>
  <c r="D77" i="21"/>
  <c r="G76" i="21"/>
  <c r="F76" i="21"/>
  <c r="E76" i="21"/>
  <c r="D76" i="21"/>
  <c r="G75" i="21"/>
  <c r="F75" i="21"/>
  <c r="E75" i="21"/>
  <c r="D75" i="21"/>
  <c r="G74" i="21"/>
  <c r="F74" i="21"/>
  <c r="E74" i="21"/>
  <c r="D74" i="21"/>
  <c r="G73" i="21"/>
  <c r="F73" i="21"/>
  <c r="E73" i="21"/>
  <c r="D73" i="21"/>
  <c r="G72" i="21"/>
  <c r="F72" i="21"/>
  <c r="E72" i="21"/>
  <c r="D72" i="21"/>
  <c r="G71" i="21"/>
  <c r="F71" i="21"/>
  <c r="E71" i="21"/>
  <c r="D71" i="21"/>
  <c r="G70" i="21"/>
  <c r="F70" i="21"/>
  <c r="E70" i="21"/>
  <c r="D70" i="21"/>
  <c r="G69" i="21"/>
  <c r="F69" i="21"/>
  <c r="E69" i="21"/>
  <c r="D69"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9" i="21"/>
  <c r="F59" i="21"/>
  <c r="E59" i="21"/>
  <c r="D59" i="21"/>
  <c r="G58" i="21"/>
  <c r="F58" i="21"/>
  <c r="E58" i="21"/>
  <c r="D58" i="21"/>
  <c r="G57" i="21"/>
  <c r="F57" i="21"/>
  <c r="E57" i="21"/>
  <c r="D57" i="21"/>
  <c r="G56" i="21"/>
  <c r="F56" i="21"/>
  <c r="E56" i="21"/>
  <c r="D56" i="21"/>
  <c r="G55" i="21"/>
  <c r="F55" i="21"/>
  <c r="E55" i="21"/>
  <c r="D55" i="21"/>
  <c r="G54" i="21"/>
  <c r="F54" i="21"/>
  <c r="E54" i="21"/>
  <c r="D54" i="21"/>
  <c r="G53" i="21"/>
  <c r="F53" i="21"/>
  <c r="E53" i="21"/>
  <c r="D53" i="21"/>
  <c r="G52" i="21"/>
  <c r="F52" i="21"/>
  <c r="E52" i="21"/>
  <c r="D52" i="21"/>
  <c r="G51" i="21"/>
  <c r="F51" i="21"/>
  <c r="E51" i="21"/>
  <c r="D51" i="21"/>
  <c r="G50" i="21"/>
  <c r="F50" i="21"/>
  <c r="E50" i="21"/>
  <c r="D50" i="21"/>
  <c r="G49" i="21"/>
  <c r="F49" i="21"/>
  <c r="E49" i="21"/>
  <c r="D49" i="21"/>
  <c r="G48" i="21"/>
  <c r="F48" i="21"/>
  <c r="E48" i="21"/>
  <c r="D48" i="21"/>
  <c r="G47" i="21"/>
  <c r="F47" i="21"/>
  <c r="E47" i="21"/>
  <c r="D47" i="21"/>
  <c r="G46" i="21"/>
  <c r="F46" i="21"/>
  <c r="E46" i="21"/>
  <c r="D46" i="21"/>
  <c r="G45" i="21"/>
  <c r="F45" i="21"/>
  <c r="E45" i="21"/>
  <c r="D45" i="21"/>
  <c r="G44" i="21"/>
  <c r="F44" i="21"/>
  <c r="E44" i="21"/>
  <c r="D44"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9" i="21"/>
  <c r="F19" i="21"/>
  <c r="E19" i="21"/>
  <c r="D19" i="21"/>
  <c r="G18" i="21"/>
  <c r="F18" i="21"/>
  <c r="E18" i="21"/>
  <c r="D18" i="21"/>
  <c r="G17" i="21"/>
  <c r="F17" i="21"/>
  <c r="E17" i="21"/>
  <c r="D17"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7" i="21"/>
  <c r="F7" i="21"/>
  <c r="E7" i="21"/>
  <c r="D7" i="21"/>
  <c r="G6" i="21"/>
  <c r="F6" i="21"/>
  <c r="E6" i="21"/>
  <c r="D6" i="21"/>
  <c r="G5" i="21"/>
  <c r="F5" i="21"/>
  <c r="E5" i="21"/>
  <c r="D5" i="21"/>
  <c r="G4" i="21"/>
  <c r="F4" i="21"/>
  <c r="E4" i="21"/>
  <c r="D4" i="21"/>
  <c r="G3" i="21"/>
  <c r="F3" i="21"/>
  <c r="E3" i="21"/>
  <c r="D3" i="21"/>
  <c r="G2" i="21"/>
  <c r="G891" i="21" s="1"/>
  <c r="J5" i="21" s="1"/>
  <c r="F2" i="21"/>
  <c r="E2" i="21"/>
  <c r="D2" i="21"/>
  <c r="F891" i="21" l="1"/>
  <c r="J4" i="21" s="1"/>
  <c r="D891" i="21"/>
  <c r="J2" i="21" s="1"/>
  <c r="E891" i="21"/>
  <c r="J3" i="21" s="1"/>
  <c r="L26" i="12"/>
  <c r="L25" i="12"/>
  <c r="D2" i="8" l="1"/>
  <c r="C13" i="8"/>
  <c r="S649" i="12" l="1"/>
  <c r="S648" i="12"/>
  <c r="S647" i="12"/>
  <c r="S646" i="12"/>
  <c r="S645" i="12"/>
  <c r="S644" i="12"/>
  <c r="S643" i="12"/>
  <c r="S642" i="12"/>
  <c r="S641" i="12"/>
  <c r="S640" i="12"/>
  <c r="S639" i="12"/>
  <c r="S638" i="12"/>
  <c r="S637" i="12"/>
  <c r="S636" i="12"/>
  <c r="S635" i="12"/>
  <c r="S634" i="12"/>
  <c r="S633" i="12"/>
  <c r="S632" i="12"/>
  <c r="S631" i="12"/>
  <c r="S630" i="12"/>
  <c r="S629" i="12"/>
  <c r="S628" i="12"/>
  <c r="S627" i="12"/>
  <c r="S626" i="12"/>
  <c r="S625" i="12"/>
  <c r="S624" i="12"/>
  <c r="S623" i="12"/>
  <c r="S622" i="12"/>
  <c r="S621" i="12"/>
  <c r="S620" i="12"/>
  <c r="S619" i="12"/>
  <c r="S618" i="12"/>
  <c r="S617" i="12"/>
  <c r="S616" i="12"/>
  <c r="S615" i="12"/>
  <c r="S614" i="12"/>
  <c r="S613" i="12"/>
  <c r="S612" i="12"/>
  <c r="S611" i="12"/>
  <c r="S610" i="12"/>
  <c r="S609" i="12"/>
  <c r="S608" i="12"/>
  <c r="S607" i="12"/>
  <c r="S606" i="12"/>
  <c r="S605" i="12"/>
  <c r="S604" i="12"/>
  <c r="S603" i="12"/>
  <c r="S602" i="12"/>
  <c r="S601" i="12"/>
  <c r="S600" i="12"/>
  <c r="S599" i="12"/>
  <c r="S598" i="12"/>
  <c r="S597" i="12"/>
  <c r="S596" i="12"/>
  <c r="S595" i="12"/>
  <c r="S594" i="12"/>
  <c r="S593" i="12"/>
  <c r="S592" i="12"/>
  <c r="S591" i="12"/>
  <c r="S590" i="12"/>
  <c r="S589" i="12"/>
  <c r="S588" i="12"/>
  <c r="S587" i="12"/>
  <c r="S586" i="12"/>
  <c r="S585" i="12"/>
  <c r="S584" i="12"/>
  <c r="S583" i="12"/>
  <c r="S582" i="12"/>
  <c r="S581" i="12"/>
  <c r="S580" i="12"/>
  <c r="S579" i="12"/>
  <c r="S578" i="12"/>
  <c r="S577" i="12"/>
  <c r="S576" i="12"/>
  <c r="S575" i="12"/>
  <c r="S574" i="12"/>
  <c r="S573" i="12"/>
  <c r="S572" i="12"/>
  <c r="S571" i="12"/>
  <c r="S570" i="12"/>
  <c r="S569" i="12"/>
  <c r="S568" i="12"/>
  <c r="S567" i="12"/>
  <c r="S566" i="12"/>
  <c r="S565" i="12"/>
  <c r="S564" i="12"/>
  <c r="S563" i="12"/>
  <c r="S562" i="12"/>
  <c r="S561" i="12"/>
  <c r="S560" i="12"/>
  <c r="S559" i="12"/>
  <c r="S558" i="12"/>
  <c r="S557" i="12"/>
  <c r="S556" i="12"/>
  <c r="S555" i="12"/>
  <c r="S554" i="12"/>
  <c r="S553" i="12"/>
  <c r="S552" i="12"/>
  <c r="S551" i="12"/>
  <c r="S550" i="12"/>
  <c r="S549" i="12"/>
  <c r="S548" i="12"/>
  <c r="S547" i="12"/>
  <c r="S546" i="12"/>
  <c r="S545" i="12"/>
  <c r="S544" i="12"/>
  <c r="S543" i="12"/>
  <c r="S542" i="12"/>
  <c r="S541" i="12"/>
  <c r="S540" i="12"/>
  <c r="S539" i="12"/>
  <c r="S538" i="12"/>
  <c r="S537" i="12"/>
  <c r="S536" i="12"/>
  <c r="S535" i="12"/>
  <c r="S534" i="12"/>
  <c r="S533" i="12"/>
  <c r="S532" i="12"/>
  <c r="S531" i="12"/>
  <c r="S530" i="12"/>
  <c r="S529" i="12"/>
  <c r="S528" i="12"/>
  <c r="S527" i="12"/>
  <c r="S526" i="12"/>
  <c r="S525" i="12"/>
  <c r="S524" i="12"/>
  <c r="S523" i="12"/>
  <c r="S522" i="12"/>
  <c r="S521" i="12"/>
  <c r="S520" i="12"/>
  <c r="S519" i="12"/>
  <c r="S518" i="12"/>
  <c r="S517" i="12"/>
  <c r="S516" i="12"/>
  <c r="S515" i="12"/>
  <c r="S514" i="12"/>
  <c r="S513" i="12"/>
  <c r="S512" i="12"/>
  <c r="S511" i="12"/>
  <c r="S510" i="12"/>
  <c r="S509" i="12"/>
  <c r="S508" i="12"/>
  <c r="S507" i="12"/>
  <c r="S506" i="12"/>
  <c r="S505" i="12"/>
  <c r="S504" i="12"/>
  <c r="S503" i="12"/>
  <c r="S502" i="12"/>
  <c r="S501" i="12"/>
  <c r="S500" i="12"/>
  <c r="S499" i="12"/>
  <c r="S498" i="12"/>
  <c r="S497" i="12"/>
  <c r="S496" i="12"/>
  <c r="S495" i="12"/>
  <c r="S494" i="12"/>
  <c r="S493" i="12"/>
  <c r="S492" i="12"/>
  <c r="S491" i="12"/>
  <c r="S490" i="12"/>
  <c r="S489" i="12"/>
  <c r="S488" i="12"/>
  <c r="S487" i="12"/>
  <c r="S486" i="12"/>
  <c r="S485" i="12"/>
  <c r="S484" i="12"/>
  <c r="S483" i="12"/>
  <c r="S482" i="12"/>
  <c r="S481" i="12"/>
  <c r="S480" i="12"/>
  <c r="S479" i="12"/>
  <c r="S478" i="12"/>
  <c r="S477" i="12"/>
  <c r="S476" i="12"/>
  <c r="S475" i="12"/>
  <c r="S474" i="12"/>
  <c r="S473" i="12"/>
  <c r="S472" i="12"/>
  <c r="S471" i="12"/>
  <c r="S470" i="12"/>
  <c r="S469" i="12"/>
  <c r="S468" i="12"/>
  <c r="S467" i="12"/>
  <c r="S466" i="12"/>
  <c r="S465" i="12"/>
  <c r="S464" i="12"/>
  <c r="S463" i="12"/>
  <c r="S462" i="12"/>
  <c r="S461" i="12"/>
  <c r="S460" i="12"/>
  <c r="S459" i="12"/>
  <c r="S458" i="12"/>
  <c r="S457" i="12"/>
  <c r="S456" i="12"/>
  <c r="S455" i="12"/>
  <c r="S454" i="12"/>
  <c r="S453" i="12"/>
  <c r="S452" i="12"/>
  <c r="S451" i="12"/>
  <c r="S450" i="12"/>
  <c r="S449" i="12"/>
  <c r="S448" i="12"/>
  <c r="S447" i="12"/>
  <c r="S446" i="12"/>
  <c r="S445" i="12"/>
  <c r="S444" i="12"/>
  <c r="S443" i="12"/>
  <c r="S442" i="12"/>
  <c r="S441" i="12"/>
  <c r="S440" i="12"/>
  <c r="S439" i="12"/>
  <c r="S438" i="12"/>
  <c r="S437" i="12"/>
  <c r="S436" i="12"/>
  <c r="S435" i="12"/>
  <c r="S434" i="12"/>
  <c r="S433" i="12"/>
  <c r="S432" i="12"/>
  <c r="S431" i="12"/>
  <c r="S430" i="12"/>
  <c r="S429" i="12"/>
  <c r="S428" i="12"/>
  <c r="S427" i="12"/>
  <c r="S426" i="12"/>
  <c r="S425" i="12"/>
  <c r="S424" i="12"/>
  <c r="S423" i="12"/>
  <c r="S422" i="12"/>
  <c r="S421" i="12"/>
  <c r="S420" i="12"/>
  <c r="S419" i="12"/>
  <c r="S418" i="12"/>
  <c r="S417" i="12"/>
  <c r="S416" i="12"/>
  <c r="S415" i="12"/>
  <c r="S414" i="12"/>
  <c r="S413" i="12"/>
  <c r="S412" i="12"/>
  <c r="S411" i="12"/>
  <c r="S410" i="12"/>
  <c r="S409" i="12"/>
  <c r="S408" i="12"/>
  <c r="S407" i="12"/>
  <c r="S406" i="12"/>
  <c r="S405" i="12"/>
  <c r="S404" i="12"/>
  <c r="S403" i="12"/>
  <c r="S402" i="12"/>
  <c r="S401" i="12"/>
  <c r="S400" i="12"/>
  <c r="S399" i="12"/>
  <c r="S398" i="12"/>
  <c r="S397" i="12"/>
  <c r="S396" i="12"/>
  <c r="S395" i="12"/>
  <c r="S394" i="12"/>
  <c r="S393" i="12"/>
  <c r="S392" i="12"/>
  <c r="S391" i="12"/>
  <c r="S390" i="12"/>
  <c r="S389" i="12"/>
  <c r="S388" i="12"/>
  <c r="S387" i="12"/>
  <c r="S386" i="12"/>
  <c r="S385" i="12"/>
  <c r="S384" i="12"/>
  <c r="S383" i="12"/>
  <c r="S382" i="12"/>
  <c r="S381" i="12"/>
  <c r="S380" i="12"/>
  <c r="S379" i="12"/>
  <c r="S378" i="12"/>
  <c r="S377" i="12"/>
  <c r="S376" i="12"/>
  <c r="S375" i="12"/>
  <c r="S374" i="12"/>
  <c r="S373" i="12"/>
  <c r="S372" i="12"/>
  <c r="S371" i="12"/>
  <c r="S370" i="12"/>
  <c r="S369" i="12"/>
  <c r="S368" i="12"/>
  <c r="S367" i="12"/>
  <c r="S366" i="12"/>
  <c r="S365" i="12"/>
  <c r="S364" i="12"/>
  <c r="S363" i="12"/>
  <c r="S362" i="12"/>
  <c r="S361" i="12"/>
  <c r="S360" i="12"/>
  <c r="S359" i="12"/>
  <c r="S358" i="12"/>
  <c r="S357" i="12"/>
  <c r="S356" i="12"/>
  <c r="S355" i="12"/>
  <c r="S354" i="12"/>
  <c r="S353" i="12"/>
  <c r="S352" i="12"/>
  <c r="S351" i="12"/>
  <c r="S350" i="12"/>
  <c r="S349" i="12"/>
  <c r="S348" i="12"/>
  <c r="S347" i="12"/>
  <c r="S346" i="12"/>
  <c r="S345" i="12"/>
  <c r="S344" i="12"/>
  <c r="S343" i="12"/>
  <c r="S342" i="12"/>
  <c r="S341" i="12"/>
  <c r="S340" i="12"/>
  <c r="S339" i="12"/>
  <c r="S338" i="12"/>
  <c r="S337" i="12"/>
  <c r="S336" i="12"/>
  <c r="S335" i="12"/>
  <c r="S334" i="12"/>
  <c r="S333" i="12"/>
  <c r="S332" i="12"/>
  <c r="S331" i="12"/>
  <c r="S330" i="12"/>
  <c r="S329" i="12"/>
  <c r="S328" i="12"/>
  <c r="S327" i="12"/>
  <c r="S326" i="12"/>
  <c r="S325" i="12"/>
  <c r="S324" i="12"/>
  <c r="S323" i="12"/>
  <c r="S322" i="12"/>
  <c r="S321" i="12"/>
  <c r="S320" i="12"/>
  <c r="S319" i="12"/>
  <c r="S318" i="12"/>
  <c r="S317" i="12"/>
  <c r="S316" i="12"/>
  <c r="S315" i="12"/>
  <c r="S314" i="12"/>
  <c r="S313" i="12"/>
  <c r="S312" i="12"/>
  <c r="S311" i="12"/>
  <c r="S310" i="12"/>
  <c r="S309" i="12"/>
  <c r="S308" i="12"/>
  <c r="S307" i="12"/>
  <c r="S306" i="12"/>
  <c r="S305" i="12"/>
  <c r="S304" i="12"/>
  <c r="S303" i="12"/>
  <c r="S302" i="12"/>
  <c r="S301" i="12"/>
  <c r="S300" i="12"/>
  <c r="S299" i="12"/>
  <c r="S298" i="12"/>
  <c r="S297" i="12"/>
  <c r="S296" i="12"/>
  <c r="S295" i="12"/>
  <c r="S294" i="12"/>
  <c r="S293" i="12"/>
  <c r="S292" i="12"/>
  <c r="S291" i="12"/>
  <c r="S290" i="12"/>
  <c r="S289" i="12"/>
  <c r="S288" i="12"/>
  <c r="S287" i="12"/>
  <c r="S286" i="12"/>
  <c r="S285" i="12"/>
  <c r="S284" i="12"/>
  <c r="S283" i="12"/>
  <c r="S282" i="12"/>
  <c r="S281" i="12"/>
  <c r="S280" i="12"/>
  <c r="S279" i="12"/>
  <c r="S278" i="12"/>
  <c r="S277" i="12"/>
  <c r="S276" i="12"/>
  <c r="S275" i="12"/>
  <c r="S274" i="12"/>
  <c r="S273" i="12"/>
  <c r="S272" i="12"/>
  <c r="S271" i="12"/>
  <c r="S270" i="12"/>
  <c r="S269" i="12"/>
  <c r="S268" i="12"/>
  <c r="S267" i="12"/>
  <c r="S266" i="12"/>
  <c r="S265" i="12"/>
  <c r="S264" i="12"/>
  <c r="S263" i="12"/>
  <c r="S262" i="12"/>
  <c r="S261" i="12"/>
  <c r="S260" i="12"/>
  <c r="S259" i="12"/>
  <c r="S258" i="12"/>
  <c r="S257" i="12"/>
  <c r="S256" i="12"/>
  <c r="S255" i="12"/>
  <c r="S254" i="12"/>
  <c r="S253" i="12"/>
  <c r="S252" i="12"/>
  <c r="S251" i="12"/>
  <c r="S250" i="12"/>
  <c r="S249" i="12"/>
  <c r="S248" i="12"/>
  <c r="S247" i="12"/>
  <c r="S246" i="12"/>
  <c r="S245" i="12"/>
  <c r="S244" i="12"/>
  <c r="S243" i="12"/>
  <c r="S242" i="12"/>
  <c r="S241" i="12"/>
  <c r="S240" i="12"/>
  <c r="S239" i="12"/>
  <c r="S238" i="12"/>
  <c r="S237" i="12"/>
  <c r="S236" i="12"/>
  <c r="S235" i="12"/>
  <c r="S234" i="12"/>
  <c r="S233" i="12"/>
  <c r="S232" i="12"/>
  <c r="S231" i="12"/>
  <c r="S230" i="12"/>
  <c r="S229" i="12"/>
  <c r="S228" i="12"/>
  <c r="S227" i="12"/>
  <c r="S226" i="12"/>
  <c r="S225" i="12"/>
  <c r="S224" i="12"/>
  <c r="S223" i="12"/>
  <c r="S222" i="12"/>
  <c r="S221" i="12"/>
  <c r="S220" i="12"/>
  <c r="S219" i="12"/>
  <c r="S218" i="12"/>
  <c r="S217" i="12"/>
  <c r="S216" i="12"/>
  <c r="S215" i="12"/>
  <c r="S214" i="12"/>
  <c r="S213" i="12"/>
  <c r="S212" i="12"/>
  <c r="S211" i="12"/>
  <c r="S210" i="12"/>
  <c r="S209" i="12"/>
  <c r="S208" i="12"/>
  <c r="S207" i="12"/>
  <c r="S206" i="12"/>
  <c r="S205" i="12"/>
  <c r="S204" i="12"/>
  <c r="S203" i="12"/>
  <c r="S202" i="12"/>
  <c r="S201" i="12"/>
  <c r="S200" i="12"/>
  <c r="S199" i="12"/>
  <c r="S198" i="12"/>
  <c r="S197" i="12"/>
  <c r="S196" i="12"/>
  <c r="S195" i="12"/>
  <c r="S194" i="12"/>
  <c r="S193" i="12"/>
  <c r="S192" i="12"/>
  <c r="S191" i="12"/>
  <c r="S190" i="12"/>
  <c r="S189" i="12"/>
  <c r="S188" i="12"/>
  <c r="S187" i="12"/>
  <c r="S186" i="12"/>
  <c r="S185" i="12"/>
  <c r="S184" i="12"/>
  <c r="S183" i="12"/>
  <c r="S182" i="12"/>
  <c r="S181" i="12"/>
  <c r="S180" i="12"/>
  <c r="S179" i="12"/>
  <c r="S178" i="12"/>
  <c r="S177" i="12"/>
  <c r="S176" i="12"/>
  <c r="S175" i="12"/>
  <c r="S174" i="12"/>
  <c r="S173" i="12"/>
  <c r="S172" i="12"/>
  <c r="S171" i="12"/>
  <c r="S170" i="12"/>
  <c r="S169" i="12"/>
  <c r="S168" i="12"/>
  <c r="S167" i="12"/>
  <c r="S166" i="12"/>
  <c r="S165" i="12"/>
  <c r="S164" i="12"/>
  <c r="S163" i="12"/>
  <c r="S162" i="12"/>
  <c r="S161" i="12"/>
  <c r="S160" i="12"/>
  <c r="S159" i="12"/>
  <c r="S158" i="12"/>
  <c r="S157" i="12"/>
  <c r="S156" i="12"/>
  <c r="S155" i="12"/>
  <c r="S154" i="12"/>
  <c r="S153" i="12"/>
  <c r="S152" i="12"/>
  <c r="S151" i="12"/>
  <c r="S150" i="12"/>
  <c r="S149" i="12"/>
  <c r="S148" i="12"/>
  <c r="S147" i="12"/>
  <c r="S146" i="12"/>
  <c r="S145" i="12"/>
  <c r="S144" i="12"/>
  <c r="S143" i="12"/>
  <c r="S142" i="12"/>
  <c r="S141" i="12"/>
  <c r="S140" i="12"/>
  <c r="S139" i="12"/>
  <c r="S138" i="12"/>
  <c r="S137" i="12"/>
  <c r="S136" i="12"/>
  <c r="S135" i="12"/>
  <c r="S134" i="12"/>
  <c r="S133" i="12"/>
  <c r="S132" i="12"/>
  <c r="S131" i="12"/>
  <c r="S130" i="12"/>
  <c r="S129" i="12"/>
  <c r="S128" i="12"/>
  <c r="S127" i="12"/>
  <c r="S126" i="12"/>
  <c r="S125" i="12"/>
  <c r="S124" i="12"/>
  <c r="S123" i="12"/>
  <c r="S122" i="12"/>
  <c r="S121" i="12"/>
  <c r="S120" i="12"/>
  <c r="S119" i="12"/>
  <c r="S118" i="12"/>
  <c r="S117" i="12"/>
  <c r="S116" i="12"/>
  <c r="S115" i="12"/>
  <c r="S114" i="12"/>
  <c r="S113" i="12"/>
  <c r="S112" i="12"/>
  <c r="S111" i="12"/>
  <c r="S110" i="12"/>
  <c r="S109" i="12"/>
  <c r="S108" i="12"/>
  <c r="S107" i="12"/>
  <c r="S106" i="12"/>
  <c r="S105" i="12"/>
  <c r="S104" i="12"/>
  <c r="S103" i="12"/>
  <c r="S102" i="12"/>
  <c r="S101" i="12"/>
  <c r="S100" i="12"/>
  <c r="S99" i="12"/>
  <c r="S98" i="12"/>
  <c r="S97" i="12"/>
  <c r="S96" i="12"/>
  <c r="S95" i="12"/>
  <c r="S94" i="12"/>
  <c r="S93" i="12"/>
  <c r="S92" i="12"/>
  <c r="S91" i="12"/>
  <c r="S90" i="12"/>
  <c r="S89" i="12"/>
  <c r="S88" i="12"/>
  <c r="S87" i="12"/>
  <c r="S86" i="12"/>
  <c r="S85" i="12"/>
  <c r="S84" i="12"/>
  <c r="S83" i="12"/>
  <c r="S82" i="12"/>
  <c r="S81" i="12"/>
  <c r="S80" i="12"/>
  <c r="S79" i="12"/>
  <c r="S78" i="12"/>
  <c r="S77" i="12"/>
  <c r="S76" i="12"/>
  <c r="S75" i="12"/>
  <c r="S74" i="12"/>
  <c r="S73" i="12"/>
  <c r="S72" i="12"/>
  <c r="S71" i="12"/>
  <c r="S70" i="12"/>
  <c r="S69" i="12"/>
  <c r="S68" i="12"/>
  <c r="S67" i="12"/>
  <c r="S66" i="12"/>
  <c r="S65" i="12"/>
  <c r="S64" i="12"/>
  <c r="S63" i="12"/>
  <c r="S62" i="12"/>
  <c r="S61" i="12"/>
  <c r="S60" i="12"/>
  <c r="S59" i="12"/>
  <c r="S58" i="12"/>
  <c r="S57" i="12"/>
  <c r="S56" i="12"/>
  <c r="S55" i="12"/>
  <c r="S54" i="12"/>
  <c r="S53" i="12"/>
  <c r="S52" i="12"/>
  <c r="S51" i="12"/>
  <c r="S50" i="12"/>
  <c r="S49" i="12"/>
  <c r="S48" i="12"/>
  <c r="S47" i="12"/>
  <c r="S46" i="12"/>
  <c r="S45" i="12"/>
  <c r="S44" i="12"/>
  <c r="S43" i="12"/>
  <c r="S42" i="12"/>
  <c r="S41" i="12"/>
  <c r="S40" i="12"/>
  <c r="S39" i="12"/>
  <c r="S38" i="12"/>
  <c r="S37" i="12"/>
  <c r="S36" i="12"/>
  <c r="S35" i="12"/>
  <c r="S34" i="12"/>
  <c r="S33" i="12"/>
  <c r="S32" i="12"/>
  <c r="S31" i="12"/>
  <c r="S30" i="12"/>
  <c r="S29" i="12"/>
  <c r="S28" i="12"/>
  <c r="S27" i="12"/>
  <c r="S26" i="12"/>
  <c r="S25" i="12"/>
  <c r="S24" i="12"/>
  <c r="S23" i="12"/>
  <c r="S22" i="12"/>
  <c r="S21" i="12"/>
  <c r="S20" i="12"/>
  <c r="S19" i="12"/>
  <c r="S18" i="12"/>
  <c r="S17" i="12"/>
  <c r="S16" i="12"/>
  <c r="S15" i="12"/>
  <c r="S14" i="12"/>
  <c r="S13" i="12"/>
  <c r="S12" i="12"/>
  <c r="S11" i="12"/>
  <c r="S10" i="12"/>
  <c r="S9" i="12"/>
  <c r="S8" i="12"/>
  <c r="S7" i="12"/>
  <c r="S6" i="12"/>
  <c r="S5" i="12"/>
  <c r="S4" i="12"/>
  <c r="S3" i="12"/>
  <c r="S2"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L618" i="12"/>
  <c r="L617" i="12"/>
  <c r="L616" i="12"/>
  <c r="L615" i="12"/>
  <c r="L614" i="12"/>
  <c r="L613" i="12"/>
  <c r="L612" i="12"/>
  <c r="L611" i="12"/>
  <c r="L610" i="12"/>
  <c r="L609" i="12"/>
  <c r="L608" i="12"/>
  <c r="L607" i="12"/>
  <c r="L606" i="12"/>
  <c r="L605" i="12"/>
  <c r="L604" i="12"/>
  <c r="L603" i="12"/>
  <c r="L602" i="12"/>
  <c r="L601" i="12"/>
  <c r="L600" i="12"/>
  <c r="L599" i="12"/>
  <c r="L598" i="12"/>
  <c r="L597" i="12"/>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L540" i="12"/>
  <c r="L539" i="12"/>
  <c r="L538" i="12"/>
  <c r="L537" i="12"/>
  <c r="L536" i="12"/>
  <c r="L535" i="12"/>
  <c r="L534" i="12"/>
  <c r="L533" i="12"/>
  <c r="L532" i="12"/>
  <c r="L531" i="12"/>
  <c r="L530" i="12"/>
  <c r="L529" i="12"/>
  <c r="L528" i="12"/>
  <c r="L527" i="12"/>
  <c r="L526" i="12"/>
  <c r="L525" i="12"/>
  <c r="L524" i="12"/>
  <c r="L523" i="12"/>
  <c r="L522" i="12"/>
  <c r="L521" i="12"/>
  <c r="L520" i="12"/>
  <c r="L519" i="12"/>
  <c r="L518" i="12"/>
  <c r="L517" i="12"/>
  <c r="L516" i="12"/>
  <c r="L515" i="12"/>
  <c r="L514" i="12"/>
  <c r="L513" i="12"/>
  <c r="L512" i="12"/>
  <c r="L511" i="12"/>
  <c r="L510" i="12"/>
  <c r="L509" i="12"/>
  <c r="L508" i="12"/>
  <c r="L507" i="12"/>
  <c r="L506" i="12"/>
  <c r="L505" i="12"/>
  <c r="L504" i="12"/>
  <c r="L503" i="12"/>
  <c r="L502" i="12"/>
  <c r="L501" i="12"/>
  <c r="L500" i="12"/>
  <c r="L499" i="12"/>
  <c r="L498" i="12"/>
  <c r="L497" i="12"/>
  <c r="L496" i="12"/>
  <c r="L495" i="12"/>
  <c r="L494" i="12"/>
  <c r="L493" i="12"/>
  <c r="L492" i="12"/>
  <c r="L491" i="12"/>
  <c r="L490" i="12"/>
  <c r="L489" i="12"/>
  <c r="L488" i="12"/>
  <c r="L487" i="12"/>
  <c r="L486" i="12"/>
  <c r="L485" i="12"/>
  <c r="L484" i="12"/>
  <c r="L483" i="12"/>
  <c r="L482" i="12"/>
  <c r="L481" i="12"/>
  <c r="L480" i="12"/>
  <c r="L479" i="12"/>
  <c r="L478" i="12"/>
  <c r="L477" i="12"/>
  <c r="L476" i="12"/>
  <c r="L475" i="12"/>
  <c r="L474" i="12"/>
  <c r="L473" i="12"/>
  <c r="L472" i="12"/>
  <c r="L471" i="12"/>
  <c r="L470" i="12"/>
  <c r="L469" i="12"/>
  <c r="L468" i="12"/>
  <c r="L467" i="12"/>
  <c r="L466" i="12"/>
  <c r="L465" i="12"/>
  <c r="L464" i="12"/>
  <c r="L463" i="12"/>
  <c r="L462" i="12"/>
  <c r="L461" i="12"/>
  <c r="L460" i="12"/>
  <c r="L459" i="12"/>
  <c r="L458" i="12"/>
  <c r="L457" i="12"/>
  <c r="L456" i="12"/>
  <c r="L455" i="12"/>
  <c r="L454" i="12"/>
  <c r="L453" i="12"/>
  <c r="L452" i="12"/>
  <c r="L451" i="12"/>
  <c r="L450" i="12"/>
  <c r="L449" i="12"/>
  <c r="L448" i="12"/>
  <c r="L447" i="12"/>
  <c r="L446" i="12"/>
  <c r="L445" i="12"/>
  <c r="L444" i="12"/>
  <c r="L443" i="12"/>
  <c r="L442" i="12"/>
  <c r="L441" i="12"/>
  <c r="L440" i="12"/>
  <c r="L439" i="12"/>
  <c r="L438" i="12"/>
  <c r="L437" i="12"/>
  <c r="L436" i="12"/>
  <c r="L435" i="12"/>
  <c r="L434" i="12"/>
  <c r="L433" i="12"/>
  <c r="L432" i="12"/>
  <c r="L431" i="12"/>
  <c r="L430" i="12"/>
  <c r="L429" i="12"/>
  <c r="L428" i="12"/>
  <c r="L427" i="12"/>
  <c r="L426" i="12"/>
  <c r="L425" i="12"/>
  <c r="L424" i="12"/>
  <c r="L423" i="12"/>
  <c r="L422" i="12"/>
  <c r="L421" i="12"/>
  <c r="L420" i="12"/>
  <c r="L419" i="12"/>
  <c r="L418" i="12"/>
  <c r="L417" i="12"/>
  <c r="L416" i="12"/>
  <c r="L415" i="12"/>
  <c r="L414" i="12"/>
  <c r="L413" i="12"/>
  <c r="L412" i="12"/>
  <c r="L411" i="12"/>
  <c r="L410" i="12"/>
  <c r="L409" i="12"/>
  <c r="L408" i="1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4" i="12"/>
  <c r="L23" i="12"/>
  <c r="L22" i="12"/>
  <c r="L21" i="12"/>
  <c r="L20" i="12"/>
  <c r="L19" i="12"/>
  <c r="L18" i="12"/>
  <c r="L17" i="12"/>
  <c r="L16" i="12"/>
  <c r="L15" i="12"/>
  <c r="L14" i="12"/>
  <c r="L13" i="12"/>
  <c r="L12" i="12"/>
  <c r="L11" i="12"/>
  <c r="L10" i="12"/>
  <c r="L9" i="12"/>
  <c r="L8" i="12"/>
  <c r="L7" i="12"/>
  <c r="L6" i="12"/>
  <c r="L5" i="12"/>
  <c r="L4" i="12"/>
  <c r="L3" i="12"/>
  <c r="L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9"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E642" i="12"/>
  <c r="E519" i="12"/>
  <c r="E520" i="12"/>
  <c r="E521" i="12"/>
  <c r="E522" i="12"/>
  <c r="E523" i="12"/>
  <c r="AS7" i="13" s="1"/>
  <c r="E524" i="12"/>
  <c r="AS8" i="13" s="1"/>
  <c r="E525" i="12"/>
  <c r="E526" i="12"/>
  <c r="E527" i="12"/>
  <c r="E528" i="12"/>
  <c r="E529" i="12"/>
  <c r="E530" i="12"/>
  <c r="E531" i="12"/>
  <c r="E532" i="12"/>
  <c r="E533" i="12"/>
  <c r="E534" i="12"/>
  <c r="E535" i="12"/>
  <c r="E536" i="12"/>
  <c r="E537" i="12"/>
  <c r="E538" i="12"/>
  <c r="E539" i="12"/>
  <c r="AT11" i="13" s="1"/>
  <c r="E540" i="12"/>
  <c r="AT12" i="13" s="1"/>
  <c r="E541" i="12"/>
  <c r="E542" i="12"/>
  <c r="E543" i="12"/>
  <c r="E544" i="12"/>
  <c r="E545" i="12"/>
  <c r="AU5" i="13" s="1"/>
  <c r="E546" i="12"/>
  <c r="E547" i="12"/>
  <c r="E548" i="12"/>
  <c r="AU8" i="13" s="1"/>
  <c r="E549" i="12"/>
  <c r="E550" i="12"/>
  <c r="E551" i="12"/>
  <c r="E552" i="12"/>
  <c r="E553" i="12"/>
  <c r="E554" i="12"/>
  <c r="E555" i="12"/>
  <c r="E556" i="12"/>
  <c r="AV4" i="13" s="1"/>
  <c r="E557" i="12"/>
  <c r="AV5" i="13" s="1"/>
  <c r="E558" i="12"/>
  <c r="E559" i="12"/>
  <c r="E560" i="12"/>
  <c r="E561" i="12"/>
  <c r="E562" i="12"/>
  <c r="E563" i="12"/>
  <c r="E564" i="12"/>
  <c r="AV12" i="13" s="1"/>
  <c r="E565" i="12"/>
  <c r="E566" i="12"/>
  <c r="E567" i="12"/>
  <c r="AW3" i="13" s="1"/>
  <c r="E568" i="12"/>
  <c r="E569" i="12"/>
  <c r="E570" i="12"/>
  <c r="E571" i="12"/>
  <c r="E572" i="12"/>
  <c r="AW8" i="13" s="1"/>
  <c r="E573" i="12"/>
  <c r="E574" i="12"/>
  <c r="E575" i="12"/>
  <c r="E576" i="12"/>
  <c r="E577" i="12"/>
  <c r="E578" i="12"/>
  <c r="E579" i="12"/>
  <c r="E580" i="12"/>
  <c r="AX4" i="13" s="1"/>
  <c r="E581" i="12"/>
  <c r="E582" i="12"/>
  <c r="E583" i="12"/>
  <c r="E584" i="12"/>
  <c r="E585" i="12"/>
  <c r="E586" i="12"/>
  <c r="E587" i="12"/>
  <c r="E588" i="12"/>
  <c r="AX12" i="13" s="1"/>
  <c r="E589" i="12"/>
  <c r="E590" i="12"/>
  <c r="E591" i="12"/>
  <c r="E592" i="12"/>
  <c r="E593" i="12"/>
  <c r="AY5" i="13" s="1"/>
  <c r="E594" i="12"/>
  <c r="E595" i="12"/>
  <c r="E596" i="12"/>
  <c r="AY8" i="13" s="1"/>
  <c r="E597" i="12"/>
  <c r="AY9" i="13" s="1"/>
  <c r="E598" i="12"/>
  <c r="E599" i="12"/>
  <c r="E600" i="12"/>
  <c r="E601" i="12"/>
  <c r="E602" i="12"/>
  <c r="E603" i="12"/>
  <c r="E604" i="12"/>
  <c r="AZ4" i="13" s="1"/>
  <c r="E605" i="12"/>
  <c r="E606" i="12"/>
  <c r="E607" i="12"/>
  <c r="E608" i="12"/>
  <c r="E609" i="12"/>
  <c r="AZ9" i="13" s="1"/>
  <c r="E610" i="12"/>
  <c r="E611" i="12"/>
  <c r="E612" i="12"/>
  <c r="AZ12" i="13" s="1"/>
  <c r="E613" i="12"/>
  <c r="E614" i="12"/>
  <c r="E615" i="12"/>
  <c r="E616" i="12"/>
  <c r="E617" i="12"/>
  <c r="E618" i="12"/>
  <c r="E619" i="12"/>
  <c r="BA7" i="13" s="1"/>
  <c r="E620" i="12"/>
  <c r="BA8" i="13" s="1"/>
  <c r="E621" i="12"/>
  <c r="E622" i="12"/>
  <c r="E623" i="12"/>
  <c r="E624" i="12"/>
  <c r="E625" i="12"/>
  <c r="E626" i="12"/>
  <c r="E627" i="12"/>
  <c r="E628" i="12"/>
  <c r="BB4" i="13" s="1"/>
  <c r="E629" i="12"/>
  <c r="E630" i="12"/>
  <c r="E631" i="12"/>
  <c r="E632" i="12"/>
  <c r="E633" i="12"/>
  <c r="E634" i="12"/>
  <c r="E635" i="12"/>
  <c r="BB11" i="13" s="1"/>
  <c r="E636" i="12"/>
  <c r="BB12" i="13" s="1"/>
  <c r="E637" i="12"/>
  <c r="E638" i="12"/>
  <c r="E639" i="12"/>
  <c r="E640" i="12"/>
  <c r="BC4" i="13" s="1"/>
  <c r="E641" i="12"/>
  <c r="E643" i="12"/>
  <c r="E644" i="12"/>
  <c r="BC8" i="13" s="1"/>
  <c r="E645" i="12"/>
  <c r="BC9" i="13" s="1"/>
  <c r="E646" i="12"/>
  <c r="E647" i="12"/>
  <c r="E648" i="12"/>
  <c r="E649" i="12"/>
  <c r="BC13" i="13" s="1"/>
  <c r="AU4" i="13"/>
  <c r="AT4" i="13"/>
  <c r="E2" i="12"/>
  <c r="E518" i="12"/>
  <c r="E517" i="12"/>
  <c r="E516" i="12"/>
  <c r="E515" i="12"/>
  <c r="E514" i="12"/>
  <c r="E513" i="12"/>
  <c r="E512" i="12"/>
  <c r="E511" i="12"/>
  <c r="E510" i="12"/>
  <c r="E509" i="12"/>
  <c r="E508" i="12"/>
  <c r="E507" i="12"/>
  <c r="E506" i="12"/>
  <c r="E505" i="12"/>
  <c r="E504" i="12"/>
  <c r="E503" i="12"/>
  <c r="E502" i="12"/>
  <c r="E501" i="12"/>
  <c r="E500" i="12"/>
  <c r="E499" i="12"/>
  <c r="E498" i="12"/>
  <c r="E497" i="12"/>
  <c r="E496" i="12"/>
  <c r="E495" i="12"/>
  <c r="E494" i="12"/>
  <c r="E493" i="12"/>
  <c r="E492" i="12"/>
  <c r="E491" i="12"/>
  <c r="E490" i="12"/>
  <c r="E489" i="12"/>
  <c r="E488" i="12"/>
  <c r="E487" i="12"/>
  <c r="E486" i="12"/>
  <c r="E485" i="12"/>
  <c r="E484" i="12"/>
  <c r="E483" i="12"/>
  <c r="E482" i="12"/>
  <c r="E481" i="12"/>
  <c r="E480" i="12"/>
  <c r="E479" i="12"/>
  <c r="E478" i="12"/>
  <c r="E477" i="12"/>
  <c r="E476" i="12"/>
  <c r="E475" i="12"/>
  <c r="E474" i="12"/>
  <c r="E473" i="12"/>
  <c r="E472" i="12"/>
  <c r="E471" i="12"/>
  <c r="E470" i="12"/>
  <c r="E469" i="12"/>
  <c r="E468" i="12"/>
  <c r="E467" i="12"/>
  <c r="E466" i="12"/>
  <c r="E465" i="12"/>
  <c r="E464" i="12"/>
  <c r="E463" i="12"/>
  <c r="E462" i="12"/>
  <c r="E461" i="12"/>
  <c r="E460" i="12"/>
  <c r="E459" i="12"/>
  <c r="E458" i="12"/>
  <c r="E457" i="12"/>
  <c r="E456" i="12"/>
  <c r="E455" i="12"/>
  <c r="E454" i="12"/>
  <c r="E453" i="12"/>
  <c r="E452" i="12"/>
  <c r="E451" i="12"/>
  <c r="E450" i="12"/>
  <c r="E449" i="12"/>
  <c r="E448" i="12"/>
  <c r="E447" i="12"/>
  <c r="E446" i="12"/>
  <c r="E445" i="12"/>
  <c r="E444" i="12"/>
  <c r="E443" i="12"/>
  <c r="E442" i="12"/>
  <c r="E441" i="12"/>
  <c r="E440" i="12"/>
  <c r="E439" i="12"/>
  <c r="E438" i="12"/>
  <c r="E437" i="12"/>
  <c r="E436" i="12"/>
  <c r="E435" i="12"/>
  <c r="E434" i="12"/>
  <c r="E433" i="12"/>
  <c r="E432" i="12"/>
  <c r="E431" i="12"/>
  <c r="E430" i="12"/>
  <c r="E429" i="12"/>
  <c r="E428" i="12"/>
  <c r="E427" i="12"/>
  <c r="E426" i="12"/>
  <c r="E425" i="12"/>
  <c r="E424" i="12"/>
  <c r="E423" i="12"/>
  <c r="E422" i="12"/>
  <c r="E421" i="12"/>
  <c r="E420" i="12"/>
  <c r="E419" i="12"/>
  <c r="E418" i="12"/>
  <c r="E417" i="12"/>
  <c r="E416" i="12"/>
  <c r="E415" i="12"/>
  <c r="E414" i="12"/>
  <c r="E413" i="12"/>
  <c r="E412" i="12"/>
  <c r="E411" i="12"/>
  <c r="E410" i="12"/>
  <c r="E409" i="12"/>
  <c r="E408" i="12"/>
  <c r="E407" i="12"/>
  <c r="AI11" i="13" s="1"/>
  <c r="E406" i="12"/>
  <c r="E405" i="12"/>
  <c r="E404" i="12"/>
  <c r="E403" i="12"/>
  <c r="E402" i="12"/>
  <c r="E401" i="12"/>
  <c r="E400" i="12"/>
  <c r="E399" i="12"/>
  <c r="E398" i="12"/>
  <c r="E397" i="12"/>
  <c r="E396" i="12"/>
  <c r="E395" i="12"/>
  <c r="E394" i="12"/>
  <c r="E393" i="12"/>
  <c r="E392" i="12"/>
  <c r="E391" i="12"/>
  <c r="E390" i="12"/>
  <c r="E389" i="12"/>
  <c r="E388" i="12"/>
  <c r="E387" i="12"/>
  <c r="E386" i="12"/>
  <c r="E385" i="12"/>
  <c r="E384" i="12"/>
  <c r="E383" i="12"/>
  <c r="E382" i="12"/>
  <c r="E381" i="12"/>
  <c r="E380" i="12"/>
  <c r="E379" i="12"/>
  <c r="E378" i="12"/>
  <c r="E377" i="12"/>
  <c r="E376" i="12"/>
  <c r="E375" i="12"/>
  <c r="E374" i="12"/>
  <c r="E373" i="12"/>
  <c r="E372" i="12"/>
  <c r="E371" i="12"/>
  <c r="E370" i="12"/>
  <c r="E369" i="12"/>
  <c r="E368" i="12"/>
  <c r="E367" i="12"/>
  <c r="E366" i="12"/>
  <c r="E365" i="12"/>
  <c r="E364" i="12"/>
  <c r="E363" i="12"/>
  <c r="E362" i="12"/>
  <c r="E361" i="12"/>
  <c r="E360" i="12"/>
  <c r="E359" i="12"/>
  <c r="E358" i="12"/>
  <c r="E357" i="12"/>
  <c r="E356" i="12"/>
  <c r="E355" i="12"/>
  <c r="E354" i="12"/>
  <c r="E353" i="12"/>
  <c r="E352" i="12"/>
  <c r="E351" i="12"/>
  <c r="E350" i="12"/>
  <c r="E349" i="12"/>
  <c r="E348" i="12"/>
  <c r="E347" i="12"/>
  <c r="E346" i="12"/>
  <c r="E345" i="12"/>
  <c r="E344" i="12"/>
  <c r="E343" i="12"/>
  <c r="E342" i="12"/>
  <c r="E341" i="12"/>
  <c r="E340" i="12"/>
  <c r="E339" i="12"/>
  <c r="E338" i="12"/>
  <c r="E337" i="12"/>
  <c r="E336" i="12"/>
  <c r="E335" i="12"/>
  <c r="E334" i="12"/>
  <c r="E333" i="12"/>
  <c r="E332" i="12"/>
  <c r="E331" i="12"/>
  <c r="E330" i="12"/>
  <c r="E329" i="12"/>
  <c r="E328" i="12"/>
  <c r="E327" i="12"/>
  <c r="AC3" i="13" s="1"/>
  <c r="E326" i="12"/>
  <c r="E325" i="12"/>
  <c r="E324" i="12"/>
  <c r="E323" i="12"/>
  <c r="E322" i="12"/>
  <c r="E321" i="12"/>
  <c r="E320" i="12"/>
  <c r="E319" i="12"/>
  <c r="E318" i="12"/>
  <c r="E317" i="12"/>
  <c r="E316" i="12"/>
  <c r="E315" i="12"/>
  <c r="E314" i="12"/>
  <c r="E313" i="12"/>
  <c r="E312" i="12"/>
  <c r="E311" i="12"/>
  <c r="E310" i="12"/>
  <c r="E309" i="12"/>
  <c r="E308" i="12"/>
  <c r="E307" i="12"/>
  <c r="E306" i="12"/>
  <c r="E305" i="12"/>
  <c r="E304" i="12"/>
  <c r="E303" i="12"/>
  <c r="E302" i="12"/>
  <c r="E301" i="12"/>
  <c r="E300" i="12"/>
  <c r="E299" i="12"/>
  <c r="E298" i="12"/>
  <c r="E297" i="12"/>
  <c r="E296" i="12"/>
  <c r="E295" i="12"/>
  <c r="E294" i="12"/>
  <c r="E293" i="12"/>
  <c r="E292" i="12"/>
  <c r="E291" i="12"/>
  <c r="Z3" i="13" s="1"/>
  <c r="E290" i="12"/>
  <c r="E289" i="12"/>
  <c r="E288" i="12"/>
  <c r="E287" i="12"/>
  <c r="E286" i="12"/>
  <c r="E285" i="12"/>
  <c r="E284" i="12"/>
  <c r="E283" i="12"/>
  <c r="E282" i="12"/>
  <c r="E281" i="12"/>
  <c r="E280" i="12"/>
  <c r="E279" i="12"/>
  <c r="E278" i="12"/>
  <c r="E277" i="12"/>
  <c r="E276" i="12"/>
  <c r="E275" i="12"/>
  <c r="E274" i="12"/>
  <c r="E273" i="12"/>
  <c r="E272" i="12"/>
  <c r="E271" i="12"/>
  <c r="E270" i="12"/>
  <c r="E269" i="12"/>
  <c r="E268" i="12"/>
  <c r="E267" i="12"/>
  <c r="E266" i="12"/>
  <c r="E265" i="12"/>
  <c r="E264" i="12"/>
  <c r="E263" i="12"/>
  <c r="E262" i="12"/>
  <c r="E261" i="12"/>
  <c r="E260" i="12"/>
  <c r="E259" i="12"/>
  <c r="E258" i="12"/>
  <c r="E257" i="12"/>
  <c r="E256" i="12"/>
  <c r="E255" i="12"/>
  <c r="E254" i="12"/>
  <c r="E253" i="12"/>
  <c r="E252" i="12"/>
  <c r="E251" i="12"/>
  <c r="E250" i="12"/>
  <c r="E249" i="12"/>
  <c r="E248" i="12"/>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E211" i="12"/>
  <c r="E210" i="12"/>
  <c r="E209" i="12"/>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E185" i="12"/>
  <c r="E184" i="12"/>
  <c r="E183" i="12"/>
  <c r="Q3" i="13" s="1"/>
  <c r="E182" i="12"/>
  <c r="E181" i="12"/>
  <c r="E180" i="12"/>
  <c r="E179" i="12"/>
  <c r="E178" i="12"/>
  <c r="E177" i="12"/>
  <c r="E176" i="12"/>
  <c r="E175" i="12"/>
  <c r="E174" i="12"/>
  <c r="E173" i="12"/>
  <c r="E172" i="12"/>
  <c r="E171" i="12"/>
  <c r="E170" i="12"/>
  <c r="E169" i="12"/>
  <c r="E168" i="12"/>
  <c r="E167" i="12"/>
  <c r="E166" i="12"/>
  <c r="E165" i="12"/>
  <c r="E164" i="12"/>
  <c r="E163" i="12"/>
  <c r="E162" i="12"/>
  <c r="E161" i="12"/>
  <c r="E160" i="12"/>
  <c r="E159" i="12"/>
  <c r="E158" i="12"/>
  <c r="E157" i="12"/>
  <c r="E156" i="12"/>
  <c r="E155" i="12"/>
  <c r="E154" i="12"/>
  <c r="E153" i="12"/>
  <c r="E152" i="12"/>
  <c r="E151" i="12"/>
  <c r="E150" i="12"/>
  <c r="E149" i="12"/>
  <c r="E148" i="12"/>
  <c r="E147" i="12"/>
  <c r="E146" i="12"/>
  <c r="E145" i="12"/>
  <c r="E144" i="12"/>
  <c r="E143" i="12"/>
  <c r="E142" i="12"/>
  <c r="E141" i="12"/>
  <c r="E140" i="12"/>
  <c r="E139" i="12"/>
  <c r="E138" i="12"/>
  <c r="E137" i="12"/>
  <c r="E136" i="12"/>
  <c r="E135" i="12"/>
  <c r="E134" i="12"/>
  <c r="E133" i="12"/>
  <c r="E132" i="12"/>
  <c r="E131" i="12"/>
  <c r="E130" i="12"/>
  <c r="E129" i="12"/>
  <c r="E128" i="12"/>
  <c r="E127" i="12"/>
  <c r="E126" i="12"/>
  <c r="E125" i="12"/>
  <c r="E124" i="12"/>
  <c r="E123" i="12"/>
  <c r="E122" i="12"/>
  <c r="E121" i="12"/>
  <c r="E120" i="12"/>
  <c r="E119" i="12"/>
  <c r="E118" i="12"/>
  <c r="E117" i="12"/>
  <c r="E116" i="12"/>
  <c r="E115" i="12"/>
  <c r="E114" i="12"/>
  <c r="E113" i="12"/>
  <c r="E112" i="12"/>
  <c r="E111" i="12"/>
  <c r="E110" i="12"/>
  <c r="E109" i="12"/>
  <c r="E108" i="12"/>
  <c r="E107" i="12"/>
  <c r="E106" i="12"/>
  <c r="E105" i="12"/>
  <c r="E104" i="12"/>
  <c r="E103" i="12"/>
  <c r="E102" i="12"/>
  <c r="E101" i="12"/>
  <c r="E100" i="12"/>
  <c r="E99" i="12"/>
  <c r="E98" i="12"/>
  <c r="E97" i="12"/>
  <c r="E96" i="12"/>
  <c r="E95" i="12"/>
  <c r="E94" i="12"/>
  <c r="E93" i="12"/>
  <c r="E92" i="12"/>
  <c r="E91" i="12"/>
  <c r="E90" i="12"/>
  <c r="E89" i="12"/>
  <c r="E88" i="12"/>
  <c r="E87" i="12"/>
  <c r="E86" i="12"/>
  <c r="E85" i="12"/>
  <c r="E84" i="12"/>
  <c r="E83" i="12"/>
  <c r="E82" i="12"/>
  <c r="E81" i="12"/>
  <c r="E80" i="12"/>
  <c r="E79" i="12"/>
  <c r="E78" i="12"/>
  <c r="E77" i="12"/>
  <c r="E76" i="12"/>
  <c r="E75" i="12"/>
  <c r="E74" i="12"/>
  <c r="E73" i="12"/>
  <c r="E72" i="12"/>
  <c r="E71" i="12"/>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9" i="12"/>
  <c r="E38" i="12"/>
  <c r="E37" i="12"/>
  <c r="E36" i="12"/>
  <c r="E35" i="12"/>
  <c r="E34" i="12"/>
  <c r="E33" i="12"/>
  <c r="E32" i="12"/>
  <c r="E31" i="12"/>
  <c r="E30" i="12"/>
  <c r="E29" i="12"/>
  <c r="E28" i="12"/>
  <c r="E27" i="12"/>
  <c r="E26" i="12"/>
  <c r="E25" i="12"/>
  <c r="E24" i="12"/>
  <c r="E23" i="12"/>
  <c r="E22" i="12"/>
  <c r="E21" i="12"/>
  <c r="E20" i="12"/>
  <c r="E19" i="12"/>
  <c r="E18" i="12"/>
  <c r="E17" i="12"/>
  <c r="E16" i="12"/>
  <c r="E15" i="12"/>
  <c r="E14" i="12"/>
  <c r="E13" i="12"/>
  <c r="E12" i="12"/>
  <c r="E11" i="12"/>
  <c r="E10" i="12"/>
  <c r="E9" i="12"/>
  <c r="E8" i="12"/>
  <c r="E7" i="12"/>
  <c r="E6" i="12"/>
  <c r="E5" i="12"/>
  <c r="E4" i="12"/>
  <c r="E3" i="12"/>
  <c r="BD13" i="18" l="1"/>
  <c r="U13" i="12" s="1"/>
  <c r="U25" i="12" s="1"/>
  <c r="U37" i="12" s="1"/>
  <c r="U49" i="12" s="1"/>
  <c r="U61" i="12" s="1"/>
  <c r="U73" i="12" s="1"/>
  <c r="U85" i="12" s="1"/>
  <c r="U97" i="12" s="1"/>
  <c r="U109" i="12" s="1"/>
  <c r="U121" i="12" s="1"/>
  <c r="U133" i="12" s="1"/>
  <c r="U145" i="12" s="1"/>
  <c r="U157" i="12" s="1"/>
  <c r="U169" i="12" s="1"/>
  <c r="U181" i="12" s="1"/>
  <c r="U193" i="12" s="1"/>
  <c r="U205" i="12" s="1"/>
  <c r="U217" i="12" s="1"/>
  <c r="U229" i="12" s="1"/>
  <c r="U241" i="12" s="1"/>
  <c r="U253" i="12" s="1"/>
  <c r="U265" i="12" s="1"/>
  <c r="U277" i="12" s="1"/>
  <c r="U289" i="12" s="1"/>
  <c r="U301" i="12" s="1"/>
  <c r="U313" i="12" s="1"/>
  <c r="U325" i="12" s="1"/>
  <c r="U337" i="12" s="1"/>
  <c r="U349" i="12" s="1"/>
  <c r="U361" i="12" s="1"/>
  <c r="U373" i="12" s="1"/>
  <c r="U385" i="12" s="1"/>
  <c r="U397" i="12" s="1"/>
  <c r="U409" i="12" s="1"/>
  <c r="U421" i="12" s="1"/>
  <c r="U433" i="12" s="1"/>
  <c r="U445" i="12" s="1"/>
  <c r="U457" i="12" s="1"/>
  <c r="U469" i="12" s="1"/>
  <c r="U481" i="12" s="1"/>
  <c r="U493" i="12" s="1"/>
  <c r="U505" i="12" s="1"/>
  <c r="U517" i="12" s="1"/>
  <c r="U529" i="12" s="1"/>
  <c r="U541" i="12" s="1"/>
  <c r="U553" i="12" s="1"/>
  <c r="U565" i="12" s="1"/>
  <c r="U577" i="12" s="1"/>
  <c r="U589" i="12" s="1"/>
  <c r="U601" i="12" s="1"/>
  <c r="U613" i="12" s="1"/>
  <c r="U625" i="12" s="1"/>
  <c r="U637" i="12" s="1"/>
  <c r="U649" i="12" s="1"/>
  <c r="BD12" i="18"/>
  <c r="U12" i="12" s="1"/>
  <c r="U24" i="12" s="1"/>
  <c r="U36" i="12" s="1"/>
  <c r="U48" i="12" s="1"/>
  <c r="U60" i="12" s="1"/>
  <c r="U72" i="12" s="1"/>
  <c r="U84" i="12" s="1"/>
  <c r="U96" i="12" s="1"/>
  <c r="U108" i="12" s="1"/>
  <c r="U120" i="12" s="1"/>
  <c r="U132" i="12" s="1"/>
  <c r="U144" i="12" s="1"/>
  <c r="U156" i="12" s="1"/>
  <c r="U168" i="12" s="1"/>
  <c r="U180" i="12" s="1"/>
  <c r="U192" i="12" s="1"/>
  <c r="U204" i="12" s="1"/>
  <c r="U216" i="12" s="1"/>
  <c r="U228" i="12" s="1"/>
  <c r="U240" i="12" s="1"/>
  <c r="U252" i="12" s="1"/>
  <c r="U264" i="12" s="1"/>
  <c r="U276" i="12" s="1"/>
  <c r="U288" i="12" s="1"/>
  <c r="U300" i="12" s="1"/>
  <c r="U312" i="12" s="1"/>
  <c r="U324" i="12" s="1"/>
  <c r="U336" i="12" s="1"/>
  <c r="U348" i="12" s="1"/>
  <c r="U360" i="12" s="1"/>
  <c r="U372" i="12" s="1"/>
  <c r="U384" i="12" s="1"/>
  <c r="U396" i="12" s="1"/>
  <c r="U408" i="12" s="1"/>
  <c r="U420" i="12" s="1"/>
  <c r="U432" i="12" s="1"/>
  <c r="U444" i="12" s="1"/>
  <c r="U456" i="12" s="1"/>
  <c r="U468" i="12" s="1"/>
  <c r="U480" i="12" s="1"/>
  <c r="U492" i="12" s="1"/>
  <c r="U504" i="12" s="1"/>
  <c r="U516" i="12" s="1"/>
  <c r="U528" i="12" s="1"/>
  <c r="U540" i="12" s="1"/>
  <c r="U552" i="12" s="1"/>
  <c r="U564" i="12" s="1"/>
  <c r="U576" i="12" s="1"/>
  <c r="U588" i="12" s="1"/>
  <c r="U600" i="12" s="1"/>
  <c r="U612" i="12" s="1"/>
  <c r="U624" i="12" s="1"/>
  <c r="U636" i="12" s="1"/>
  <c r="U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BG12" i="13" s="1"/>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BD11" i="18"/>
  <c r="U11" i="12" s="1"/>
  <c r="U23" i="12" s="1"/>
  <c r="U35" i="12" s="1"/>
  <c r="U47" i="12" s="1"/>
  <c r="U59" i="12" s="1"/>
  <c r="U71" i="12" s="1"/>
  <c r="U83" i="12" s="1"/>
  <c r="U95" i="12" s="1"/>
  <c r="U107" i="12" s="1"/>
  <c r="U119" i="12" s="1"/>
  <c r="U131" i="12" s="1"/>
  <c r="U143" i="12" s="1"/>
  <c r="U155" i="12" s="1"/>
  <c r="U167" i="12" s="1"/>
  <c r="U179" i="12" s="1"/>
  <c r="U191" i="12" s="1"/>
  <c r="U203" i="12" s="1"/>
  <c r="U215" i="12" s="1"/>
  <c r="U227" i="12" s="1"/>
  <c r="U239" i="12" s="1"/>
  <c r="U251" i="12" s="1"/>
  <c r="U263" i="12" s="1"/>
  <c r="U275" i="12" s="1"/>
  <c r="U287" i="12" s="1"/>
  <c r="U299" i="12" s="1"/>
  <c r="U311" i="12" s="1"/>
  <c r="U323" i="12" s="1"/>
  <c r="U335" i="12" s="1"/>
  <c r="U347" i="12" s="1"/>
  <c r="U359" i="12" s="1"/>
  <c r="U371" i="12" s="1"/>
  <c r="U383" i="12" s="1"/>
  <c r="U395" i="12" s="1"/>
  <c r="U407" i="12" s="1"/>
  <c r="U419" i="12" s="1"/>
  <c r="U431" i="12" s="1"/>
  <c r="U443" i="12" s="1"/>
  <c r="U455" i="12" s="1"/>
  <c r="U467" i="12" s="1"/>
  <c r="U479" i="12" s="1"/>
  <c r="U491" i="12" s="1"/>
  <c r="U503" i="12" s="1"/>
  <c r="U515" i="12" s="1"/>
  <c r="U527" i="12" s="1"/>
  <c r="U539" i="12" s="1"/>
  <c r="U551" i="12" s="1"/>
  <c r="U563" i="12" s="1"/>
  <c r="U575" i="12" s="1"/>
  <c r="U587" i="12" s="1"/>
  <c r="U599" i="12" s="1"/>
  <c r="U611" i="12" s="1"/>
  <c r="U623" i="12" s="1"/>
  <c r="U635" i="12" s="1"/>
  <c r="U647" i="12" s="1"/>
  <c r="B6" i="13"/>
  <c r="B10" i="13"/>
  <c r="C2" i="13"/>
  <c r="C6" i="13"/>
  <c r="C10" i="13"/>
  <c r="D2" i="13"/>
  <c r="D6" i="13"/>
  <c r="D10" i="13"/>
  <c r="E2" i="13"/>
  <c r="E6" i="13"/>
  <c r="BD6" i="13" s="1"/>
  <c r="G6" i="12" s="1"/>
  <c r="G18" i="12" s="1"/>
  <c r="G30" i="12" s="1"/>
  <c r="G42" i="12" s="1"/>
  <c r="G54" i="12" s="1"/>
  <c r="G66" i="12" s="1"/>
  <c r="G78" i="12" s="1"/>
  <c r="G90" i="12" s="1"/>
  <c r="G102" i="12" s="1"/>
  <c r="G114" i="12" s="1"/>
  <c r="G126" i="12" s="1"/>
  <c r="G138" i="12" s="1"/>
  <c r="G150" i="12" s="1"/>
  <c r="G162" i="12" s="1"/>
  <c r="G174" i="12" s="1"/>
  <c r="G186" i="12" s="1"/>
  <c r="G198" i="12" s="1"/>
  <c r="G210" i="12" s="1"/>
  <c r="G222" i="12" s="1"/>
  <c r="G234" i="12" s="1"/>
  <c r="G246" i="12" s="1"/>
  <c r="G258" i="12" s="1"/>
  <c r="G270" i="12" s="1"/>
  <c r="G282" i="12" s="1"/>
  <c r="G294" i="12" s="1"/>
  <c r="G306" i="12" s="1"/>
  <c r="G318" i="12" s="1"/>
  <c r="G330" i="12" s="1"/>
  <c r="G342" i="12" s="1"/>
  <c r="G354" i="12" s="1"/>
  <c r="G366" i="12" s="1"/>
  <c r="G378" i="12" s="1"/>
  <c r="G390" i="12" s="1"/>
  <c r="G402" i="12" s="1"/>
  <c r="G414" i="12" s="1"/>
  <c r="G426" i="12" s="1"/>
  <c r="G438" i="12" s="1"/>
  <c r="G450" i="12" s="1"/>
  <c r="G462" i="12" s="1"/>
  <c r="G474" i="12" s="1"/>
  <c r="G486" i="12" s="1"/>
  <c r="G498" i="12" s="1"/>
  <c r="G510" i="12" s="1"/>
  <c r="G522" i="12" s="1"/>
  <c r="G534" i="12" s="1"/>
  <c r="G546" i="12" s="1"/>
  <c r="G558" i="12" s="1"/>
  <c r="G570" i="12" s="1"/>
  <c r="G582" i="12" s="1"/>
  <c r="G594" i="12" s="1"/>
  <c r="G606" i="12" s="1"/>
  <c r="G618" i="12" s="1"/>
  <c r="G630" i="12" s="1"/>
  <c r="G642" i="12" s="1"/>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BD7" i="13" s="1"/>
  <c r="G7" i="12" s="1"/>
  <c r="G19" i="12" s="1"/>
  <c r="G31" i="12" s="1"/>
  <c r="G43" i="12" s="1"/>
  <c r="G55" i="12" s="1"/>
  <c r="G67" i="12" s="1"/>
  <c r="G79" i="12" s="1"/>
  <c r="G91" i="12" s="1"/>
  <c r="G103" i="12" s="1"/>
  <c r="G115" i="12" s="1"/>
  <c r="G127" i="12" s="1"/>
  <c r="G139" i="12" s="1"/>
  <c r="G151" i="12" s="1"/>
  <c r="G163" i="12" s="1"/>
  <c r="G175" i="12" s="1"/>
  <c r="G187" i="12" s="1"/>
  <c r="G199" i="12" s="1"/>
  <c r="G211" i="12" s="1"/>
  <c r="G223" i="12" s="1"/>
  <c r="G235" i="12" s="1"/>
  <c r="G247" i="12" s="1"/>
  <c r="G259" i="12" s="1"/>
  <c r="G271" i="12" s="1"/>
  <c r="G283" i="12" s="1"/>
  <c r="G295" i="12" s="1"/>
  <c r="G307" i="12" s="1"/>
  <c r="G319" i="12" s="1"/>
  <c r="G331" i="12" s="1"/>
  <c r="G343" i="12" s="1"/>
  <c r="G355" i="12" s="1"/>
  <c r="G367" i="12" s="1"/>
  <c r="G379" i="12" s="1"/>
  <c r="G391" i="12" s="1"/>
  <c r="G403" i="12" s="1"/>
  <c r="G415" i="12" s="1"/>
  <c r="G427" i="12" s="1"/>
  <c r="G439" i="12" s="1"/>
  <c r="G451" i="12" s="1"/>
  <c r="G463" i="12" s="1"/>
  <c r="G475" i="12" s="1"/>
  <c r="G487" i="12" s="1"/>
  <c r="G499" i="12" s="1"/>
  <c r="G511" i="12" s="1"/>
  <c r="G523" i="12" s="1"/>
  <c r="G535" i="12" s="1"/>
  <c r="G547" i="12" s="1"/>
  <c r="G559" i="12" s="1"/>
  <c r="G571" i="12" s="1"/>
  <c r="G583" i="12" s="1"/>
  <c r="G595" i="12" s="1"/>
  <c r="G607" i="12" s="1"/>
  <c r="G619" i="12" s="1"/>
  <c r="G631" i="12" s="1"/>
  <c r="G643" i="12" s="1"/>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BD4" i="18"/>
  <c r="U4" i="12" s="1"/>
  <c r="U16" i="12" s="1"/>
  <c r="U28" i="12" s="1"/>
  <c r="U40" i="12" s="1"/>
  <c r="U52" i="12" s="1"/>
  <c r="U64" i="12" s="1"/>
  <c r="U76" i="12" s="1"/>
  <c r="U88" i="12" s="1"/>
  <c r="U100" i="12" s="1"/>
  <c r="U112" i="12" s="1"/>
  <c r="U124" i="12" s="1"/>
  <c r="U136" i="12" s="1"/>
  <c r="U148" i="12" s="1"/>
  <c r="U160" i="12" s="1"/>
  <c r="U172" i="12" s="1"/>
  <c r="U184" i="12" s="1"/>
  <c r="U196" i="12" s="1"/>
  <c r="U208" i="12" s="1"/>
  <c r="U220" i="12" s="1"/>
  <c r="U232" i="12" s="1"/>
  <c r="U244" i="12" s="1"/>
  <c r="U256" i="12" s="1"/>
  <c r="U268" i="12" s="1"/>
  <c r="U280" i="12" s="1"/>
  <c r="U292" i="12" s="1"/>
  <c r="U304" i="12" s="1"/>
  <c r="U316" i="12" s="1"/>
  <c r="U328" i="12" s="1"/>
  <c r="U340" i="12" s="1"/>
  <c r="U352" i="12" s="1"/>
  <c r="U364" i="12" s="1"/>
  <c r="U376" i="12" s="1"/>
  <c r="U388" i="12" s="1"/>
  <c r="U400" i="12" s="1"/>
  <c r="U412" i="12" s="1"/>
  <c r="U424" i="12" s="1"/>
  <c r="U436" i="12" s="1"/>
  <c r="U448" i="12" s="1"/>
  <c r="U460" i="12" s="1"/>
  <c r="U472" i="12" s="1"/>
  <c r="U484" i="12" s="1"/>
  <c r="U496" i="12" s="1"/>
  <c r="U508" i="12" s="1"/>
  <c r="U520" i="12" s="1"/>
  <c r="U532" i="12" s="1"/>
  <c r="U544" i="12" s="1"/>
  <c r="U556" i="12" s="1"/>
  <c r="U568" i="12" s="1"/>
  <c r="U580" i="12" s="1"/>
  <c r="U592" i="12" s="1"/>
  <c r="U604" i="12" s="1"/>
  <c r="U616" i="12" s="1"/>
  <c r="U628" i="12" s="1"/>
  <c r="U640" i="12" s="1"/>
  <c r="BG12" i="18"/>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G10" i="18"/>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G5" i="18"/>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G9" i="18"/>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G13" i="18"/>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D6" i="18"/>
  <c r="U6" i="12" s="1"/>
  <c r="U18" i="12" s="1"/>
  <c r="U30" i="12" s="1"/>
  <c r="U42" i="12" s="1"/>
  <c r="U54" i="12" s="1"/>
  <c r="U66" i="12" s="1"/>
  <c r="U78" i="12" s="1"/>
  <c r="U90" i="12" s="1"/>
  <c r="U102" i="12" s="1"/>
  <c r="U114" i="12" s="1"/>
  <c r="U126" i="12" s="1"/>
  <c r="U138" i="12" s="1"/>
  <c r="U150" i="12" s="1"/>
  <c r="U162" i="12" s="1"/>
  <c r="U174" i="12" s="1"/>
  <c r="U186" i="12" s="1"/>
  <c r="U198" i="12" s="1"/>
  <c r="U210" i="12" s="1"/>
  <c r="U222" i="12" s="1"/>
  <c r="U234" i="12" s="1"/>
  <c r="U246" i="12" s="1"/>
  <c r="U258" i="12" s="1"/>
  <c r="U270" i="12" s="1"/>
  <c r="U282" i="12" s="1"/>
  <c r="U294" i="12" s="1"/>
  <c r="U306" i="12" s="1"/>
  <c r="U318" i="12" s="1"/>
  <c r="U330" i="12" s="1"/>
  <c r="U342" i="12" s="1"/>
  <c r="U354" i="12" s="1"/>
  <c r="U366" i="12" s="1"/>
  <c r="U378" i="12" s="1"/>
  <c r="U390" i="12" s="1"/>
  <c r="U402" i="12" s="1"/>
  <c r="U414" i="12" s="1"/>
  <c r="U426" i="12" s="1"/>
  <c r="U438" i="12" s="1"/>
  <c r="U450" i="12" s="1"/>
  <c r="U462" i="12" s="1"/>
  <c r="U474" i="12" s="1"/>
  <c r="U486" i="12" s="1"/>
  <c r="U498" i="12" s="1"/>
  <c r="U510" i="12" s="1"/>
  <c r="U522" i="12" s="1"/>
  <c r="U534" i="12" s="1"/>
  <c r="U546" i="12" s="1"/>
  <c r="U558" i="12" s="1"/>
  <c r="U570" i="12" s="1"/>
  <c r="U582" i="12" s="1"/>
  <c r="U594" i="12" s="1"/>
  <c r="U606" i="12" s="1"/>
  <c r="U618" i="12" s="1"/>
  <c r="U630" i="12" s="1"/>
  <c r="U642" i="12" s="1"/>
  <c r="BD8" i="18"/>
  <c r="U8" i="12" s="1"/>
  <c r="U20" i="12" s="1"/>
  <c r="U32" i="12" s="1"/>
  <c r="U44" i="12" s="1"/>
  <c r="U56" i="12" s="1"/>
  <c r="U68" i="12" s="1"/>
  <c r="U80" i="12" s="1"/>
  <c r="U92" i="12" s="1"/>
  <c r="U104" i="12" s="1"/>
  <c r="U116" i="12" s="1"/>
  <c r="U128" i="12" s="1"/>
  <c r="U140" i="12" s="1"/>
  <c r="U152" i="12" s="1"/>
  <c r="U164" i="12" s="1"/>
  <c r="U176" i="12" s="1"/>
  <c r="U188" i="12" s="1"/>
  <c r="U200" i="12" s="1"/>
  <c r="U212" i="12" s="1"/>
  <c r="U224" i="12" s="1"/>
  <c r="U236" i="12" s="1"/>
  <c r="U248" i="12" s="1"/>
  <c r="U260" i="12" s="1"/>
  <c r="U272" i="12" s="1"/>
  <c r="U284" i="12" s="1"/>
  <c r="U296" i="12" s="1"/>
  <c r="U308" i="12" s="1"/>
  <c r="U320" i="12" s="1"/>
  <c r="U332" i="12" s="1"/>
  <c r="U344" i="12" s="1"/>
  <c r="U356" i="12" s="1"/>
  <c r="U368" i="12" s="1"/>
  <c r="U380" i="12" s="1"/>
  <c r="U392" i="12" s="1"/>
  <c r="U404" i="12" s="1"/>
  <c r="U416" i="12" s="1"/>
  <c r="U428" i="12" s="1"/>
  <c r="U440" i="12" s="1"/>
  <c r="U452" i="12" s="1"/>
  <c r="U464" i="12" s="1"/>
  <c r="U476" i="12" s="1"/>
  <c r="U488" i="12" s="1"/>
  <c r="U500" i="12" s="1"/>
  <c r="U512" i="12" s="1"/>
  <c r="U524" i="12" s="1"/>
  <c r="U536" i="12" s="1"/>
  <c r="U548" i="12" s="1"/>
  <c r="U560" i="12" s="1"/>
  <c r="U572" i="12" s="1"/>
  <c r="U584" i="12" s="1"/>
  <c r="U596" i="12" s="1"/>
  <c r="U608" i="12" s="1"/>
  <c r="U620" i="12" s="1"/>
  <c r="U632" i="12" s="1"/>
  <c r="U644" i="12" s="1"/>
  <c r="BG7" i="18"/>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G11" i="18"/>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G8" i="18"/>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D10" i="18"/>
  <c r="U10" i="12" s="1"/>
  <c r="U22" i="12" s="1"/>
  <c r="U34" i="12" s="1"/>
  <c r="U46" i="12" s="1"/>
  <c r="U58" i="12" s="1"/>
  <c r="U70" i="12" s="1"/>
  <c r="U82" i="12" s="1"/>
  <c r="U94" i="12" s="1"/>
  <c r="U106" i="12" s="1"/>
  <c r="U118" i="12" s="1"/>
  <c r="U130" i="12" s="1"/>
  <c r="U142" i="12" s="1"/>
  <c r="U154" i="12" s="1"/>
  <c r="U166" i="12" s="1"/>
  <c r="U178" i="12" s="1"/>
  <c r="U190" i="12" s="1"/>
  <c r="U202" i="12" s="1"/>
  <c r="U214" i="12" s="1"/>
  <c r="U226" i="12" s="1"/>
  <c r="U238" i="12" s="1"/>
  <c r="U250" i="12" s="1"/>
  <c r="U262" i="12" s="1"/>
  <c r="U274" i="12" s="1"/>
  <c r="U286" i="12" s="1"/>
  <c r="U298" i="12" s="1"/>
  <c r="U310" i="12" s="1"/>
  <c r="U322" i="12" s="1"/>
  <c r="U334" i="12" s="1"/>
  <c r="U346" i="12" s="1"/>
  <c r="U358" i="12" s="1"/>
  <c r="U370" i="12" s="1"/>
  <c r="U382" i="12" s="1"/>
  <c r="U394" i="12" s="1"/>
  <c r="U406" i="12" s="1"/>
  <c r="U418" i="12" s="1"/>
  <c r="U430" i="12" s="1"/>
  <c r="U442" i="12" s="1"/>
  <c r="U454" i="12" s="1"/>
  <c r="U466" i="12" s="1"/>
  <c r="U478" i="12" s="1"/>
  <c r="U490" i="12" s="1"/>
  <c r="U502" i="12" s="1"/>
  <c r="U514" i="12" s="1"/>
  <c r="U526" i="12" s="1"/>
  <c r="U538" i="12" s="1"/>
  <c r="U550" i="12" s="1"/>
  <c r="U562" i="12" s="1"/>
  <c r="U574" i="12" s="1"/>
  <c r="U586" i="12" s="1"/>
  <c r="U598" i="12" s="1"/>
  <c r="U610" i="12" s="1"/>
  <c r="U622" i="12" s="1"/>
  <c r="U634" i="12" s="1"/>
  <c r="U646" i="12" s="1"/>
  <c r="BD5" i="18"/>
  <c r="U5" i="12" s="1"/>
  <c r="U17" i="12" s="1"/>
  <c r="U29" i="12" s="1"/>
  <c r="U41" i="12" s="1"/>
  <c r="U53" i="12" s="1"/>
  <c r="U65" i="12" s="1"/>
  <c r="U77" i="12" s="1"/>
  <c r="U89" i="12" s="1"/>
  <c r="U101" i="12" s="1"/>
  <c r="U113" i="12" s="1"/>
  <c r="U125" i="12" s="1"/>
  <c r="U137" i="12" s="1"/>
  <c r="U149" i="12" s="1"/>
  <c r="U161" i="12" s="1"/>
  <c r="U173" i="12" s="1"/>
  <c r="U185" i="12" s="1"/>
  <c r="U197" i="12" s="1"/>
  <c r="U209" i="12" s="1"/>
  <c r="U221" i="12" s="1"/>
  <c r="U233" i="12" s="1"/>
  <c r="U245" i="12" s="1"/>
  <c r="U257" i="12" s="1"/>
  <c r="U269" i="12" s="1"/>
  <c r="U281" i="12" s="1"/>
  <c r="U293" i="12" s="1"/>
  <c r="U305" i="12" s="1"/>
  <c r="U317" i="12" s="1"/>
  <c r="U329" i="12" s="1"/>
  <c r="U341" i="12" s="1"/>
  <c r="U353" i="12" s="1"/>
  <c r="U365" i="12" s="1"/>
  <c r="U377" i="12" s="1"/>
  <c r="U389" i="12" s="1"/>
  <c r="U401" i="12" s="1"/>
  <c r="U413" i="12" s="1"/>
  <c r="U425" i="12" s="1"/>
  <c r="U437" i="12" s="1"/>
  <c r="U449" i="12" s="1"/>
  <c r="U461" i="12" s="1"/>
  <c r="U473" i="12" s="1"/>
  <c r="U485" i="12" s="1"/>
  <c r="U497" i="12" s="1"/>
  <c r="U509" i="12" s="1"/>
  <c r="U521" i="12" s="1"/>
  <c r="U533" i="12" s="1"/>
  <c r="U545" i="12" s="1"/>
  <c r="U557" i="12" s="1"/>
  <c r="U569" i="12" s="1"/>
  <c r="U581" i="12" s="1"/>
  <c r="U593" i="12" s="1"/>
  <c r="U605" i="12" s="1"/>
  <c r="U617" i="12" s="1"/>
  <c r="U629" i="12" s="1"/>
  <c r="U641" i="12" s="1"/>
  <c r="BD7" i="18"/>
  <c r="U7" i="12" s="1"/>
  <c r="U19" i="12" s="1"/>
  <c r="U31" i="12" s="1"/>
  <c r="U43" i="12" s="1"/>
  <c r="U55" i="12" s="1"/>
  <c r="U67" i="12" s="1"/>
  <c r="U79" i="12" s="1"/>
  <c r="U91" i="12" s="1"/>
  <c r="U103" i="12" s="1"/>
  <c r="U115" i="12" s="1"/>
  <c r="U127" i="12" s="1"/>
  <c r="U139" i="12" s="1"/>
  <c r="U151" i="12" s="1"/>
  <c r="U163" i="12" s="1"/>
  <c r="U175" i="12" s="1"/>
  <c r="U187" i="12" s="1"/>
  <c r="U199" i="12" s="1"/>
  <c r="U211" i="12" s="1"/>
  <c r="U223" i="12" s="1"/>
  <c r="U235" i="12" s="1"/>
  <c r="U247" i="12" s="1"/>
  <c r="U259" i="12" s="1"/>
  <c r="U271" i="12" s="1"/>
  <c r="U283" i="12" s="1"/>
  <c r="U295" i="12" s="1"/>
  <c r="U307" i="12" s="1"/>
  <c r="U319" i="12" s="1"/>
  <c r="U331" i="12" s="1"/>
  <c r="U343" i="12" s="1"/>
  <c r="U355" i="12" s="1"/>
  <c r="U367" i="12" s="1"/>
  <c r="U379" i="12" s="1"/>
  <c r="U391" i="12" s="1"/>
  <c r="U403" i="12" s="1"/>
  <c r="U415" i="12" s="1"/>
  <c r="U427" i="12" s="1"/>
  <c r="U439" i="12" s="1"/>
  <c r="U451" i="12" s="1"/>
  <c r="U463" i="12" s="1"/>
  <c r="U475" i="12" s="1"/>
  <c r="U487" i="12" s="1"/>
  <c r="U499" i="12" s="1"/>
  <c r="U511" i="12" s="1"/>
  <c r="U523" i="12" s="1"/>
  <c r="U535" i="12" s="1"/>
  <c r="U547" i="12" s="1"/>
  <c r="U559" i="12" s="1"/>
  <c r="U571" i="12" s="1"/>
  <c r="U583" i="12" s="1"/>
  <c r="U595" i="12" s="1"/>
  <c r="U607" i="12" s="1"/>
  <c r="U619" i="12" s="1"/>
  <c r="U631" i="12" s="1"/>
  <c r="U643" i="12" s="1"/>
  <c r="BD9" i="18"/>
  <c r="U9" i="12" s="1"/>
  <c r="U21" i="12" s="1"/>
  <c r="U33" i="12" s="1"/>
  <c r="U45" i="12" s="1"/>
  <c r="U57" i="12" s="1"/>
  <c r="U69" i="12" s="1"/>
  <c r="U81" i="12" s="1"/>
  <c r="U93" i="12" s="1"/>
  <c r="U105" i="12" s="1"/>
  <c r="U117" i="12" s="1"/>
  <c r="U129" i="12" s="1"/>
  <c r="U141" i="12" s="1"/>
  <c r="U153" i="12" s="1"/>
  <c r="U165" i="12" s="1"/>
  <c r="U177" i="12" s="1"/>
  <c r="U189" i="12" s="1"/>
  <c r="U201" i="12" s="1"/>
  <c r="U213" i="12" s="1"/>
  <c r="U225" i="12" s="1"/>
  <c r="U237" i="12" s="1"/>
  <c r="U249" i="12" s="1"/>
  <c r="U261" i="12" s="1"/>
  <c r="U273" i="12" s="1"/>
  <c r="U285" i="12" s="1"/>
  <c r="U297" i="12" s="1"/>
  <c r="U309" i="12" s="1"/>
  <c r="U321" i="12" s="1"/>
  <c r="U333" i="12" s="1"/>
  <c r="U345" i="12" s="1"/>
  <c r="U357" i="12" s="1"/>
  <c r="U369" i="12" s="1"/>
  <c r="U381" i="12" s="1"/>
  <c r="U393" i="12" s="1"/>
  <c r="U405" i="12" s="1"/>
  <c r="U417" i="12" s="1"/>
  <c r="U429" i="12" s="1"/>
  <c r="U441" i="12" s="1"/>
  <c r="U453" i="12" s="1"/>
  <c r="U465" i="12" s="1"/>
  <c r="U477" i="12" s="1"/>
  <c r="U489" i="12" s="1"/>
  <c r="U501" i="12" s="1"/>
  <c r="U513" i="12" s="1"/>
  <c r="U525" i="12" s="1"/>
  <c r="U537" i="12" s="1"/>
  <c r="U549" i="12" s="1"/>
  <c r="U561" i="12" s="1"/>
  <c r="U573" i="12" s="1"/>
  <c r="U585" i="12" s="1"/>
  <c r="U597" i="12" s="1"/>
  <c r="U609" i="12" s="1"/>
  <c r="U621" i="12" s="1"/>
  <c r="U633" i="12" s="1"/>
  <c r="U645" i="12" s="1"/>
  <c r="BG4" i="18"/>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G6" i="18"/>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D8" i="13"/>
  <c r="G8" i="12" s="1"/>
  <c r="G20" i="12" s="1"/>
  <c r="G32" i="12" s="1"/>
  <c r="G44" i="12" s="1"/>
  <c r="G56" i="12" s="1"/>
  <c r="G68" i="12" s="1"/>
  <c r="G80" i="12" s="1"/>
  <c r="G92" i="12" s="1"/>
  <c r="G104" i="12" s="1"/>
  <c r="G116" i="12" s="1"/>
  <c r="G128" i="12" s="1"/>
  <c r="G140" i="12" s="1"/>
  <c r="G152" i="12" s="1"/>
  <c r="G164" i="12" s="1"/>
  <c r="G176" i="12" s="1"/>
  <c r="G188" i="12" s="1"/>
  <c r="G200" i="12" s="1"/>
  <c r="G212" i="12" s="1"/>
  <c r="G224" i="12" s="1"/>
  <c r="G236" i="12" s="1"/>
  <c r="G248" i="12" s="1"/>
  <c r="G260" i="12" s="1"/>
  <c r="G272" i="12" s="1"/>
  <c r="G284" i="12" s="1"/>
  <c r="G296" i="12" s="1"/>
  <c r="G308" i="12" s="1"/>
  <c r="G320" i="12" s="1"/>
  <c r="G332" i="12" s="1"/>
  <c r="G344" i="12" s="1"/>
  <c r="G356" i="12" s="1"/>
  <c r="G368" i="12" s="1"/>
  <c r="G380" i="12" s="1"/>
  <c r="G392" i="12" s="1"/>
  <c r="G404" i="12" s="1"/>
  <c r="G416" i="12" s="1"/>
  <c r="G428" i="12" s="1"/>
  <c r="G440" i="12" s="1"/>
  <c r="G452" i="12" s="1"/>
  <c r="G464" i="12" s="1"/>
  <c r="G476" i="12" s="1"/>
  <c r="G488" i="12" s="1"/>
  <c r="G500" i="12" s="1"/>
  <c r="G512" i="12" s="1"/>
  <c r="G524" i="12" s="1"/>
  <c r="G536" i="12" s="1"/>
  <c r="G548" i="12" s="1"/>
  <c r="G560" i="12" s="1"/>
  <c r="G572" i="12" s="1"/>
  <c r="G584" i="12" s="1"/>
  <c r="G596" i="12" s="1"/>
  <c r="G608" i="12" s="1"/>
  <c r="G620" i="12" s="1"/>
  <c r="G632" i="12" s="1"/>
  <c r="G644" i="12" s="1"/>
  <c r="BG7" i="13" l="1"/>
  <c r="BG11" i="13"/>
  <c r="BD10" i="13"/>
  <c r="G10" i="12" s="1"/>
  <c r="G22" i="12" s="1"/>
  <c r="G34" i="12" s="1"/>
  <c r="G46" i="12" s="1"/>
  <c r="G58" i="12" s="1"/>
  <c r="G70" i="12" s="1"/>
  <c r="G82" i="12" s="1"/>
  <c r="G94" i="12" s="1"/>
  <c r="G106" i="12" s="1"/>
  <c r="G118" i="12" s="1"/>
  <c r="G130" i="12" s="1"/>
  <c r="G142" i="12" s="1"/>
  <c r="G154" i="12" s="1"/>
  <c r="G166" i="12" s="1"/>
  <c r="G178" i="12" s="1"/>
  <c r="G190" i="12" s="1"/>
  <c r="G202" i="12" s="1"/>
  <c r="G214" i="12" s="1"/>
  <c r="G226" i="12" s="1"/>
  <c r="G238" i="12" s="1"/>
  <c r="G250" i="12" s="1"/>
  <c r="G262" i="12" s="1"/>
  <c r="G274" i="12" s="1"/>
  <c r="G286" i="12" s="1"/>
  <c r="G298" i="12" s="1"/>
  <c r="G310" i="12" s="1"/>
  <c r="G322" i="12" s="1"/>
  <c r="G334" i="12" s="1"/>
  <c r="G346" i="12" s="1"/>
  <c r="G358" i="12" s="1"/>
  <c r="G370" i="12" s="1"/>
  <c r="G382" i="12" s="1"/>
  <c r="G394" i="12" s="1"/>
  <c r="G406" i="12" s="1"/>
  <c r="G418" i="12" s="1"/>
  <c r="G430" i="12" s="1"/>
  <c r="G442" i="12" s="1"/>
  <c r="G454" i="12" s="1"/>
  <c r="G466" i="12" s="1"/>
  <c r="G478" i="12" s="1"/>
  <c r="G490" i="12" s="1"/>
  <c r="G502" i="12" s="1"/>
  <c r="G514" i="12" s="1"/>
  <c r="G526" i="12" s="1"/>
  <c r="G538" i="12" s="1"/>
  <c r="G550" i="12" s="1"/>
  <c r="G562" i="12" s="1"/>
  <c r="G574" i="12" s="1"/>
  <c r="G586" i="12" s="1"/>
  <c r="G598" i="12" s="1"/>
  <c r="G610" i="12" s="1"/>
  <c r="G622" i="12" s="1"/>
  <c r="G634" i="12" s="1"/>
  <c r="G646" i="12" s="1"/>
  <c r="BG2" i="13"/>
  <c r="BG6" i="13"/>
  <c r="BG13" i="13"/>
  <c r="BD12" i="13"/>
  <c r="G12" i="12" s="1"/>
  <c r="G24" i="12" s="1"/>
  <c r="G36" i="12" s="1"/>
  <c r="G48" i="12" s="1"/>
  <c r="G60" i="12" s="1"/>
  <c r="G72" i="12" s="1"/>
  <c r="G84" i="12" s="1"/>
  <c r="G96" i="12" s="1"/>
  <c r="G108" i="12" s="1"/>
  <c r="G120" i="12" s="1"/>
  <c r="G132" i="12" s="1"/>
  <c r="G144" i="12" s="1"/>
  <c r="G156" i="12" s="1"/>
  <c r="G168" i="12" s="1"/>
  <c r="G180" i="12" s="1"/>
  <c r="G192" i="12" s="1"/>
  <c r="G204" i="12" s="1"/>
  <c r="G216" i="12" s="1"/>
  <c r="G228" i="12" s="1"/>
  <c r="G240" i="12" s="1"/>
  <c r="G252" i="12" s="1"/>
  <c r="G264" i="12" s="1"/>
  <c r="G276" i="12" s="1"/>
  <c r="G288" i="12" s="1"/>
  <c r="G300" i="12" s="1"/>
  <c r="G312" i="12" s="1"/>
  <c r="G324" i="12" s="1"/>
  <c r="G336" i="12" s="1"/>
  <c r="G348" i="12" s="1"/>
  <c r="G360" i="12" s="1"/>
  <c r="G372" i="12" s="1"/>
  <c r="G384" i="12" s="1"/>
  <c r="G396" i="12" s="1"/>
  <c r="G408" i="12" s="1"/>
  <c r="G420" i="12" s="1"/>
  <c r="G432" i="12" s="1"/>
  <c r="G444" i="12" s="1"/>
  <c r="G456" i="12" s="1"/>
  <c r="G468" i="12" s="1"/>
  <c r="G480" i="12" s="1"/>
  <c r="G492" i="12" s="1"/>
  <c r="G504" i="12" s="1"/>
  <c r="G516" i="12" s="1"/>
  <c r="G528" i="12" s="1"/>
  <c r="G540" i="12" s="1"/>
  <c r="G552" i="12" s="1"/>
  <c r="G564" i="12" s="1"/>
  <c r="G576" i="12" s="1"/>
  <c r="G588" i="12" s="1"/>
  <c r="G600" i="12" s="1"/>
  <c r="G612" i="12" s="1"/>
  <c r="G624" i="12" s="1"/>
  <c r="G636" i="12" s="1"/>
  <c r="G648" i="12" s="1"/>
  <c r="BD2" i="13"/>
  <c r="G2" i="12" s="1"/>
  <c r="G14" i="12" s="1"/>
  <c r="G26" i="12" s="1"/>
  <c r="G38" i="12" s="1"/>
  <c r="G50" i="12" s="1"/>
  <c r="G62" i="12" s="1"/>
  <c r="G74" i="12" s="1"/>
  <c r="G86" i="12" s="1"/>
  <c r="G98" i="12" s="1"/>
  <c r="G110" i="12" s="1"/>
  <c r="G122" i="12" s="1"/>
  <c r="G134" i="12" s="1"/>
  <c r="G146" i="12" s="1"/>
  <c r="G158" i="12" s="1"/>
  <c r="G170" i="12" s="1"/>
  <c r="G182" i="12" s="1"/>
  <c r="G194" i="12" s="1"/>
  <c r="G206" i="12" s="1"/>
  <c r="G218" i="12" s="1"/>
  <c r="G230" i="12" s="1"/>
  <c r="G242" i="12" s="1"/>
  <c r="G254" i="12" s="1"/>
  <c r="G266" i="12" s="1"/>
  <c r="G278" i="12" s="1"/>
  <c r="G290" i="12" s="1"/>
  <c r="G302" i="12" s="1"/>
  <c r="G314" i="12" s="1"/>
  <c r="G326" i="12" s="1"/>
  <c r="G338" i="12" s="1"/>
  <c r="G350" i="12" s="1"/>
  <c r="G362" i="12" s="1"/>
  <c r="G374" i="12" s="1"/>
  <c r="G386" i="12" s="1"/>
  <c r="G398" i="12" s="1"/>
  <c r="G410" i="12" s="1"/>
  <c r="G422" i="12" s="1"/>
  <c r="G434" i="12" s="1"/>
  <c r="G446" i="12" s="1"/>
  <c r="G458" i="12" s="1"/>
  <c r="G470" i="12" s="1"/>
  <c r="G482" i="12" s="1"/>
  <c r="G494" i="12" s="1"/>
  <c r="G506" i="12" s="1"/>
  <c r="G518" i="12" s="1"/>
  <c r="G530" i="12" s="1"/>
  <c r="G542" i="12" s="1"/>
  <c r="G554" i="12" s="1"/>
  <c r="G566" i="12" s="1"/>
  <c r="G578" i="12" s="1"/>
  <c r="G590" i="12" s="1"/>
  <c r="G602" i="12" s="1"/>
  <c r="G614" i="12" s="1"/>
  <c r="G626" i="12" s="1"/>
  <c r="G638" i="12" s="1"/>
  <c r="BG9" i="13"/>
  <c r="BG10" i="13"/>
  <c r="BG5" i="13"/>
  <c r="BD4" i="13"/>
  <c r="G4" i="12" s="1"/>
  <c r="G16" i="12" s="1"/>
  <c r="G28" i="12" s="1"/>
  <c r="G40" i="12" s="1"/>
  <c r="G52" i="12" s="1"/>
  <c r="G64" i="12" s="1"/>
  <c r="G76" i="12" s="1"/>
  <c r="G88" i="12" s="1"/>
  <c r="G100" i="12" s="1"/>
  <c r="G112" i="12" s="1"/>
  <c r="G124" i="12" s="1"/>
  <c r="G136" i="12" s="1"/>
  <c r="G148" i="12" s="1"/>
  <c r="G160" i="12" s="1"/>
  <c r="G172" i="12" s="1"/>
  <c r="G184" i="12" s="1"/>
  <c r="G196" i="12" s="1"/>
  <c r="G208" i="12" s="1"/>
  <c r="G220" i="12" s="1"/>
  <c r="G232" i="12" s="1"/>
  <c r="G244" i="12" s="1"/>
  <c r="G256" i="12" s="1"/>
  <c r="G268" i="12" s="1"/>
  <c r="G280" i="12" s="1"/>
  <c r="G292" i="12" s="1"/>
  <c r="G304" i="12" s="1"/>
  <c r="G316" i="12" s="1"/>
  <c r="G328" i="12" s="1"/>
  <c r="G340" i="12" s="1"/>
  <c r="G352" i="12" s="1"/>
  <c r="G364" i="12" s="1"/>
  <c r="G376" i="12" s="1"/>
  <c r="G388" i="12" s="1"/>
  <c r="G400" i="12" s="1"/>
  <c r="G412" i="12" s="1"/>
  <c r="G424" i="12" s="1"/>
  <c r="G436" i="12" s="1"/>
  <c r="G448" i="12" s="1"/>
  <c r="G460" i="12" s="1"/>
  <c r="G472" i="12" s="1"/>
  <c r="G484" i="12" s="1"/>
  <c r="G496" i="12" s="1"/>
  <c r="G508" i="12" s="1"/>
  <c r="G520" i="12" s="1"/>
  <c r="G532" i="12" s="1"/>
  <c r="G544" i="12" s="1"/>
  <c r="G556" i="12" s="1"/>
  <c r="G568" i="12" s="1"/>
  <c r="G580" i="12" s="1"/>
  <c r="G592" i="12" s="1"/>
  <c r="G604" i="12" s="1"/>
  <c r="G616" i="12" s="1"/>
  <c r="G628" i="12" s="1"/>
  <c r="G640" i="12" s="1"/>
  <c r="BG4" i="13"/>
  <c r="BG8" i="13"/>
  <c r="BE8" i="13" s="1"/>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F644" i="12" s="1"/>
  <c r="BD13" i="13"/>
  <c r="G13" i="12" s="1"/>
  <c r="G25" i="12" s="1"/>
  <c r="G37" i="12" s="1"/>
  <c r="G49" i="12" s="1"/>
  <c r="G61" i="12" s="1"/>
  <c r="G73" i="12" s="1"/>
  <c r="G85" i="12" s="1"/>
  <c r="G97" i="12" s="1"/>
  <c r="G109" i="12" s="1"/>
  <c r="G121" i="12" s="1"/>
  <c r="G133" i="12" s="1"/>
  <c r="G145" i="12" s="1"/>
  <c r="G157" i="12" s="1"/>
  <c r="G169" i="12" s="1"/>
  <c r="G181" i="12" s="1"/>
  <c r="G193" i="12" s="1"/>
  <c r="G205" i="12" s="1"/>
  <c r="G217" i="12" s="1"/>
  <c r="G229" i="12" s="1"/>
  <c r="G241" i="12" s="1"/>
  <c r="G253" i="12" s="1"/>
  <c r="G265" i="12" s="1"/>
  <c r="G277" i="12" s="1"/>
  <c r="G289" i="12" s="1"/>
  <c r="G301" i="12" s="1"/>
  <c r="G313" i="12" s="1"/>
  <c r="G325" i="12" s="1"/>
  <c r="G337" i="12" s="1"/>
  <c r="G349" i="12" s="1"/>
  <c r="G361" i="12" s="1"/>
  <c r="G373" i="12" s="1"/>
  <c r="G385" i="12" s="1"/>
  <c r="G397" i="12" s="1"/>
  <c r="G409" i="12" s="1"/>
  <c r="G421" i="12" s="1"/>
  <c r="G433" i="12" s="1"/>
  <c r="G445" i="12" s="1"/>
  <c r="G457" i="12" s="1"/>
  <c r="G469" i="12" s="1"/>
  <c r="G481" i="12" s="1"/>
  <c r="G493" i="12" s="1"/>
  <c r="G505" i="12" s="1"/>
  <c r="G517" i="12" s="1"/>
  <c r="G529" i="12" s="1"/>
  <c r="G541" i="12" s="1"/>
  <c r="G553" i="12" s="1"/>
  <c r="G565" i="12" s="1"/>
  <c r="G577" i="12" s="1"/>
  <c r="G589" i="12" s="1"/>
  <c r="G601" i="12" s="1"/>
  <c r="G613" i="12" s="1"/>
  <c r="G625" i="12" s="1"/>
  <c r="G637" i="12" s="1"/>
  <c r="G649" i="12" s="1"/>
  <c r="BD5" i="13"/>
  <c r="BE5" i="13" s="1"/>
  <c r="H5" i="12" s="1"/>
  <c r="BG3" i="13"/>
  <c r="BD3" i="13"/>
  <c r="G3" i="12" s="1"/>
  <c r="G15" i="12" s="1"/>
  <c r="G27" i="12" s="1"/>
  <c r="G39" i="12" s="1"/>
  <c r="G51" i="12" s="1"/>
  <c r="G63" i="12" s="1"/>
  <c r="G75" i="12" s="1"/>
  <c r="G87" i="12" s="1"/>
  <c r="G99" i="12" s="1"/>
  <c r="G111" i="12" s="1"/>
  <c r="G123" i="12" s="1"/>
  <c r="G135" i="12" s="1"/>
  <c r="G147" i="12" s="1"/>
  <c r="G159" i="12" s="1"/>
  <c r="G171" i="12" s="1"/>
  <c r="G183" i="12" s="1"/>
  <c r="G195" i="12" s="1"/>
  <c r="G207" i="12" s="1"/>
  <c r="G219" i="12" s="1"/>
  <c r="G231" i="12" s="1"/>
  <c r="G243" i="12" s="1"/>
  <c r="G255" i="12" s="1"/>
  <c r="G267" i="12" s="1"/>
  <c r="G279" i="12" s="1"/>
  <c r="G291" i="12" s="1"/>
  <c r="G303" i="12" s="1"/>
  <c r="G315" i="12" s="1"/>
  <c r="G327" i="12" s="1"/>
  <c r="G339" i="12" s="1"/>
  <c r="G351" i="12" s="1"/>
  <c r="G363" i="12" s="1"/>
  <c r="G375" i="12" s="1"/>
  <c r="G387" i="12" s="1"/>
  <c r="G399" i="12" s="1"/>
  <c r="G411" i="12" s="1"/>
  <c r="G423" i="12" s="1"/>
  <c r="G435" i="12" s="1"/>
  <c r="G447" i="12" s="1"/>
  <c r="G459" i="12" s="1"/>
  <c r="G471" i="12" s="1"/>
  <c r="G483" i="12" s="1"/>
  <c r="G495" i="12" s="1"/>
  <c r="G507" i="12" s="1"/>
  <c r="G519" i="12" s="1"/>
  <c r="G531" i="12" s="1"/>
  <c r="G543" i="12" s="1"/>
  <c r="G555" i="12" s="1"/>
  <c r="G567" i="12" s="1"/>
  <c r="G579" i="12" s="1"/>
  <c r="G591" i="12" s="1"/>
  <c r="G603" i="12" s="1"/>
  <c r="G615" i="12" s="1"/>
  <c r="G627" i="12" s="1"/>
  <c r="G639" i="12" s="1"/>
  <c r="BD9" i="13"/>
  <c r="G9" i="12" s="1"/>
  <c r="G21" i="12" s="1"/>
  <c r="G33" i="12" s="1"/>
  <c r="G45" i="12" s="1"/>
  <c r="G57" i="12" s="1"/>
  <c r="G69" i="12" s="1"/>
  <c r="G81" i="12" s="1"/>
  <c r="G93" i="12" s="1"/>
  <c r="G105" i="12" s="1"/>
  <c r="G117" i="12" s="1"/>
  <c r="G129" i="12" s="1"/>
  <c r="G141" i="12" s="1"/>
  <c r="G153" i="12" s="1"/>
  <c r="G165" i="12" s="1"/>
  <c r="G177" i="12" s="1"/>
  <c r="G189" i="12" s="1"/>
  <c r="G201" i="12" s="1"/>
  <c r="G213" i="12" s="1"/>
  <c r="G225" i="12" s="1"/>
  <c r="G237" i="12" s="1"/>
  <c r="G249" i="12" s="1"/>
  <c r="G261" i="12" s="1"/>
  <c r="G273" i="12" s="1"/>
  <c r="G285" i="12" s="1"/>
  <c r="G297" i="12" s="1"/>
  <c r="G309" i="12" s="1"/>
  <c r="G321" i="12" s="1"/>
  <c r="G333" i="12" s="1"/>
  <c r="G345" i="12" s="1"/>
  <c r="G357" i="12" s="1"/>
  <c r="G369" i="12" s="1"/>
  <c r="G381" i="12" s="1"/>
  <c r="G393" i="12" s="1"/>
  <c r="G405" i="12" s="1"/>
  <c r="G417" i="12" s="1"/>
  <c r="G429" i="12" s="1"/>
  <c r="G441" i="12" s="1"/>
  <c r="G453" i="12" s="1"/>
  <c r="G465" i="12" s="1"/>
  <c r="G477" i="12" s="1"/>
  <c r="G489" i="12" s="1"/>
  <c r="G501" i="12" s="1"/>
  <c r="G513" i="12" s="1"/>
  <c r="G525" i="12" s="1"/>
  <c r="G537" i="12" s="1"/>
  <c r="G549" i="12" s="1"/>
  <c r="G561" i="12" s="1"/>
  <c r="G573" i="12" s="1"/>
  <c r="G585" i="12" s="1"/>
  <c r="G597" i="12" s="1"/>
  <c r="G609" i="12" s="1"/>
  <c r="G621" i="12" s="1"/>
  <c r="G633" i="12" s="1"/>
  <c r="G645" i="12" s="1"/>
  <c r="BD11" i="13"/>
  <c r="G11" i="12" s="1"/>
  <c r="G23" i="12" s="1"/>
  <c r="G35" i="12" s="1"/>
  <c r="G47" i="12" s="1"/>
  <c r="G59" i="12" s="1"/>
  <c r="G71" i="12" s="1"/>
  <c r="G83" i="12" s="1"/>
  <c r="G95" i="12" s="1"/>
  <c r="G107" i="12" s="1"/>
  <c r="G119" i="12" s="1"/>
  <c r="G131" i="12" s="1"/>
  <c r="G143" i="12" s="1"/>
  <c r="G155" i="12" s="1"/>
  <c r="G167" i="12" s="1"/>
  <c r="G179" i="12" s="1"/>
  <c r="G191" i="12" s="1"/>
  <c r="G203" i="12" s="1"/>
  <c r="G215" i="12" s="1"/>
  <c r="G227" i="12" s="1"/>
  <c r="G239" i="12" s="1"/>
  <c r="G251" i="12" s="1"/>
  <c r="G263" i="12" s="1"/>
  <c r="G275" i="12" s="1"/>
  <c r="G287" i="12" s="1"/>
  <c r="G299" i="12" s="1"/>
  <c r="G311" i="12" s="1"/>
  <c r="G323" i="12" s="1"/>
  <c r="G335" i="12" s="1"/>
  <c r="G347" i="12" s="1"/>
  <c r="G359" i="12" s="1"/>
  <c r="G371" i="12" s="1"/>
  <c r="G383" i="12" s="1"/>
  <c r="G395" i="12" s="1"/>
  <c r="G407" i="12" s="1"/>
  <c r="G419" i="12" s="1"/>
  <c r="G431" i="12" s="1"/>
  <c r="G443" i="12" s="1"/>
  <c r="G455" i="12" s="1"/>
  <c r="G467" i="12" s="1"/>
  <c r="G479" i="12" s="1"/>
  <c r="G491" i="12" s="1"/>
  <c r="G503" i="12" s="1"/>
  <c r="G515" i="12" s="1"/>
  <c r="G527" i="12" s="1"/>
  <c r="G539" i="12" s="1"/>
  <c r="G551" i="12" s="1"/>
  <c r="G563" i="12" s="1"/>
  <c r="G575" i="12" s="1"/>
  <c r="G587" i="12" s="1"/>
  <c r="G599" i="12" s="1"/>
  <c r="G611" i="12" s="1"/>
  <c r="G623" i="12" s="1"/>
  <c r="G635" i="12" s="1"/>
  <c r="G647" i="12" s="1"/>
  <c r="BE6" i="13"/>
  <c r="H6" i="12" s="1"/>
  <c r="BE7" i="13"/>
  <c r="H7" i="12" s="1"/>
  <c r="BF7" i="13"/>
  <c r="I7" i="12" s="1"/>
  <c r="I19" i="12" s="1"/>
  <c r="I31" i="12" s="1"/>
  <c r="I43" i="12" s="1"/>
  <c r="I55" i="12" s="1"/>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BE10" i="13"/>
  <c r="H10" i="12" s="1"/>
  <c r="G5" i="12"/>
  <c r="G17" i="12" s="1"/>
  <c r="G29" i="12" s="1"/>
  <c r="G41" i="12" s="1"/>
  <c r="G53" i="12" s="1"/>
  <c r="G65" i="12" s="1"/>
  <c r="G77" i="12" s="1"/>
  <c r="G89" i="12" s="1"/>
  <c r="G101" i="12" s="1"/>
  <c r="G113" i="12" s="1"/>
  <c r="G125" i="12" s="1"/>
  <c r="G137" i="12" s="1"/>
  <c r="G149" i="12" s="1"/>
  <c r="G161" i="12" s="1"/>
  <c r="G173" i="12" s="1"/>
  <c r="G185" i="12" s="1"/>
  <c r="G197" i="12" s="1"/>
  <c r="G209" i="12" s="1"/>
  <c r="G221" i="12" s="1"/>
  <c r="G233" i="12" s="1"/>
  <c r="G245" i="12" s="1"/>
  <c r="G257" i="12" s="1"/>
  <c r="G269" i="12" s="1"/>
  <c r="G281" i="12" s="1"/>
  <c r="G293" i="12" s="1"/>
  <c r="G305" i="12" s="1"/>
  <c r="G317" i="12" s="1"/>
  <c r="G329" i="12" s="1"/>
  <c r="G341" i="12" s="1"/>
  <c r="G353" i="12" s="1"/>
  <c r="G365" i="12" s="1"/>
  <c r="G377" i="12" s="1"/>
  <c r="G389" i="12" s="1"/>
  <c r="G401" i="12" s="1"/>
  <c r="G413" i="12" s="1"/>
  <c r="G425" i="12" s="1"/>
  <c r="G437" i="12" s="1"/>
  <c r="G449" i="12" s="1"/>
  <c r="G461" i="12" s="1"/>
  <c r="G473" i="12" s="1"/>
  <c r="G485" i="12" s="1"/>
  <c r="G497" i="12" s="1"/>
  <c r="G509" i="12" s="1"/>
  <c r="G521" i="12" s="1"/>
  <c r="G533" i="12" s="1"/>
  <c r="G545" i="12" s="1"/>
  <c r="G557" i="12" s="1"/>
  <c r="G569" i="12" s="1"/>
  <c r="G581" i="12" s="1"/>
  <c r="G593" i="12" s="1"/>
  <c r="G605" i="12" s="1"/>
  <c r="G617" i="12" s="1"/>
  <c r="G629" i="12" s="1"/>
  <c r="G641" i="12" s="1"/>
  <c r="BF10" i="18"/>
  <c r="W10" i="12" s="1"/>
  <c r="X10" i="12" s="1"/>
  <c r="X22" i="12" s="1"/>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BE12" i="18"/>
  <c r="V12" i="12" s="1"/>
  <c r="T12" i="12" s="1"/>
  <c r="BE10" i="18"/>
  <c r="V10" i="12" s="1"/>
  <c r="T10" i="12" s="1"/>
  <c r="BE8" i="18"/>
  <c r="V8" i="12" s="1"/>
  <c r="T8" i="12" s="1"/>
  <c r="BE4" i="18"/>
  <c r="V4" i="12" s="1"/>
  <c r="T4" i="12" s="1"/>
  <c r="BF12" i="18"/>
  <c r="W12" i="12" s="1"/>
  <c r="X12" i="12" s="1"/>
  <c r="X24" i="12" s="1"/>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BF8" i="18"/>
  <c r="W8" i="12" s="1"/>
  <c r="X8" i="12" s="1"/>
  <c r="X20" i="12" s="1"/>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BE6" i="18"/>
  <c r="V6" i="12" s="1"/>
  <c r="T6" i="12" s="1"/>
  <c r="BF6" i="18"/>
  <c r="W6" i="12" s="1"/>
  <c r="X6" i="12" s="1"/>
  <c r="X18" i="12" s="1"/>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BF13" i="18"/>
  <c r="W13" i="12" s="1"/>
  <c r="X13" i="12" s="1"/>
  <c r="X25" i="12" s="1"/>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BE13" i="18"/>
  <c r="V13" i="12" s="1"/>
  <c r="T13" i="12" s="1"/>
  <c r="BF5" i="18"/>
  <c r="W5" i="12" s="1"/>
  <c r="X5" i="12" s="1"/>
  <c r="X17" i="12" s="1"/>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BE5" i="18"/>
  <c r="V5" i="12" s="1"/>
  <c r="T5" i="12" s="1"/>
  <c r="BF4" i="18"/>
  <c r="W4" i="12" s="1"/>
  <c r="X4" i="12" s="1"/>
  <c r="X16" i="12" s="1"/>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BF9" i="18"/>
  <c r="W9" i="12" s="1"/>
  <c r="X9" i="12" s="1"/>
  <c r="X21" i="12" s="1"/>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BE9" i="18"/>
  <c r="V9" i="12" s="1"/>
  <c r="T9" i="12" s="1"/>
  <c r="BF7" i="18"/>
  <c r="W7" i="12" s="1"/>
  <c r="X7" i="12" s="1"/>
  <c r="X19" i="12" s="1"/>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BE7" i="18"/>
  <c r="V7" i="12" s="1"/>
  <c r="T7" i="12" s="1"/>
  <c r="BF11" i="18"/>
  <c r="W11" i="12" s="1"/>
  <c r="X11" i="12" s="1"/>
  <c r="X23" i="12" s="1"/>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BE11" i="18"/>
  <c r="V11" i="12" s="1"/>
  <c r="T11" i="12" s="1"/>
  <c r="BE13" i="13"/>
  <c r="H13" i="12" s="1"/>
  <c r="BE12" i="13"/>
  <c r="H12" i="12" s="1"/>
  <c r="BF6" i="13"/>
  <c r="I6" i="12" s="1"/>
  <c r="I18" i="12" s="1"/>
  <c r="I30" i="12" s="1"/>
  <c r="I42" i="12" s="1"/>
  <c r="I54" i="12" s="1"/>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BF12" i="13"/>
  <c r="I12" i="12" s="1"/>
  <c r="I24" i="12" s="1"/>
  <c r="I36" i="12" s="1"/>
  <c r="I48" i="12" s="1"/>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BF10" i="13"/>
  <c r="I10" i="12" s="1"/>
  <c r="I22" i="12" s="1"/>
  <c r="I34" i="12" s="1"/>
  <c r="I46" i="12" s="1"/>
  <c r="I58" i="12" s="1"/>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BF5" i="13" l="1"/>
  <c r="I5" i="12" s="1"/>
  <c r="I17" i="12" s="1"/>
  <c r="I29" i="12" s="1"/>
  <c r="I41" i="12" s="1"/>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BF2" i="13"/>
  <c r="I2" i="12" s="1"/>
  <c r="I14" i="12" s="1"/>
  <c r="I26" i="12" s="1"/>
  <c r="I38" i="12" s="1"/>
  <c r="I50" i="12" s="1"/>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BF13" i="13"/>
  <c r="I13" i="12" s="1"/>
  <c r="I25" i="12" s="1"/>
  <c r="I37" i="12" s="1"/>
  <c r="I49" i="12" s="1"/>
  <c r="I61" i="12" s="1"/>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BE9" i="13"/>
  <c r="H9" i="12" s="1"/>
  <c r="H21" i="12" s="1"/>
  <c r="BF3" i="13"/>
  <c r="I3" i="12" s="1"/>
  <c r="I15" i="12" s="1"/>
  <c r="I27" i="12" s="1"/>
  <c r="I39" i="12" s="1"/>
  <c r="I51" i="12" s="1"/>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BF9" i="13"/>
  <c r="I9" i="12" s="1"/>
  <c r="I21" i="12" s="1"/>
  <c r="I33" i="12" s="1"/>
  <c r="I45" i="12" s="1"/>
  <c r="I57" i="12" s="1"/>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F320" i="12"/>
  <c r="F584" i="12"/>
  <c r="BF4" i="13"/>
  <c r="I4" i="12" s="1"/>
  <c r="I16" i="12" s="1"/>
  <c r="I28" i="12" s="1"/>
  <c r="I40" i="12" s="1"/>
  <c r="I52" i="12" s="1"/>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BE2" i="13"/>
  <c r="H2" i="12" s="1"/>
  <c r="F236" i="12"/>
  <c r="F260" i="12"/>
  <c r="F152" i="12"/>
  <c r="F560" i="12"/>
  <c r="F296" i="12"/>
  <c r="F140" i="12"/>
  <c r="F524" i="12"/>
  <c r="F428" i="12"/>
  <c r="F32" i="12"/>
  <c r="F44" i="12"/>
  <c r="BE11" i="13"/>
  <c r="H11" i="12" s="1"/>
  <c r="F11" i="12" s="1"/>
  <c r="F104" i="12"/>
  <c r="F248" i="12"/>
  <c r="BE4" i="13"/>
  <c r="H4" i="12" s="1"/>
  <c r="H16" i="12" s="1"/>
  <c r="BF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F80" i="12"/>
  <c r="F356" i="12"/>
  <c r="F632" i="12"/>
  <c r="F272" i="12"/>
  <c r="F164" i="12"/>
  <c r="F440" i="12"/>
  <c r="F620" i="12"/>
  <c r="F332" i="12"/>
  <c r="F380" i="12"/>
  <c r="F20" i="12"/>
  <c r="F608" i="12"/>
  <c r="F416" i="12"/>
  <c r="BF11" i="13"/>
  <c r="I11" i="12" s="1"/>
  <c r="I23" i="12" s="1"/>
  <c r="I35" i="12" s="1"/>
  <c r="I47" i="12" s="1"/>
  <c r="I59" i="12" s="1"/>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F452" i="12"/>
  <c r="F56" i="12"/>
  <c r="F68" i="12"/>
  <c r="F476" i="12"/>
  <c r="F8" i="12"/>
  <c r="F116" i="12"/>
  <c r="F392" i="12"/>
  <c r="F488" i="12"/>
  <c r="BE3" i="13"/>
  <c r="H3" i="12" s="1"/>
  <c r="H15" i="12" s="1"/>
  <c r="H25" i="12"/>
  <c r="F13" i="12"/>
  <c r="H18" i="12"/>
  <c r="F6" i="12"/>
  <c r="H14" i="12"/>
  <c r="F2" i="12"/>
  <c r="H22" i="12"/>
  <c r="F10" i="12"/>
  <c r="F3" i="12"/>
  <c r="F188" i="12"/>
  <c r="H17" i="12"/>
  <c r="F5" i="12"/>
  <c r="H24" i="12"/>
  <c r="F12" i="12"/>
  <c r="H19" i="12"/>
  <c r="F7" i="12"/>
  <c r="H23" i="12"/>
  <c r="F464" i="12"/>
  <c r="V16" i="12"/>
  <c r="T16" i="12" s="1"/>
  <c r="V23" i="12"/>
  <c r="T23" i="12" s="1"/>
  <c r="V21" i="12"/>
  <c r="T21" i="12" s="1"/>
  <c r="V18" i="12"/>
  <c r="T18" i="12" s="1"/>
  <c r="V20" i="12"/>
  <c r="T20" i="12" s="1"/>
  <c r="V17" i="12"/>
  <c r="T17" i="12" s="1"/>
  <c r="V25" i="12"/>
  <c r="T25" i="12" s="1"/>
  <c r="V22" i="12"/>
  <c r="T22" i="12" s="1"/>
  <c r="V19" i="12"/>
  <c r="T19" i="12" s="1"/>
  <c r="V24" i="12"/>
  <c r="T24" i="12" s="1"/>
  <c r="W21" i="12"/>
  <c r="W33" i="12" s="1"/>
  <c r="W45" i="12" s="1"/>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W465" i="12" s="1"/>
  <c r="W477" i="12" s="1"/>
  <c r="W489" i="12" s="1"/>
  <c r="W501" i="12" s="1"/>
  <c r="W513" i="12" s="1"/>
  <c r="W525" i="12" s="1"/>
  <c r="W537" i="12" s="1"/>
  <c r="W549" i="12" s="1"/>
  <c r="W561" i="12" s="1"/>
  <c r="W573" i="12" s="1"/>
  <c r="W585" i="12" s="1"/>
  <c r="W597" i="12" s="1"/>
  <c r="W609" i="12" s="1"/>
  <c r="W621" i="12" s="1"/>
  <c r="W633" i="12" s="1"/>
  <c r="W645" i="12" s="1"/>
  <c r="W20" i="12"/>
  <c r="W32" i="12" s="1"/>
  <c r="W44" i="12" s="1"/>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W464" i="12" s="1"/>
  <c r="W476" i="12" s="1"/>
  <c r="W488" i="12" s="1"/>
  <c r="W500" i="12" s="1"/>
  <c r="W512" i="12" s="1"/>
  <c r="W524" i="12" s="1"/>
  <c r="W536" i="12" s="1"/>
  <c r="W548" i="12" s="1"/>
  <c r="W560" i="12" s="1"/>
  <c r="W572" i="12" s="1"/>
  <c r="W584" i="12" s="1"/>
  <c r="W596" i="12" s="1"/>
  <c r="W608" i="12" s="1"/>
  <c r="W620" i="12" s="1"/>
  <c r="W632" i="12" s="1"/>
  <c r="W644" i="12" s="1"/>
  <c r="W19" i="12"/>
  <c r="W31" i="12" s="1"/>
  <c r="W43" i="12" s="1"/>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W463" i="12" s="1"/>
  <c r="W475" i="12" s="1"/>
  <c r="W487" i="12" s="1"/>
  <c r="W499" i="12" s="1"/>
  <c r="W511" i="12" s="1"/>
  <c r="W523" i="12" s="1"/>
  <c r="W535" i="12" s="1"/>
  <c r="W547" i="12" s="1"/>
  <c r="W559" i="12" s="1"/>
  <c r="W571" i="12" s="1"/>
  <c r="W583" i="12" s="1"/>
  <c r="W595" i="12" s="1"/>
  <c r="W607" i="12" s="1"/>
  <c r="W619" i="12" s="1"/>
  <c r="W631" i="12" s="1"/>
  <c r="W643" i="12" s="1"/>
  <c r="W18" i="12"/>
  <c r="W30" i="12" s="1"/>
  <c r="W42" i="12" s="1"/>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W462" i="12" s="1"/>
  <c r="W474" i="12" s="1"/>
  <c r="W486" i="12" s="1"/>
  <c r="W498" i="12" s="1"/>
  <c r="W510" i="12" s="1"/>
  <c r="W522" i="12" s="1"/>
  <c r="W534" i="12" s="1"/>
  <c r="W546" i="12" s="1"/>
  <c r="W558" i="12" s="1"/>
  <c r="W570" i="12" s="1"/>
  <c r="W582" i="12" s="1"/>
  <c r="W594" i="12" s="1"/>
  <c r="W606" i="12" s="1"/>
  <c r="W618" i="12" s="1"/>
  <c r="W630" i="12" s="1"/>
  <c r="W642" i="12" s="1"/>
  <c r="W16" i="12"/>
  <c r="W28" i="12" s="1"/>
  <c r="W40" i="12" s="1"/>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W460" i="12" s="1"/>
  <c r="W472" i="12" s="1"/>
  <c r="W484" i="12" s="1"/>
  <c r="W496" i="12" s="1"/>
  <c r="W508" i="12" s="1"/>
  <c r="W520" i="12" s="1"/>
  <c r="W532" i="12" s="1"/>
  <c r="W544" i="12" s="1"/>
  <c r="W556" i="12" s="1"/>
  <c r="W568" i="12" s="1"/>
  <c r="W580" i="12" s="1"/>
  <c r="W592" i="12" s="1"/>
  <c r="W604" i="12" s="1"/>
  <c r="W616" i="12" s="1"/>
  <c r="W628" i="12" s="1"/>
  <c r="W640" i="12" s="1"/>
  <c r="W24" i="12"/>
  <c r="W36" i="12" s="1"/>
  <c r="W48" i="12" s="1"/>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W468" i="12" s="1"/>
  <c r="W480" i="12" s="1"/>
  <c r="W492" i="12" s="1"/>
  <c r="W504" i="12" s="1"/>
  <c r="W516" i="12" s="1"/>
  <c r="W528" i="12" s="1"/>
  <c r="W540" i="12" s="1"/>
  <c r="W552" i="12" s="1"/>
  <c r="W564" i="12" s="1"/>
  <c r="W576" i="12" s="1"/>
  <c r="W588" i="12" s="1"/>
  <c r="W600" i="12" s="1"/>
  <c r="W612" i="12" s="1"/>
  <c r="W624" i="12" s="1"/>
  <c r="W636" i="12" s="1"/>
  <c r="W648" i="12" s="1"/>
  <c r="W25" i="12"/>
  <c r="W37" i="12" s="1"/>
  <c r="W49" i="12" s="1"/>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W469" i="12" s="1"/>
  <c r="W481" i="12" s="1"/>
  <c r="W493" i="12" s="1"/>
  <c r="W505" i="12" s="1"/>
  <c r="W517" i="12" s="1"/>
  <c r="W529" i="12" s="1"/>
  <c r="W541" i="12" s="1"/>
  <c r="W553" i="12" s="1"/>
  <c r="W565" i="12" s="1"/>
  <c r="W577" i="12" s="1"/>
  <c r="W589" i="12" s="1"/>
  <c r="W601" i="12" s="1"/>
  <c r="W613" i="12" s="1"/>
  <c r="W625" i="12" s="1"/>
  <c r="W637" i="12" s="1"/>
  <c r="W649" i="12" s="1"/>
  <c r="W22" i="12"/>
  <c r="W34" i="12" s="1"/>
  <c r="W46" i="12" s="1"/>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W466" i="12" s="1"/>
  <c r="W478" i="12" s="1"/>
  <c r="W490" i="12" s="1"/>
  <c r="W502" i="12" s="1"/>
  <c r="W514" i="12" s="1"/>
  <c r="W526" i="12" s="1"/>
  <c r="W538" i="12" s="1"/>
  <c r="W550" i="12" s="1"/>
  <c r="W562" i="12" s="1"/>
  <c r="W574" i="12" s="1"/>
  <c r="W586" i="12" s="1"/>
  <c r="W598" i="12" s="1"/>
  <c r="W610" i="12" s="1"/>
  <c r="W622" i="12" s="1"/>
  <c r="W634" i="12" s="1"/>
  <c r="W646" i="12" s="1"/>
  <c r="W17" i="12"/>
  <c r="W29" i="12" s="1"/>
  <c r="W41" i="12" s="1"/>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W461" i="12" s="1"/>
  <c r="W473" i="12" s="1"/>
  <c r="W485" i="12" s="1"/>
  <c r="W497" i="12" s="1"/>
  <c r="W509" i="12" s="1"/>
  <c r="W521" i="12" s="1"/>
  <c r="W533" i="12" s="1"/>
  <c r="W545" i="12" s="1"/>
  <c r="W557" i="12" s="1"/>
  <c r="W569" i="12" s="1"/>
  <c r="W581" i="12" s="1"/>
  <c r="W593" i="12" s="1"/>
  <c r="W605" i="12" s="1"/>
  <c r="W617" i="12" s="1"/>
  <c r="W629" i="12" s="1"/>
  <c r="W641" i="12" s="1"/>
  <c r="W23" i="12"/>
  <c r="W35" i="12" s="1"/>
  <c r="W47" i="12" s="1"/>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W467" i="12" s="1"/>
  <c r="W479" i="12" s="1"/>
  <c r="W491" i="12" s="1"/>
  <c r="W503" i="12" s="1"/>
  <c r="W515" i="12" s="1"/>
  <c r="W527" i="12" s="1"/>
  <c r="W539" i="12" s="1"/>
  <c r="W551" i="12" s="1"/>
  <c r="W563" i="12" s="1"/>
  <c r="W575" i="12" s="1"/>
  <c r="W587" i="12" s="1"/>
  <c r="W599" i="12" s="1"/>
  <c r="W611" i="12" s="1"/>
  <c r="W623" i="12" s="1"/>
  <c r="W635" i="12" s="1"/>
  <c r="W647" i="12" s="1"/>
  <c r="BG2" i="18"/>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F308" i="12" l="1"/>
  <c r="F9" i="12"/>
  <c r="F176" i="12"/>
  <c r="F200" i="12"/>
  <c r="F4" i="12"/>
  <c r="F500" i="12"/>
  <c r="F284" i="12"/>
  <c r="F212" i="12"/>
  <c r="F536" i="12"/>
  <c r="F224" i="12"/>
  <c r="F344" i="12"/>
  <c r="F404" i="12"/>
  <c r="F128" i="12"/>
  <c r="F92" i="12"/>
  <c r="F572" i="12"/>
  <c r="F512" i="12"/>
  <c r="F596" i="12"/>
  <c r="F548" i="12"/>
  <c r="F368" i="12"/>
  <c r="H28" i="12"/>
  <c r="F16" i="12"/>
  <c r="H29" i="12"/>
  <c r="F17" i="12"/>
  <c r="H34" i="12"/>
  <c r="F22" i="12"/>
  <c r="H33" i="12"/>
  <c r="F21" i="12"/>
  <c r="H35" i="12"/>
  <c r="F23" i="12"/>
  <c r="H31" i="12"/>
  <c r="F19" i="12"/>
  <c r="H36" i="12"/>
  <c r="F24" i="12"/>
  <c r="H27" i="12"/>
  <c r="F15" i="12"/>
  <c r="H26" i="12"/>
  <c r="F14" i="12"/>
  <c r="H30" i="12"/>
  <c r="F18" i="12"/>
  <c r="H37" i="12"/>
  <c r="F25" i="12"/>
  <c r="V36" i="12"/>
  <c r="T36" i="12" s="1"/>
  <c r="V34" i="12"/>
  <c r="T34" i="12" s="1"/>
  <c r="V29" i="12"/>
  <c r="T29" i="12" s="1"/>
  <c r="V30" i="12"/>
  <c r="T30" i="12" s="1"/>
  <c r="V35" i="12"/>
  <c r="T35" i="12" s="1"/>
  <c r="V31" i="12"/>
  <c r="T31" i="12" s="1"/>
  <c r="V37" i="12"/>
  <c r="T37" i="12" s="1"/>
  <c r="V32" i="12"/>
  <c r="T32" i="12" s="1"/>
  <c r="V33" i="12"/>
  <c r="T33" i="12" s="1"/>
  <c r="V28" i="12"/>
  <c r="T28" i="12" s="1"/>
  <c r="BG3" i="18"/>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BD3" i="18"/>
  <c r="U3" i="12" s="1"/>
  <c r="U15" i="12" s="1"/>
  <c r="U27" i="12" s="1"/>
  <c r="U39" i="12" s="1"/>
  <c r="U51" i="12" s="1"/>
  <c r="U63" i="12" s="1"/>
  <c r="U75" i="12" s="1"/>
  <c r="U87" i="12" s="1"/>
  <c r="U99" i="12" s="1"/>
  <c r="U111" i="12" s="1"/>
  <c r="U123" i="12" s="1"/>
  <c r="U135" i="12" s="1"/>
  <c r="U147" i="12" s="1"/>
  <c r="U159" i="12" s="1"/>
  <c r="U171" i="12" s="1"/>
  <c r="U183" i="12" s="1"/>
  <c r="U195" i="12" s="1"/>
  <c r="U207" i="12" s="1"/>
  <c r="U219" i="12" s="1"/>
  <c r="U231" i="12" s="1"/>
  <c r="U243" i="12" s="1"/>
  <c r="U255" i="12" s="1"/>
  <c r="U267" i="12" s="1"/>
  <c r="U279" i="12" s="1"/>
  <c r="U291" i="12" s="1"/>
  <c r="U303" i="12" s="1"/>
  <c r="U315" i="12" s="1"/>
  <c r="U327" i="12" s="1"/>
  <c r="U339" i="12" s="1"/>
  <c r="U351" i="12" s="1"/>
  <c r="U363" i="12" s="1"/>
  <c r="U375" i="12" s="1"/>
  <c r="U387" i="12" s="1"/>
  <c r="U399" i="12" s="1"/>
  <c r="U411" i="12" s="1"/>
  <c r="U423" i="12" s="1"/>
  <c r="U435" i="12" s="1"/>
  <c r="U447" i="12" s="1"/>
  <c r="U459" i="12" s="1"/>
  <c r="U471" i="12" s="1"/>
  <c r="U483" i="12" s="1"/>
  <c r="U495" i="12" s="1"/>
  <c r="U507" i="12" s="1"/>
  <c r="U519" i="12" s="1"/>
  <c r="U531" i="12" s="1"/>
  <c r="U543" i="12" s="1"/>
  <c r="U555" i="12" s="1"/>
  <c r="U567" i="12" s="1"/>
  <c r="U579" i="12" s="1"/>
  <c r="U591" i="12" s="1"/>
  <c r="U603" i="12" s="1"/>
  <c r="U615" i="12" s="1"/>
  <c r="U627" i="12" s="1"/>
  <c r="U639" i="12" s="1"/>
  <c r="H39" i="12" l="1"/>
  <c r="F27" i="12"/>
  <c r="H49" i="12"/>
  <c r="F37" i="12"/>
  <c r="H38" i="12"/>
  <c r="F26" i="12"/>
  <c r="H48" i="12"/>
  <c r="F36" i="12"/>
  <c r="H47" i="12"/>
  <c r="F35" i="12"/>
  <c r="H46" i="12"/>
  <c r="F34" i="12"/>
  <c r="H40" i="12"/>
  <c r="F28" i="12"/>
  <c r="H42" i="12"/>
  <c r="F30" i="12"/>
  <c r="H43" i="12"/>
  <c r="F31" i="12"/>
  <c r="H41" i="12"/>
  <c r="F29" i="12"/>
  <c r="H45" i="12"/>
  <c r="F33" i="12"/>
  <c r="V40" i="12"/>
  <c r="T40" i="12" s="1"/>
  <c r="V44" i="12"/>
  <c r="T44" i="12" s="1"/>
  <c r="V43" i="12"/>
  <c r="T43" i="12" s="1"/>
  <c r="V42" i="12"/>
  <c r="T42" i="12" s="1"/>
  <c r="V46" i="12"/>
  <c r="T46" i="12" s="1"/>
  <c r="V45" i="12"/>
  <c r="T45" i="12" s="1"/>
  <c r="V49" i="12"/>
  <c r="T49" i="12" s="1"/>
  <c r="V47" i="12"/>
  <c r="T47" i="12" s="1"/>
  <c r="V41" i="12"/>
  <c r="T41" i="12" s="1"/>
  <c r="V48" i="12"/>
  <c r="T48" i="12" s="1"/>
  <c r="BE2" i="18"/>
  <c r="V2" i="12" s="1"/>
  <c r="U2" i="12"/>
  <c r="BD7" i="8"/>
  <c r="N7" i="12" s="1"/>
  <c r="N19" i="12" s="1"/>
  <c r="N31" i="12" s="1"/>
  <c r="N43" i="12" s="1"/>
  <c r="N55" i="12" s="1"/>
  <c r="N67" i="12" s="1"/>
  <c r="N79" i="12" s="1"/>
  <c r="N91" i="12" s="1"/>
  <c r="N103" i="12" s="1"/>
  <c r="N115" i="12" s="1"/>
  <c r="N127" i="12" s="1"/>
  <c r="N139" i="12" s="1"/>
  <c r="N151" i="12" s="1"/>
  <c r="N163" i="12" s="1"/>
  <c r="N175" i="12" s="1"/>
  <c r="N187" i="12" s="1"/>
  <c r="N199" i="12" s="1"/>
  <c r="N211" i="12" s="1"/>
  <c r="N223" i="12" s="1"/>
  <c r="N235" i="12" s="1"/>
  <c r="N247" i="12" s="1"/>
  <c r="N259" i="12" s="1"/>
  <c r="N271" i="12" s="1"/>
  <c r="N283" i="12" s="1"/>
  <c r="N295" i="12" s="1"/>
  <c r="N307" i="12" s="1"/>
  <c r="N319" i="12" s="1"/>
  <c r="N331" i="12" s="1"/>
  <c r="N343" i="12" s="1"/>
  <c r="N355" i="12" s="1"/>
  <c r="N367" i="12" s="1"/>
  <c r="N379" i="12" s="1"/>
  <c r="N391" i="12" s="1"/>
  <c r="N403" i="12" s="1"/>
  <c r="N415" i="12" s="1"/>
  <c r="N427" i="12" s="1"/>
  <c r="N439" i="12" s="1"/>
  <c r="N451" i="12" s="1"/>
  <c r="N463" i="12" s="1"/>
  <c r="N475" i="12" s="1"/>
  <c r="N487" i="12" s="1"/>
  <c r="N499" i="12" s="1"/>
  <c r="N511" i="12" s="1"/>
  <c r="N523" i="12" s="1"/>
  <c r="N535" i="12" s="1"/>
  <c r="N547" i="12" s="1"/>
  <c r="N559" i="12" s="1"/>
  <c r="N571" i="12" s="1"/>
  <c r="N583" i="12" s="1"/>
  <c r="N595" i="12" s="1"/>
  <c r="N607" i="12" s="1"/>
  <c r="N619" i="12" s="1"/>
  <c r="N631" i="12" s="1"/>
  <c r="N643" i="12" s="1"/>
  <c r="N2" i="12"/>
  <c r="N14" i="12" s="1"/>
  <c r="N26" i="12" s="1"/>
  <c r="N38" i="12" s="1"/>
  <c r="N50" i="12" s="1"/>
  <c r="N62" i="12" s="1"/>
  <c r="N74" i="12" s="1"/>
  <c r="N86" i="12" s="1"/>
  <c r="N98" i="12" s="1"/>
  <c r="N110" i="12" s="1"/>
  <c r="N122" i="12" s="1"/>
  <c r="N134" i="12" s="1"/>
  <c r="N146" i="12" s="1"/>
  <c r="N158" i="12" s="1"/>
  <c r="N170" i="12" s="1"/>
  <c r="N182" i="12" s="1"/>
  <c r="N194" i="12" s="1"/>
  <c r="N206" i="12" s="1"/>
  <c r="N218" i="12" s="1"/>
  <c r="N230" i="12" s="1"/>
  <c r="N242" i="12" s="1"/>
  <c r="N254" i="12" s="1"/>
  <c r="N266" i="12" s="1"/>
  <c r="N278" i="12" s="1"/>
  <c r="N290" i="12" s="1"/>
  <c r="N302" i="12" s="1"/>
  <c r="N314" i="12" s="1"/>
  <c r="N326" i="12" s="1"/>
  <c r="N338" i="12" s="1"/>
  <c r="N350" i="12" s="1"/>
  <c r="N362" i="12" s="1"/>
  <c r="N374" i="12" s="1"/>
  <c r="N386" i="12" s="1"/>
  <c r="N398" i="12" s="1"/>
  <c r="N410" i="12" s="1"/>
  <c r="N422" i="12" s="1"/>
  <c r="N434" i="12" s="1"/>
  <c r="N446" i="12" s="1"/>
  <c r="N458" i="12" s="1"/>
  <c r="N470" i="12" s="1"/>
  <c r="N482" i="12" s="1"/>
  <c r="N494" i="12" s="1"/>
  <c r="N506" i="12" s="1"/>
  <c r="N518" i="12" s="1"/>
  <c r="N530" i="12" s="1"/>
  <c r="N542" i="12" s="1"/>
  <c r="N554" i="12" s="1"/>
  <c r="N566" i="12" s="1"/>
  <c r="N578" i="12" s="1"/>
  <c r="N590" i="12" s="1"/>
  <c r="N602" i="12" s="1"/>
  <c r="N614" i="12" s="1"/>
  <c r="N626" i="12" s="1"/>
  <c r="N638" i="12" s="1"/>
  <c r="BD9" i="8"/>
  <c r="N9" i="12" s="1"/>
  <c r="N21" i="12" s="1"/>
  <c r="N33" i="12" s="1"/>
  <c r="N45" i="12" s="1"/>
  <c r="N57" i="12" s="1"/>
  <c r="N69" i="12" s="1"/>
  <c r="N81" i="12" s="1"/>
  <c r="N93" i="12" s="1"/>
  <c r="N105" i="12" s="1"/>
  <c r="N117" i="12" s="1"/>
  <c r="N129" i="12" s="1"/>
  <c r="N141" i="12" s="1"/>
  <c r="N153" i="12" s="1"/>
  <c r="N165" i="12" s="1"/>
  <c r="N177" i="12" s="1"/>
  <c r="N189" i="12" s="1"/>
  <c r="N201" i="12" s="1"/>
  <c r="N213" i="12" s="1"/>
  <c r="N225" i="12" s="1"/>
  <c r="N237" i="12" s="1"/>
  <c r="N249" i="12" s="1"/>
  <c r="N261" i="12" s="1"/>
  <c r="N273" i="12" s="1"/>
  <c r="N285" i="12" s="1"/>
  <c r="N297" i="12" s="1"/>
  <c r="N309" i="12" s="1"/>
  <c r="N321" i="12" s="1"/>
  <c r="N333" i="12" s="1"/>
  <c r="N345" i="12" s="1"/>
  <c r="N357" i="12" s="1"/>
  <c r="N369" i="12" s="1"/>
  <c r="N381" i="12" s="1"/>
  <c r="N393" i="12" s="1"/>
  <c r="N405" i="12" s="1"/>
  <c r="N417" i="12" s="1"/>
  <c r="N429" i="12" s="1"/>
  <c r="N441" i="12" s="1"/>
  <c r="N453" i="12" s="1"/>
  <c r="N465" i="12" s="1"/>
  <c r="N477" i="12" s="1"/>
  <c r="N489" i="12" s="1"/>
  <c r="N501" i="12" s="1"/>
  <c r="N513" i="12" s="1"/>
  <c r="N525" i="12" s="1"/>
  <c r="N537" i="12" s="1"/>
  <c r="N549" i="12" s="1"/>
  <c r="N561" i="12" s="1"/>
  <c r="N573" i="12" s="1"/>
  <c r="N585" i="12" s="1"/>
  <c r="N597" i="12" s="1"/>
  <c r="N609" i="12" s="1"/>
  <c r="N621" i="12" s="1"/>
  <c r="N633" i="12" s="1"/>
  <c r="N645" i="12" s="1"/>
  <c r="BG9" i="8"/>
  <c r="BF2" i="18"/>
  <c r="W2" i="12" s="1"/>
  <c r="X2" i="12" s="1"/>
  <c r="X14" i="12" s="1"/>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18"/>
  <c r="V3" i="12" s="1"/>
  <c r="BF3" i="18"/>
  <c r="W3" i="12" s="1"/>
  <c r="X3" i="12" s="1"/>
  <c r="X15" i="12" s="1"/>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BD11" i="8"/>
  <c r="N11" i="12" s="1"/>
  <c r="N23" i="12" s="1"/>
  <c r="N35" i="12" s="1"/>
  <c r="N47" i="12" s="1"/>
  <c r="N59" i="12" s="1"/>
  <c r="N71" i="12" s="1"/>
  <c r="N83" i="12" s="1"/>
  <c r="N95" i="12" s="1"/>
  <c r="N107" i="12" s="1"/>
  <c r="N119" i="12" s="1"/>
  <c r="N131" i="12" s="1"/>
  <c r="N143" i="12" s="1"/>
  <c r="N155" i="12" s="1"/>
  <c r="N167" i="12" s="1"/>
  <c r="N179" i="12" s="1"/>
  <c r="N191" i="12" s="1"/>
  <c r="N203" i="12" s="1"/>
  <c r="N215" i="12" s="1"/>
  <c r="N227" i="12" s="1"/>
  <c r="N239" i="12" s="1"/>
  <c r="N251" i="12" s="1"/>
  <c r="N263" i="12" s="1"/>
  <c r="N275" i="12" s="1"/>
  <c r="N287" i="12" s="1"/>
  <c r="N299" i="12" s="1"/>
  <c r="N311" i="12" s="1"/>
  <c r="N323" i="12" s="1"/>
  <c r="N335" i="12" s="1"/>
  <c r="N347" i="12" s="1"/>
  <c r="N359" i="12" s="1"/>
  <c r="N371" i="12" s="1"/>
  <c r="N383" i="12" s="1"/>
  <c r="N395" i="12" s="1"/>
  <c r="N407" i="12" s="1"/>
  <c r="N419" i="12" s="1"/>
  <c r="N431" i="12" s="1"/>
  <c r="N443" i="12" s="1"/>
  <c r="N455" i="12" s="1"/>
  <c r="N467" i="12" s="1"/>
  <c r="N479" i="12" s="1"/>
  <c r="N491" i="12" s="1"/>
  <c r="N503" i="12" s="1"/>
  <c r="N515" i="12" s="1"/>
  <c r="N527" i="12" s="1"/>
  <c r="N539" i="12" s="1"/>
  <c r="N551" i="12" s="1"/>
  <c r="N563" i="12" s="1"/>
  <c r="N575" i="12" s="1"/>
  <c r="N587" i="12" s="1"/>
  <c r="N599" i="12" s="1"/>
  <c r="N611" i="12" s="1"/>
  <c r="N623" i="12" s="1"/>
  <c r="N635" i="12" s="1"/>
  <c r="N647" i="12" s="1"/>
  <c r="BG11" i="8"/>
  <c r="BD4" i="8"/>
  <c r="N4" i="12" s="1"/>
  <c r="N16" i="12" s="1"/>
  <c r="N28" i="12" s="1"/>
  <c r="N40" i="12" s="1"/>
  <c r="N52" i="12" s="1"/>
  <c r="N64" i="12" s="1"/>
  <c r="N76" i="12" s="1"/>
  <c r="N88" i="12" s="1"/>
  <c r="N100" i="12" s="1"/>
  <c r="N112" i="12" s="1"/>
  <c r="N124" i="12" s="1"/>
  <c r="N136" i="12" s="1"/>
  <c r="N148" i="12" s="1"/>
  <c r="N160" i="12" s="1"/>
  <c r="N172" i="12" s="1"/>
  <c r="N184" i="12" s="1"/>
  <c r="N196" i="12" s="1"/>
  <c r="N208" i="12" s="1"/>
  <c r="N220" i="12" s="1"/>
  <c r="N232" i="12" s="1"/>
  <c r="N244" i="12" s="1"/>
  <c r="N256" i="12" s="1"/>
  <c r="N268" i="12" s="1"/>
  <c r="N280" i="12" s="1"/>
  <c r="N292" i="12" s="1"/>
  <c r="N304" i="12" s="1"/>
  <c r="N316" i="12" s="1"/>
  <c r="N328" i="12" s="1"/>
  <c r="N340" i="12" s="1"/>
  <c r="N352" i="12" s="1"/>
  <c r="N364" i="12" s="1"/>
  <c r="N376" i="12" s="1"/>
  <c r="N388" i="12" s="1"/>
  <c r="N400" i="12" s="1"/>
  <c r="N412" i="12" s="1"/>
  <c r="N424" i="12" s="1"/>
  <c r="N436" i="12" s="1"/>
  <c r="N448" i="12" s="1"/>
  <c r="N460" i="12" s="1"/>
  <c r="N472" i="12" s="1"/>
  <c r="N484" i="12" s="1"/>
  <c r="N496" i="12" s="1"/>
  <c r="N508" i="12" s="1"/>
  <c r="N520" i="12" s="1"/>
  <c r="N532" i="12" s="1"/>
  <c r="N544" i="12" s="1"/>
  <c r="N556" i="12" s="1"/>
  <c r="N568" i="12" s="1"/>
  <c r="N580" i="12" s="1"/>
  <c r="N592" i="12" s="1"/>
  <c r="N604" i="12" s="1"/>
  <c r="N616" i="12" s="1"/>
  <c r="N628" i="12" s="1"/>
  <c r="N640" i="12" s="1"/>
  <c r="BD3" i="8"/>
  <c r="N3" i="12" s="1"/>
  <c r="N15" i="12" s="1"/>
  <c r="N27" i="12" s="1"/>
  <c r="N39" i="12" s="1"/>
  <c r="N51" i="12" s="1"/>
  <c r="N63" i="12" s="1"/>
  <c r="N75" i="12" s="1"/>
  <c r="N87" i="12" s="1"/>
  <c r="N99" i="12" s="1"/>
  <c r="N111" i="12" s="1"/>
  <c r="N123" i="12" s="1"/>
  <c r="N135" i="12" s="1"/>
  <c r="N147" i="12" s="1"/>
  <c r="N159" i="12" s="1"/>
  <c r="N171" i="12" s="1"/>
  <c r="N183" i="12" s="1"/>
  <c r="N195" i="12" s="1"/>
  <c r="N207" i="12" s="1"/>
  <c r="N219" i="12" s="1"/>
  <c r="N231" i="12" s="1"/>
  <c r="N243" i="12" s="1"/>
  <c r="N255" i="12" s="1"/>
  <c r="N267" i="12" s="1"/>
  <c r="N279" i="12" s="1"/>
  <c r="N291" i="12" s="1"/>
  <c r="N303" i="12" s="1"/>
  <c r="N315" i="12" s="1"/>
  <c r="N327" i="12" s="1"/>
  <c r="N339" i="12" s="1"/>
  <c r="N351" i="12" s="1"/>
  <c r="N363" i="12" s="1"/>
  <c r="N375" i="12" s="1"/>
  <c r="N387" i="12" s="1"/>
  <c r="N399" i="12" s="1"/>
  <c r="N411" i="12" s="1"/>
  <c r="N423" i="12" s="1"/>
  <c r="N435" i="12" s="1"/>
  <c r="N447" i="12" s="1"/>
  <c r="N459" i="12" s="1"/>
  <c r="N471" i="12" s="1"/>
  <c r="N483" i="12" s="1"/>
  <c r="N495" i="12" s="1"/>
  <c r="N507" i="12" s="1"/>
  <c r="N519" i="12" s="1"/>
  <c r="N531" i="12" s="1"/>
  <c r="N543" i="12" s="1"/>
  <c r="N555" i="12" s="1"/>
  <c r="N567" i="12" s="1"/>
  <c r="N579" i="12" s="1"/>
  <c r="N591" i="12" s="1"/>
  <c r="N603" i="12" s="1"/>
  <c r="N615" i="12" s="1"/>
  <c r="N627" i="12" s="1"/>
  <c r="N639" i="12" s="1"/>
  <c r="BG4" i="8"/>
  <c r="BD12" i="8"/>
  <c r="N12" i="12" s="1"/>
  <c r="N24" i="12" s="1"/>
  <c r="N36" i="12" s="1"/>
  <c r="N48" i="12" s="1"/>
  <c r="N60" i="12" s="1"/>
  <c r="N72" i="12" s="1"/>
  <c r="N84" i="12" s="1"/>
  <c r="N96" i="12" s="1"/>
  <c r="N108" i="12" s="1"/>
  <c r="N120" i="12" s="1"/>
  <c r="N132" i="12" s="1"/>
  <c r="N144" i="12" s="1"/>
  <c r="N156" i="12" s="1"/>
  <c r="N168" i="12" s="1"/>
  <c r="N180" i="12" s="1"/>
  <c r="N192" i="12" s="1"/>
  <c r="N204" i="12" s="1"/>
  <c r="N216" i="12" s="1"/>
  <c r="N228" i="12" s="1"/>
  <c r="N240" i="12" s="1"/>
  <c r="N252" i="12" s="1"/>
  <c r="N264" i="12" s="1"/>
  <c r="N276" i="12" s="1"/>
  <c r="N288" i="12" s="1"/>
  <c r="N300" i="12" s="1"/>
  <c r="N312" i="12" s="1"/>
  <c r="N324" i="12" s="1"/>
  <c r="N336" i="12" s="1"/>
  <c r="N348" i="12" s="1"/>
  <c r="N360" i="12" s="1"/>
  <c r="N372" i="12" s="1"/>
  <c r="N384" i="12" s="1"/>
  <c r="N396" i="12" s="1"/>
  <c r="N408" i="12" s="1"/>
  <c r="N420" i="12" s="1"/>
  <c r="N432" i="12" s="1"/>
  <c r="N444" i="12" s="1"/>
  <c r="N456" i="12" s="1"/>
  <c r="N468" i="12" s="1"/>
  <c r="N480" i="12" s="1"/>
  <c r="N492" i="12" s="1"/>
  <c r="N504" i="12" s="1"/>
  <c r="N516" i="12" s="1"/>
  <c r="N528" i="12" s="1"/>
  <c r="N540" i="12" s="1"/>
  <c r="N552" i="12" s="1"/>
  <c r="N564" i="12" s="1"/>
  <c r="N576" i="12" s="1"/>
  <c r="N588" i="12" s="1"/>
  <c r="N600" i="12" s="1"/>
  <c r="N612" i="12" s="1"/>
  <c r="N624" i="12" s="1"/>
  <c r="N636" i="12" s="1"/>
  <c r="N648" i="12" s="1"/>
  <c r="BG3" i="8"/>
  <c r="BG12" i="8"/>
  <c r="BG5" i="8"/>
  <c r="BG8" i="8"/>
  <c r="BG7" i="8"/>
  <c r="BD13" i="8"/>
  <c r="N13" i="12" s="1"/>
  <c r="N25" i="12" s="1"/>
  <c r="N37" i="12" s="1"/>
  <c r="N49" i="12" s="1"/>
  <c r="N61" i="12" s="1"/>
  <c r="N73" i="12" s="1"/>
  <c r="N85" i="12" s="1"/>
  <c r="N97" i="12" s="1"/>
  <c r="N109" i="12" s="1"/>
  <c r="N121" i="12" s="1"/>
  <c r="N133" i="12" s="1"/>
  <c r="N145" i="12" s="1"/>
  <c r="N157" i="12" s="1"/>
  <c r="N169" i="12" s="1"/>
  <c r="N181" i="12" s="1"/>
  <c r="N193" i="12" s="1"/>
  <c r="N205" i="12" s="1"/>
  <c r="N217" i="12" s="1"/>
  <c r="N229" i="12" s="1"/>
  <c r="N241" i="12" s="1"/>
  <c r="N253" i="12" s="1"/>
  <c r="N265" i="12" s="1"/>
  <c r="N277" i="12" s="1"/>
  <c r="N289" i="12" s="1"/>
  <c r="N301" i="12" s="1"/>
  <c r="N313" i="12" s="1"/>
  <c r="N325" i="12" s="1"/>
  <c r="N337" i="12" s="1"/>
  <c r="N349" i="12" s="1"/>
  <c r="N361" i="12" s="1"/>
  <c r="N373" i="12" s="1"/>
  <c r="N385" i="12" s="1"/>
  <c r="N397" i="12" s="1"/>
  <c r="N409" i="12" s="1"/>
  <c r="N421" i="12" s="1"/>
  <c r="N433" i="12" s="1"/>
  <c r="N445" i="12" s="1"/>
  <c r="N457" i="12" s="1"/>
  <c r="N469" i="12" s="1"/>
  <c r="N481" i="12" s="1"/>
  <c r="N493" i="12" s="1"/>
  <c r="N505" i="12" s="1"/>
  <c r="N517" i="12" s="1"/>
  <c r="N529" i="12" s="1"/>
  <c r="N541" i="12" s="1"/>
  <c r="N553" i="12" s="1"/>
  <c r="N565" i="12" s="1"/>
  <c r="N577" i="12" s="1"/>
  <c r="N589" i="12" s="1"/>
  <c r="N601" i="12" s="1"/>
  <c r="N613" i="12" s="1"/>
  <c r="N625" i="12" s="1"/>
  <c r="N637" i="12" s="1"/>
  <c r="N649" i="12" s="1"/>
  <c r="BD6" i="8"/>
  <c r="N6" i="12" s="1"/>
  <c r="N18" i="12" s="1"/>
  <c r="N30" i="12" s="1"/>
  <c r="N42" i="12" s="1"/>
  <c r="N54" i="12" s="1"/>
  <c r="N66" i="12" s="1"/>
  <c r="N78" i="12" s="1"/>
  <c r="N90" i="12" s="1"/>
  <c r="N102" i="12" s="1"/>
  <c r="N114" i="12" s="1"/>
  <c r="N126" i="12" s="1"/>
  <c r="N138" i="12" s="1"/>
  <c r="N150" i="12" s="1"/>
  <c r="N162" i="12" s="1"/>
  <c r="N174" i="12" s="1"/>
  <c r="N186" i="12" s="1"/>
  <c r="N198" i="12" s="1"/>
  <c r="N210" i="12" s="1"/>
  <c r="N222" i="12" s="1"/>
  <c r="N234" i="12" s="1"/>
  <c r="N246" i="12" s="1"/>
  <c r="N258" i="12" s="1"/>
  <c r="N270" i="12" s="1"/>
  <c r="N282" i="12" s="1"/>
  <c r="N294" i="12" s="1"/>
  <c r="N306" i="12" s="1"/>
  <c r="N318" i="12" s="1"/>
  <c r="N330" i="12" s="1"/>
  <c r="N342" i="12" s="1"/>
  <c r="N354" i="12" s="1"/>
  <c r="N366" i="12" s="1"/>
  <c r="N378" i="12" s="1"/>
  <c r="N390" i="12" s="1"/>
  <c r="N402" i="12" s="1"/>
  <c r="N414" i="12" s="1"/>
  <c r="N426" i="12" s="1"/>
  <c r="N438" i="12" s="1"/>
  <c r="N450" i="12" s="1"/>
  <c r="N462" i="12" s="1"/>
  <c r="N474" i="12" s="1"/>
  <c r="N486" i="12" s="1"/>
  <c r="N498" i="12" s="1"/>
  <c r="N510" i="12" s="1"/>
  <c r="N522" i="12" s="1"/>
  <c r="N534" i="12" s="1"/>
  <c r="N546" i="12" s="1"/>
  <c r="N558" i="12" s="1"/>
  <c r="N570" i="12" s="1"/>
  <c r="N582" i="12" s="1"/>
  <c r="N594" i="12" s="1"/>
  <c r="N606" i="12" s="1"/>
  <c r="N618" i="12" s="1"/>
  <c r="N630" i="12" s="1"/>
  <c r="N642" i="12" s="1"/>
  <c r="BG10" i="8"/>
  <c r="BG2" i="8"/>
  <c r="BD10" i="8"/>
  <c r="N10" i="12" s="1"/>
  <c r="N22" i="12" s="1"/>
  <c r="N34" i="12" s="1"/>
  <c r="N46" i="12" s="1"/>
  <c r="N58" i="12" s="1"/>
  <c r="N70" i="12" s="1"/>
  <c r="N82" i="12" s="1"/>
  <c r="N94" i="12" s="1"/>
  <c r="N106" i="12" s="1"/>
  <c r="N118" i="12" s="1"/>
  <c r="N130" i="12" s="1"/>
  <c r="N142" i="12" s="1"/>
  <c r="N154" i="12" s="1"/>
  <c r="N166" i="12" s="1"/>
  <c r="N178" i="12" s="1"/>
  <c r="N190" i="12" s="1"/>
  <c r="N202" i="12" s="1"/>
  <c r="N214" i="12" s="1"/>
  <c r="N226" i="12" s="1"/>
  <c r="N238" i="12" s="1"/>
  <c r="N250" i="12" s="1"/>
  <c r="N262" i="12" s="1"/>
  <c r="N274" i="12" s="1"/>
  <c r="N286" i="12" s="1"/>
  <c r="N298" i="12" s="1"/>
  <c r="N310" i="12" s="1"/>
  <c r="N322" i="12" s="1"/>
  <c r="N334" i="12" s="1"/>
  <c r="N346" i="12" s="1"/>
  <c r="N358" i="12" s="1"/>
  <c r="N370" i="12" s="1"/>
  <c r="N382" i="12" s="1"/>
  <c r="N394" i="12" s="1"/>
  <c r="N406" i="12" s="1"/>
  <c r="N418" i="12" s="1"/>
  <c r="N430" i="12" s="1"/>
  <c r="N442" i="12" s="1"/>
  <c r="N454" i="12" s="1"/>
  <c r="N466" i="12" s="1"/>
  <c r="N478" i="12" s="1"/>
  <c r="N490" i="12" s="1"/>
  <c r="N502" i="12" s="1"/>
  <c r="N514" i="12" s="1"/>
  <c r="N526" i="12" s="1"/>
  <c r="N538" i="12" s="1"/>
  <c r="N550" i="12" s="1"/>
  <c r="N562" i="12" s="1"/>
  <c r="N574" i="12" s="1"/>
  <c r="N586" i="12" s="1"/>
  <c r="N598" i="12" s="1"/>
  <c r="N610" i="12" s="1"/>
  <c r="N622" i="12" s="1"/>
  <c r="N634" i="12" s="1"/>
  <c r="N646" i="12" s="1"/>
  <c r="BD8" i="8"/>
  <c r="N8" i="12" s="1"/>
  <c r="N20" i="12" s="1"/>
  <c r="N32" i="12" s="1"/>
  <c r="N44" i="12" s="1"/>
  <c r="N56" i="12" s="1"/>
  <c r="N68" i="12" s="1"/>
  <c r="N80" i="12" s="1"/>
  <c r="N92" i="12" s="1"/>
  <c r="N104" i="12" s="1"/>
  <c r="N116" i="12" s="1"/>
  <c r="N128" i="12" s="1"/>
  <c r="N140" i="12" s="1"/>
  <c r="N152" i="12" s="1"/>
  <c r="N164" i="12" s="1"/>
  <c r="N176" i="12" s="1"/>
  <c r="N188" i="12" s="1"/>
  <c r="N200" i="12" s="1"/>
  <c r="N212" i="12" s="1"/>
  <c r="N224" i="12" s="1"/>
  <c r="N236" i="12" s="1"/>
  <c r="N248" i="12" s="1"/>
  <c r="N260" i="12" s="1"/>
  <c r="N272" i="12" s="1"/>
  <c r="N284" i="12" s="1"/>
  <c r="N296" i="12" s="1"/>
  <c r="N308" i="12" s="1"/>
  <c r="N320" i="12" s="1"/>
  <c r="N332" i="12" s="1"/>
  <c r="N344" i="12" s="1"/>
  <c r="N356" i="12" s="1"/>
  <c r="N368" i="12" s="1"/>
  <c r="N380" i="12" s="1"/>
  <c r="N392" i="12" s="1"/>
  <c r="N404" i="12" s="1"/>
  <c r="N416" i="12" s="1"/>
  <c r="N428" i="12" s="1"/>
  <c r="N440" i="12" s="1"/>
  <c r="N452" i="12" s="1"/>
  <c r="N464" i="12" s="1"/>
  <c r="N476" i="12" s="1"/>
  <c r="N488" i="12" s="1"/>
  <c r="N500" i="12" s="1"/>
  <c r="N512" i="12" s="1"/>
  <c r="N524" i="12" s="1"/>
  <c r="N536" i="12" s="1"/>
  <c r="N548" i="12" s="1"/>
  <c r="N560" i="12" s="1"/>
  <c r="N572" i="12" s="1"/>
  <c r="N584" i="12" s="1"/>
  <c r="N596" i="12" s="1"/>
  <c r="N608" i="12" s="1"/>
  <c r="N620" i="12" s="1"/>
  <c r="N632" i="12" s="1"/>
  <c r="N644" i="12" s="1"/>
  <c r="BD5" i="8"/>
  <c r="BG6" i="8"/>
  <c r="BG13" i="8"/>
  <c r="BE2" i="8" l="1"/>
  <c r="O2" i="12" s="1"/>
  <c r="M2" i="12" s="1"/>
  <c r="T3" i="12"/>
  <c r="H53" i="12"/>
  <c r="F41" i="12"/>
  <c r="H54" i="12"/>
  <c r="F42" i="12"/>
  <c r="H58" i="12"/>
  <c r="F46" i="12"/>
  <c r="H60" i="12"/>
  <c r="F48" i="12"/>
  <c r="H61" i="12"/>
  <c r="F49" i="12"/>
  <c r="T2" i="12"/>
  <c r="H57" i="12"/>
  <c r="F45" i="12"/>
  <c r="H55" i="12"/>
  <c r="F43" i="12"/>
  <c r="H52" i="12"/>
  <c r="F40" i="12"/>
  <c r="H59" i="12"/>
  <c r="F47" i="12"/>
  <c r="H50" i="12"/>
  <c r="F38" i="12"/>
  <c r="H51" i="12"/>
  <c r="F39" i="12"/>
  <c r="V60" i="12"/>
  <c r="T60" i="12" s="1"/>
  <c r="V59" i="12"/>
  <c r="T59" i="12" s="1"/>
  <c r="V57" i="12"/>
  <c r="T57" i="12" s="1"/>
  <c r="V54" i="12"/>
  <c r="T54" i="12" s="1"/>
  <c r="V56" i="12"/>
  <c r="T56" i="12" s="1"/>
  <c r="V15" i="12"/>
  <c r="T15" i="12" s="1"/>
  <c r="V14" i="12"/>
  <c r="T14" i="12" s="1"/>
  <c r="V53" i="12"/>
  <c r="T53" i="12" s="1"/>
  <c r="V61" i="12"/>
  <c r="T61" i="12" s="1"/>
  <c r="V58" i="12"/>
  <c r="T58" i="12" s="1"/>
  <c r="V55" i="12"/>
  <c r="T55" i="12" s="1"/>
  <c r="V52" i="12"/>
  <c r="T52" i="12" s="1"/>
  <c r="BF9" i="8"/>
  <c r="P9" i="12" s="1"/>
  <c r="P21" i="12" s="1"/>
  <c r="P33" i="12" s="1"/>
  <c r="P45" i="12" s="1"/>
  <c r="P57" i="12" s="1"/>
  <c r="P69" i="12" s="1"/>
  <c r="P81" i="12" s="1"/>
  <c r="P93" i="12" s="1"/>
  <c r="P105" i="12" s="1"/>
  <c r="P117" i="12" s="1"/>
  <c r="P129" i="12" s="1"/>
  <c r="P141" i="12" s="1"/>
  <c r="P153" i="12" s="1"/>
  <c r="P165" i="12" s="1"/>
  <c r="P177" i="12" s="1"/>
  <c r="P189" i="12" s="1"/>
  <c r="P201" i="12" s="1"/>
  <c r="P213" i="12" s="1"/>
  <c r="P225" i="12" s="1"/>
  <c r="P237" i="12" s="1"/>
  <c r="P249" i="12" s="1"/>
  <c r="P261" i="12" s="1"/>
  <c r="P273" i="12" s="1"/>
  <c r="P285" i="12" s="1"/>
  <c r="P297" i="12" s="1"/>
  <c r="P309" i="12" s="1"/>
  <c r="P321" i="12" s="1"/>
  <c r="P333" i="12" s="1"/>
  <c r="P345" i="12" s="1"/>
  <c r="P357" i="12" s="1"/>
  <c r="P369" i="12" s="1"/>
  <c r="P381" i="12" s="1"/>
  <c r="P393" i="12" s="1"/>
  <c r="P405" i="12" s="1"/>
  <c r="P417" i="12" s="1"/>
  <c r="P429" i="12" s="1"/>
  <c r="P441" i="12" s="1"/>
  <c r="P453" i="12" s="1"/>
  <c r="P465" i="12" s="1"/>
  <c r="P477" i="12" s="1"/>
  <c r="P489" i="12" s="1"/>
  <c r="P501" i="12" s="1"/>
  <c r="P513" i="12" s="1"/>
  <c r="P525" i="12" s="1"/>
  <c r="P537" i="12" s="1"/>
  <c r="P549" i="12" s="1"/>
  <c r="P561" i="12" s="1"/>
  <c r="P573" i="12" s="1"/>
  <c r="P585" i="12" s="1"/>
  <c r="P597" i="12" s="1"/>
  <c r="P609" i="12" s="1"/>
  <c r="P621" i="12" s="1"/>
  <c r="P633" i="12" s="1"/>
  <c r="P645" i="12" s="1"/>
  <c r="BE9" i="8"/>
  <c r="O9" i="12" s="1"/>
  <c r="M9" i="12" s="1"/>
  <c r="U14" i="12"/>
  <c r="U26" i="12" s="1"/>
  <c r="U38" i="12" s="1"/>
  <c r="U50" i="12" s="1"/>
  <c r="U62" i="12" s="1"/>
  <c r="U74" i="12" s="1"/>
  <c r="U86" i="12" s="1"/>
  <c r="U98" i="12" s="1"/>
  <c r="U110" i="12" s="1"/>
  <c r="U122" i="12" s="1"/>
  <c r="U134" i="12" s="1"/>
  <c r="U146" i="12" s="1"/>
  <c r="U158" i="12" s="1"/>
  <c r="U170" i="12" s="1"/>
  <c r="U182" i="12" s="1"/>
  <c r="U194" i="12" s="1"/>
  <c r="U206" i="12" s="1"/>
  <c r="U218" i="12" s="1"/>
  <c r="U230" i="12" s="1"/>
  <c r="U242" i="12" s="1"/>
  <c r="U254" i="12" s="1"/>
  <c r="U266" i="12" s="1"/>
  <c r="U278" i="12" s="1"/>
  <c r="U290" i="12" s="1"/>
  <c r="U302" i="12" s="1"/>
  <c r="U314" i="12" s="1"/>
  <c r="U326" i="12" s="1"/>
  <c r="U338" i="12" s="1"/>
  <c r="U350" i="12" s="1"/>
  <c r="U362" i="12" s="1"/>
  <c r="U374" i="12" s="1"/>
  <c r="U386" i="12" s="1"/>
  <c r="U398" i="12" s="1"/>
  <c r="U410" i="12" s="1"/>
  <c r="U422" i="12" s="1"/>
  <c r="U434" i="12" s="1"/>
  <c r="U446" i="12" s="1"/>
  <c r="U458" i="12" s="1"/>
  <c r="U470" i="12" s="1"/>
  <c r="U482" i="12" s="1"/>
  <c r="U494" i="12" s="1"/>
  <c r="U506" i="12" s="1"/>
  <c r="U518" i="12" s="1"/>
  <c r="U530" i="12" s="1"/>
  <c r="U542" i="12" s="1"/>
  <c r="U554" i="12" s="1"/>
  <c r="U566" i="12" s="1"/>
  <c r="U578" i="12" s="1"/>
  <c r="U590" i="12" s="1"/>
  <c r="U602" i="12" s="1"/>
  <c r="U614" i="12" s="1"/>
  <c r="U626" i="12" s="1"/>
  <c r="U638" i="12" s="1"/>
  <c r="BF7" i="8"/>
  <c r="P7" i="12" s="1"/>
  <c r="P19" i="12" s="1"/>
  <c r="P31" i="12" s="1"/>
  <c r="P43" i="12" s="1"/>
  <c r="P55" i="12" s="1"/>
  <c r="P67" i="12" s="1"/>
  <c r="P79" i="12" s="1"/>
  <c r="P91" i="12" s="1"/>
  <c r="P103" i="12" s="1"/>
  <c r="P115" i="12" s="1"/>
  <c r="P127" i="12" s="1"/>
  <c r="P139" i="12" s="1"/>
  <c r="P151" i="12" s="1"/>
  <c r="P163" i="12" s="1"/>
  <c r="P175" i="12" s="1"/>
  <c r="P187" i="12" s="1"/>
  <c r="P199" i="12" s="1"/>
  <c r="P211" i="12" s="1"/>
  <c r="P223" i="12" s="1"/>
  <c r="P235" i="12" s="1"/>
  <c r="P247" i="12" s="1"/>
  <c r="P259" i="12" s="1"/>
  <c r="P271" i="12" s="1"/>
  <c r="P283" i="12" s="1"/>
  <c r="P295" i="12" s="1"/>
  <c r="P307" i="12" s="1"/>
  <c r="P319" i="12" s="1"/>
  <c r="P331" i="12" s="1"/>
  <c r="P343" i="12" s="1"/>
  <c r="P355" i="12" s="1"/>
  <c r="P367" i="12" s="1"/>
  <c r="P379" i="12" s="1"/>
  <c r="P391" i="12" s="1"/>
  <c r="P403" i="12" s="1"/>
  <c r="P415" i="12" s="1"/>
  <c r="P427" i="12" s="1"/>
  <c r="P439" i="12" s="1"/>
  <c r="P451" i="12" s="1"/>
  <c r="P463" i="12" s="1"/>
  <c r="P475" i="12" s="1"/>
  <c r="P487" i="12" s="1"/>
  <c r="P499" i="12" s="1"/>
  <c r="P511" i="12" s="1"/>
  <c r="P523" i="12" s="1"/>
  <c r="P535" i="12" s="1"/>
  <c r="P547" i="12" s="1"/>
  <c r="P559" i="12" s="1"/>
  <c r="P571" i="12" s="1"/>
  <c r="P583" i="12" s="1"/>
  <c r="P595" i="12" s="1"/>
  <c r="P607" i="12" s="1"/>
  <c r="P619" i="12" s="1"/>
  <c r="P631" i="12" s="1"/>
  <c r="P643" i="12" s="1"/>
  <c r="BF5" i="8"/>
  <c r="P5" i="12" s="1"/>
  <c r="P17" i="12" s="1"/>
  <c r="P29" i="12" s="1"/>
  <c r="P41" i="12" s="1"/>
  <c r="P53" i="12" s="1"/>
  <c r="P65" i="12" s="1"/>
  <c r="P77" i="12" s="1"/>
  <c r="P89" i="12" s="1"/>
  <c r="P101" i="12" s="1"/>
  <c r="P113" i="12" s="1"/>
  <c r="P125" i="12" s="1"/>
  <c r="P137" i="12" s="1"/>
  <c r="P149" i="12" s="1"/>
  <c r="P161" i="12" s="1"/>
  <c r="P173" i="12" s="1"/>
  <c r="P185" i="12" s="1"/>
  <c r="P197" i="12" s="1"/>
  <c r="P209" i="12" s="1"/>
  <c r="P221" i="12" s="1"/>
  <c r="P233" i="12" s="1"/>
  <c r="P245" i="12" s="1"/>
  <c r="P257" i="12" s="1"/>
  <c r="P269" i="12" s="1"/>
  <c r="P281" i="12" s="1"/>
  <c r="P293" i="12" s="1"/>
  <c r="P305" i="12" s="1"/>
  <c r="P317" i="12" s="1"/>
  <c r="P329" i="12" s="1"/>
  <c r="P341" i="12" s="1"/>
  <c r="P353" i="12" s="1"/>
  <c r="P365" i="12" s="1"/>
  <c r="P377" i="12" s="1"/>
  <c r="P389" i="12" s="1"/>
  <c r="P401" i="12" s="1"/>
  <c r="P413" i="12" s="1"/>
  <c r="P425" i="12" s="1"/>
  <c r="P437" i="12" s="1"/>
  <c r="P449" i="12" s="1"/>
  <c r="P461" i="12" s="1"/>
  <c r="P473" i="12" s="1"/>
  <c r="P485" i="12" s="1"/>
  <c r="P497" i="12" s="1"/>
  <c r="P509" i="12" s="1"/>
  <c r="P521" i="12" s="1"/>
  <c r="P533" i="12" s="1"/>
  <c r="P545" i="12" s="1"/>
  <c r="P557" i="12" s="1"/>
  <c r="P569" i="12" s="1"/>
  <c r="P581" i="12" s="1"/>
  <c r="P593" i="12" s="1"/>
  <c r="P605" i="12" s="1"/>
  <c r="P617" i="12" s="1"/>
  <c r="P629" i="12" s="1"/>
  <c r="P641" i="12" s="1"/>
  <c r="N5" i="12"/>
  <c r="N17" i="12" s="1"/>
  <c r="N29" i="12" s="1"/>
  <c r="N41" i="12" s="1"/>
  <c r="N53" i="12" s="1"/>
  <c r="N65" i="12" s="1"/>
  <c r="N77" i="12" s="1"/>
  <c r="N89" i="12" s="1"/>
  <c r="N101" i="12" s="1"/>
  <c r="N113" i="12" s="1"/>
  <c r="N125" i="12" s="1"/>
  <c r="N137" i="12" s="1"/>
  <c r="N149" i="12" s="1"/>
  <c r="N161" i="12" s="1"/>
  <c r="N173" i="12" s="1"/>
  <c r="N185" i="12" s="1"/>
  <c r="N197" i="12" s="1"/>
  <c r="N209" i="12" s="1"/>
  <c r="N221" i="12" s="1"/>
  <c r="N233" i="12" s="1"/>
  <c r="N245" i="12" s="1"/>
  <c r="N257" i="12" s="1"/>
  <c r="N269" i="12" s="1"/>
  <c r="N281" i="12" s="1"/>
  <c r="N293" i="12" s="1"/>
  <c r="N305" i="12" s="1"/>
  <c r="N317" i="12" s="1"/>
  <c r="N329" i="12" s="1"/>
  <c r="N341" i="12" s="1"/>
  <c r="N353" i="12" s="1"/>
  <c r="N365" i="12" s="1"/>
  <c r="N377" i="12" s="1"/>
  <c r="N389" i="12" s="1"/>
  <c r="N401" i="12" s="1"/>
  <c r="N413" i="12" s="1"/>
  <c r="N425" i="12" s="1"/>
  <c r="N437" i="12" s="1"/>
  <c r="N449" i="12" s="1"/>
  <c r="N461" i="12" s="1"/>
  <c r="N473" i="12" s="1"/>
  <c r="N485" i="12" s="1"/>
  <c r="N497" i="12" s="1"/>
  <c r="N509" i="12" s="1"/>
  <c r="N521" i="12" s="1"/>
  <c r="N533" i="12" s="1"/>
  <c r="N545" i="12" s="1"/>
  <c r="N557" i="12" s="1"/>
  <c r="N569" i="12" s="1"/>
  <c r="N581" i="12" s="1"/>
  <c r="N593" i="12" s="1"/>
  <c r="N605" i="12" s="1"/>
  <c r="N617" i="12" s="1"/>
  <c r="N629" i="12" s="1"/>
  <c r="N641" i="12" s="1"/>
  <c r="W15" i="12"/>
  <c r="W27" i="12" s="1"/>
  <c r="W39" i="12" s="1"/>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W459" i="12" s="1"/>
  <c r="W471" i="12" s="1"/>
  <c r="W483" i="12" s="1"/>
  <c r="W495" i="12" s="1"/>
  <c r="W507" i="12" s="1"/>
  <c r="W519" i="12" s="1"/>
  <c r="W531" i="12" s="1"/>
  <c r="W543" i="12" s="1"/>
  <c r="W555" i="12" s="1"/>
  <c r="W567" i="12" s="1"/>
  <c r="W579" i="12" s="1"/>
  <c r="W591" i="12" s="1"/>
  <c r="W603" i="12" s="1"/>
  <c r="W615" i="12" s="1"/>
  <c r="W627" i="12" s="1"/>
  <c r="W639" i="12" s="1"/>
  <c r="W14" i="12"/>
  <c r="W26" i="12" s="1"/>
  <c r="W38" i="12" s="1"/>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W458" i="12" s="1"/>
  <c r="W470" i="12" s="1"/>
  <c r="W482" i="12" s="1"/>
  <c r="W494" i="12" s="1"/>
  <c r="W506" i="12" s="1"/>
  <c r="W518" i="12" s="1"/>
  <c r="W530" i="12" s="1"/>
  <c r="W542" i="12" s="1"/>
  <c r="W554" i="12" s="1"/>
  <c r="W566" i="12" s="1"/>
  <c r="W578" i="12" s="1"/>
  <c r="W590" i="12" s="1"/>
  <c r="W602" i="12" s="1"/>
  <c r="W614" i="12" s="1"/>
  <c r="W626" i="12" s="1"/>
  <c r="W638" i="12" s="1"/>
  <c r="BE3" i="8"/>
  <c r="O3" i="12" s="1"/>
  <c r="M3" i="12" s="1"/>
  <c r="BE7" i="8"/>
  <c r="O7" i="12" s="1"/>
  <c r="M7" i="12" s="1"/>
  <c r="BF13" i="8"/>
  <c r="P13" i="12" s="1"/>
  <c r="P25" i="12" s="1"/>
  <c r="P37" i="12" s="1"/>
  <c r="P49" i="12" s="1"/>
  <c r="P61" i="12" s="1"/>
  <c r="P73" i="12" s="1"/>
  <c r="P85" i="12" s="1"/>
  <c r="P97" i="12" s="1"/>
  <c r="P109" i="12" s="1"/>
  <c r="P121" i="12" s="1"/>
  <c r="P133" i="12" s="1"/>
  <c r="P145" i="12" s="1"/>
  <c r="P157" i="12" s="1"/>
  <c r="P169" i="12" s="1"/>
  <c r="P181" i="12" s="1"/>
  <c r="P193" i="12" s="1"/>
  <c r="P205" i="12" s="1"/>
  <c r="P217" i="12" s="1"/>
  <c r="P229" i="12" s="1"/>
  <c r="P241" i="12" s="1"/>
  <c r="P253" i="12" s="1"/>
  <c r="P265" i="12" s="1"/>
  <c r="P277" i="12" s="1"/>
  <c r="P289" i="12" s="1"/>
  <c r="P301" i="12" s="1"/>
  <c r="P313" i="12" s="1"/>
  <c r="P325" i="12" s="1"/>
  <c r="P337" i="12" s="1"/>
  <c r="P349" i="12" s="1"/>
  <c r="P361" i="12" s="1"/>
  <c r="P373" i="12" s="1"/>
  <c r="P385" i="12" s="1"/>
  <c r="P397" i="12" s="1"/>
  <c r="P409" i="12" s="1"/>
  <c r="P421" i="12" s="1"/>
  <c r="P433" i="12" s="1"/>
  <c r="P445" i="12" s="1"/>
  <c r="P457" i="12" s="1"/>
  <c r="P469" i="12" s="1"/>
  <c r="P481" i="12" s="1"/>
  <c r="P493" i="12" s="1"/>
  <c r="P505" i="12" s="1"/>
  <c r="P517" i="12" s="1"/>
  <c r="P529" i="12" s="1"/>
  <c r="P541" i="12" s="1"/>
  <c r="P553" i="12" s="1"/>
  <c r="P565" i="12" s="1"/>
  <c r="P577" i="12" s="1"/>
  <c r="P589" i="12" s="1"/>
  <c r="P601" i="12" s="1"/>
  <c r="P613" i="12" s="1"/>
  <c r="P625" i="12" s="1"/>
  <c r="P637" i="12" s="1"/>
  <c r="P649" i="12" s="1"/>
  <c r="BF3" i="8"/>
  <c r="P3" i="12" s="1"/>
  <c r="P15" i="12" s="1"/>
  <c r="P27" i="12" s="1"/>
  <c r="P39" i="12" s="1"/>
  <c r="P51" i="12" s="1"/>
  <c r="P63" i="12" s="1"/>
  <c r="P75" i="12" s="1"/>
  <c r="P87" i="12" s="1"/>
  <c r="P99" i="12" s="1"/>
  <c r="P111" i="12" s="1"/>
  <c r="P123" i="12" s="1"/>
  <c r="P135" i="12" s="1"/>
  <c r="P147" i="12" s="1"/>
  <c r="P159" i="12" s="1"/>
  <c r="P171" i="12" s="1"/>
  <c r="P183" i="12" s="1"/>
  <c r="P195" i="12" s="1"/>
  <c r="P207" i="12" s="1"/>
  <c r="P219" i="12" s="1"/>
  <c r="P231" i="12" s="1"/>
  <c r="P243" i="12" s="1"/>
  <c r="P255" i="12" s="1"/>
  <c r="P267" i="12" s="1"/>
  <c r="P279" i="12" s="1"/>
  <c r="P291" i="12" s="1"/>
  <c r="P303" i="12" s="1"/>
  <c r="P315" i="12" s="1"/>
  <c r="P327" i="12" s="1"/>
  <c r="P339" i="12" s="1"/>
  <c r="P351" i="12" s="1"/>
  <c r="P363" i="12" s="1"/>
  <c r="P375" i="12" s="1"/>
  <c r="P387" i="12" s="1"/>
  <c r="P399" i="12" s="1"/>
  <c r="P411" i="12" s="1"/>
  <c r="P423" i="12" s="1"/>
  <c r="P435" i="12" s="1"/>
  <c r="P447" i="12" s="1"/>
  <c r="P459" i="12" s="1"/>
  <c r="P471" i="12" s="1"/>
  <c r="P483" i="12" s="1"/>
  <c r="P495" i="12" s="1"/>
  <c r="P507" i="12" s="1"/>
  <c r="P519" i="12" s="1"/>
  <c r="P531" i="12" s="1"/>
  <c r="P543" i="12" s="1"/>
  <c r="P555" i="12" s="1"/>
  <c r="P567" i="12" s="1"/>
  <c r="P579" i="12" s="1"/>
  <c r="P591" i="12" s="1"/>
  <c r="P603" i="12" s="1"/>
  <c r="P615" i="12" s="1"/>
  <c r="P627" i="12" s="1"/>
  <c r="P639" i="12" s="1"/>
  <c r="BF2" i="8"/>
  <c r="P2" i="12" s="1"/>
  <c r="P14" i="12" s="1"/>
  <c r="P26" i="12" s="1"/>
  <c r="P38" i="12" s="1"/>
  <c r="P50" i="12" s="1"/>
  <c r="P62" i="12" s="1"/>
  <c r="P74" i="12" s="1"/>
  <c r="P86" i="12" s="1"/>
  <c r="P98" i="12" s="1"/>
  <c r="P110" i="12" s="1"/>
  <c r="P122" i="12" s="1"/>
  <c r="P134" i="12" s="1"/>
  <c r="P146" i="12" s="1"/>
  <c r="P158" i="12" s="1"/>
  <c r="P170" i="12" s="1"/>
  <c r="P182" i="12" s="1"/>
  <c r="P194" i="12" s="1"/>
  <c r="P206" i="12" s="1"/>
  <c r="P218" i="12" s="1"/>
  <c r="P230" i="12" s="1"/>
  <c r="P242" i="12" s="1"/>
  <c r="P254" i="12" s="1"/>
  <c r="P266" i="12" s="1"/>
  <c r="P278" i="12" s="1"/>
  <c r="P290" i="12" s="1"/>
  <c r="P302" i="12" s="1"/>
  <c r="P314" i="12" s="1"/>
  <c r="P326" i="12" s="1"/>
  <c r="P338" i="12" s="1"/>
  <c r="P350" i="12" s="1"/>
  <c r="P362" i="12" s="1"/>
  <c r="P374" i="12" s="1"/>
  <c r="P386" i="12" s="1"/>
  <c r="P398" i="12" s="1"/>
  <c r="P410" i="12" s="1"/>
  <c r="P422" i="12" s="1"/>
  <c r="P434" i="12" s="1"/>
  <c r="P446" i="12" s="1"/>
  <c r="P458" i="12" s="1"/>
  <c r="P470" i="12" s="1"/>
  <c r="P482" i="12" s="1"/>
  <c r="P494" i="12" s="1"/>
  <c r="P506" i="12" s="1"/>
  <c r="P518" i="12" s="1"/>
  <c r="P530" i="12" s="1"/>
  <c r="P542" i="12" s="1"/>
  <c r="P554" i="12" s="1"/>
  <c r="P566" i="12" s="1"/>
  <c r="P578" i="12" s="1"/>
  <c r="P590" i="12" s="1"/>
  <c r="P602" i="12" s="1"/>
  <c r="P614" i="12" s="1"/>
  <c r="P626" i="12" s="1"/>
  <c r="P638" i="12" s="1"/>
  <c r="BF6" i="8"/>
  <c r="P6" i="12" s="1"/>
  <c r="P18" i="12" s="1"/>
  <c r="P30" i="12" s="1"/>
  <c r="P42" i="12" s="1"/>
  <c r="P54" i="12" s="1"/>
  <c r="P66" i="12" s="1"/>
  <c r="P78" i="12" s="1"/>
  <c r="P90" i="12" s="1"/>
  <c r="P102" i="12" s="1"/>
  <c r="P114" i="12" s="1"/>
  <c r="P126" i="12" s="1"/>
  <c r="P138" i="12" s="1"/>
  <c r="P150" i="12" s="1"/>
  <c r="P162" i="12" s="1"/>
  <c r="P174" i="12" s="1"/>
  <c r="P186" i="12" s="1"/>
  <c r="P198" i="12" s="1"/>
  <c r="P210" i="12" s="1"/>
  <c r="P222" i="12" s="1"/>
  <c r="P234" i="12" s="1"/>
  <c r="P246" i="12" s="1"/>
  <c r="P258" i="12" s="1"/>
  <c r="P270" i="12" s="1"/>
  <c r="P282" i="12" s="1"/>
  <c r="P294" i="12" s="1"/>
  <c r="P306" i="12" s="1"/>
  <c r="P318" i="12" s="1"/>
  <c r="P330" i="12" s="1"/>
  <c r="P342" i="12" s="1"/>
  <c r="P354" i="12" s="1"/>
  <c r="P366" i="12" s="1"/>
  <c r="P378" i="12" s="1"/>
  <c r="P390" i="12" s="1"/>
  <c r="P402" i="12" s="1"/>
  <c r="P414" i="12" s="1"/>
  <c r="P426" i="12" s="1"/>
  <c r="P438" i="12" s="1"/>
  <c r="P450" i="12" s="1"/>
  <c r="P462" i="12" s="1"/>
  <c r="P474" i="12" s="1"/>
  <c r="P486" i="12" s="1"/>
  <c r="P498" i="12" s="1"/>
  <c r="P510" i="12" s="1"/>
  <c r="P522" i="12" s="1"/>
  <c r="P534" i="12" s="1"/>
  <c r="P546" i="12" s="1"/>
  <c r="P558" i="12" s="1"/>
  <c r="P570" i="12" s="1"/>
  <c r="P582" i="12" s="1"/>
  <c r="P594" i="12" s="1"/>
  <c r="P606" i="12" s="1"/>
  <c r="P618" i="12" s="1"/>
  <c r="P630" i="12" s="1"/>
  <c r="P642" i="12" s="1"/>
  <c r="BE11" i="8"/>
  <c r="O11" i="12" s="1"/>
  <c r="M11" i="12" s="1"/>
  <c r="BF11" i="8"/>
  <c r="P11" i="12" s="1"/>
  <c r="P23" i="12" s="1"/>
  <c r="P35" i="12" s="1"/>
  <c r="P47" i="12" s="1"/>
  <c r="P59" i="12" s="1"/>
  <c r="P71" i="12" s="1"/>
  <c r="P83" i="12" s="1"/>
  <c r="P95" i="12" s="1"/>
  <c r="P107" i="12" s="1"/>
  <c r="P119" i="12" s="1"/>
  <c r="P131" i="12" s="1"/>
  <c r="P143" i="12" s="1"/>
  <c r="P155" i="12" s="1"/>
  <c r="P167" i="12" s="1"/>
  <c r="P179" i="12" s="1"/>
  <c r="P191" i="12" s="1"/>
  <c r="P203" i="12" s="1"/>
  <c r="P215" i="12" s="1"/>
  <c r="P227" i="12" s="1"/>
  <c r="P239" i="12" s="1"/>
  <c r="P251" i="12" s="1"/>
  <c r="P263" i="12" s="1"/>
  <c r="P275" i="12" s="1"/>
  <c r="P287" i="12" s="1"/>
  <c r="P299" i="12" s="1"/>
  <c r="P311" i="12" s="1"/>
  <c r="P323" i="12" s="1"/>
  <c r="P335" i="12" s="1"/>
  <c r="P347" i="12" s="1"/>
  <c r="P359" i="12" s="1"/>
  <c r="P371" i="12" s="1"/>
  <c r="P383" i="12" s="1"/>
  <c r="P395" i="12" s="1"/>
  <c r="P407" i="12" s="1"/>
  <c r="P419" i="12" s="1"/>
  <c r="P431" i="12" s="1"/>
  <c r="P443" i="12" s="1"/>
  <c r="P455" i="12" s="1"/>
  <c r="P467" i="12" s="1"/>
  <c r="P479" i="12" s="1"/>
  <c r="P491" i="12" s="1"/>
  <c r="P503" i="12" s="1"/>
  <c r="P515" i="12" s="1"/>
  <c r="P527" i="12" s="1"/>
  <c r="P539" i="12" s="1"/>
  <c r="P551" i="12" s="1"/>
  <c r="P563" i="12" s="1"/>
  <c r="P575" i="12" s="1"/>
  <c r="P587" i="12" s="1"/>
  <c r="P599" i="12" s="1"/>
  <c r="P611" i="12" s="1"/>
  <c r="P623" i="12" s="1"/>
  <c r="P635" i="12" s="1"/>
  <c r="P647" i="12" s="1"/>
  <c r="BE6" i="8"/>
  <c r="O6" i="12" s="1"/>
  <c r="M6" i="12" s="1"/>
  <c r="BF10" i="8"/>
  <c r="P10" i="12" s="1"/>
  <c r="P22" i="12" s="1"/>
  <c r="P34" i="12" s="1"/>
  <c r="P46" i="12" s="1"/>
  <c r="P58" i="12" s="1"/>
  <c r="P70" i="12" s="1"/>
  <c r="P82" i="12" s="1"/>
  <c r="P94" i="12" s="1"/>
  <c r="P106" i="12" s="1"/>
  <c r="P118" i="12" s="1"/>
  <c r="P130" i="12" s="1"/>
  <c r="P142" i="12" s="1"/>
  <c r="P154" i="12" s="1"/>
  <c r="P166" i="12" s="1"/>
  <c r="P178" i="12" s="1"/>
  <c r="P190" i="12" s="1"/>
  <c r="P202" i="12" s="1"/>
  <c r="P214" i="12" s="1"/>
  <c r="P226" i="12" s="1"/>
  <c r="P238" i="12" s="1"/>
  <c r="P250" i="12" s="1"/>
  <c r="P262" i="12" s="1"/>
  <c r="P274" i="12" s="1"/>
  <c r="P286" i="12" s="1"/>
  <c r="P298" i="12" s="1"/>
  <c r="P310" i="12" s="1"/>
  <c r="P322" i="12" s="1"/>
  <c r="P334" i="12" s="1"/>
  <c r="P346" i="12" s="1"/>
  <c r="P358" i="12" s="1"/>
  <c r="P370" i="12" s="1"/>
  <c r="P382" i="12" s="1"/>
  <c r="P394" i="12" s="1"/>
  <c r="P406" i="12" s="1"/>
  <c r="P418" i="12" s="1"/>
  <c r="P430" i="12" s="1"/>
  <c r="P442" i="12" s="1"/>
  <c r="P454" i="12" s="1"/>
  <c r="P466" i="12" s="1"/>
  <c r="P478" i="12" s="1"/>
  <c r="P490" i="12" s="1"/>
  <c r="P502" i="12" s="1"/>
  <c r="P514" i="12" s="1"/>
  <c r="P526" i="12" s="1"/>
  <c r="P538" i="12" s="1"/>
  <c r="P550" i="12" s="1"/>
  <c r="P562" i="12" s="1"/>
  <c r="P574" i="12" s="1"/>
  <c r="P586" i="12" s="1"/>
  <c r="P598" i="12" s="1"/>
  <c r="P610" i="12" s="1"/>
  <c r="P622" i="12" s="1"/>
  <c r="P634" i="12" s="1"/>
  <c r="P646" i="12" s="1"/>
  <c r="BF4" i="8"/>
  <c r="P4" i="12" s="1"/>
  <c r="P16" i="12" s="1"/>
  <c r="P28" i="12" s="1"/>
  <c r="P40" i="12" s="1"/>
  <c r="P52" i="12" s="1"/>
  <c r="P64" i="12" s="1"/>
  <c r="P76" i="12" s="1"/>
  <c r="P88" i="12" s="1"/>
  <c r="P100" i="12" s="1"/>
  <c r="P112" i="12" s="1"/>
  <c r="P124" i="12" s="1"/>
  <c r="P136" i="12" s="1"/>
  <c r="P148" i="12" s="1"/>
  <c r="P160" i="12" s="1"/>
  <c r="P172" i="12" s="1"/>
  <c r="P184" i="12" s="1"/>
  <c r="P196" i="12" s="1"/>
  <c r="P208" i="12" s="1"/>
  <c r="P220" i="12" s="1"/>
  <c r="P232" i="12" s="1"/>
  <c r="P244" i="12" s="1"/>
  <c r="P256" i="12" s="1"/>
  <c r="P268" i="12" s="1"/>
  <c r="P280" i="12" s="1"/>
  <c r="P292" i="12" s="1"/>
  <c r="P304" i="12" s="1"/>
  <c r="P316" i="12" s="1"/>
  <c r="P328" i="12" s="1"/>
  <c r="P340" i="12" s="1"/>
  <c r="P352" i="12" s="1"/>
  <c r="P364" i="12" s="1"/>
  <c r="P376" i="12" s="1"/>
  <c r="P388" i="12" s="1"/>
  <c r="P400" i="12" s="1"/>
  <c r="P412" i="12" s="1"/>
  <c r="P424" i="12" s="1"/>
  <c r="P436" i="12" s="1"/>
  <c r="P448" i="12" s="1"/>
  <c r="P460" i="12" s="1"/>
  <c r="P472" i="12" s="1"/>
  <c r="P484" i="12" s="1"/>
  <c r="P496" i="12" s="1"/>
  <c r="P508" i="12" s="1"/>
  <c r="P520" i="12" s="1"/>
  <c r="P532" i="12" s="1"/>
  <c r="P544" i="12" s="1"/>
  <c r="P556" i="12" s="1"/>
  <c r="P568" i="12" s="1"/>
  <c r="P580" i="12" s="1"/>
  <c r="P592" i="12" s="1"/>
  <c r="P604" i="12" s="1"/>
  <c r="P616" i="12" s="1"/>
  <c r="P628" i="12" s="1"/>
  <c r="P640" i="12" s="1"/>
  <c r="BE12" i="8"/>
  <c r="O12" i="12" s="1"/>
  <c r="M12" i="12" s="1"/>
  <c r="BE13" i="8"/>
  <c r="O13" i="12" s="1"/>
  <c r="M13" i="12" s="1"/>
  <c r="BF12" i="8"/>
  <c r="P12" i="12" s="1"/>
  <c r="P24" i="12" s="1"/>
  <c r="P36" i="12" s="1"/>
  <c r="P48" i="12" s="1"/>
  <c r="P60" i="12" s="1"/>
  <c r="P72" i="12" s="1"/>
  <c r="P84" i="12" s="1"/>
  <c r="P96" i="12" s="1"/>
  <c r="P108" i="12" s="1"/>
  <c r="P120" i="12" s="1"/>
  <c r="P132" i="12" s="1"/>
  <c r="P144" i="12" s="1"/>
  <c r="P156" i="12" s="1"/>
  <c r="P168" i="12" s="1"/>
  <c r="P180" i="12" s="1"/>
  <c r="P192" i="12" s="1"/>
  <c r="P204" i="12" s="1"/>
  <c r="P216" i="12" s="1"/>
  <c r="P228" i="12" s="1"/>
  <c r="P240" i="12" s="1"/>
  <c r="P252" i="12" s="1"/>
  <c r="P264" i="12" s="1"/>
  <c r="P276" i="12" s="1"/>
  <c r="P288" i="12" s="1"/>
  <c r="P300" i="12" s="1"/>
  <c r="P312" i="12" s="1"/>
  <c r="P324" i="12" s="1"/>
  <c r="P336" i="12" s="1"/>
  <c r="P348" i="12" s="1"/>
  <c r="P360" i="12" s="1"/>
  <c r="P372" i="12" s="1"/>
  <c r="P384" i="12" s="1"/>
  <c r="P396" i="12" s="1"/>
  <c r="P408" i="12" s="1"/>
  <c r="P420" i="12" s="1"/>
  <c r="P432" i="12" s="1"/>
  <c r="P444" i="12" s="1"/>
  <c r="P456" i="12" s="1"/>
  <c r="P468" i="12" s="1"/>
  <c r="P480" i="12" s="1"/>
  <c r="P492" i="12" s="1"/>
  <c r="P504" i="12" s="1"/>
  <c r="P516" i="12" s="1"/>
  <c r="P528" i="12" s="1"/>
  <c r="P540" i="12" s="1"/>
  <c r="P552" i="12" s="1"/>
  <c r="P564" i="12" s="1"/>
  <c r="P576" i="12" s="1"/>
  <c r="P588" i="12" s="1"/>
  <c r="P600" i="12" s="1"/>
  <c r="P612" i="12" s="1"/>
  <c r="P624" i="12" s="1"/>
  <c r="P636" i="12" s="1"/>
  <c r="P648" i="12" s="1"/>
  <c r="BE4" i="8"/>
  <c r="O4" i="12" s="1"/>
  <c r="M4" i="12" s="1"/>
  <c r="BF8" i="8"/>
  <c r="P8" i="12" s="1"/>
  <c r="P20" i="12" s="1"/>
  <c r="P32" i="12" s="1"/>
  <c r="P44" i="12" s="1"/>
  <c r="P56" i="12" s="1"/>
  <c r="P68" i="12" s="1"/>
  <c r="P80" i="12" s="1"/>
  <c r="P92" i="12" s="1"/>
  <c r="P104" i="12" s="1"/>
  <c r="P116" i="12" s="1"/>
  <c r="P128" i="12" s="1"/>
  <c r="P140" i="12" s="1"/>
  <c r="P152" i="12" s="1"/>
  <c r="P164" i="12" s="1"/>
  <c r="P176" i="12" s="1"/>
  <c r="P188" i="12" s="1"/>
  <c r="P200" i="12" s="1"/>
  <c r="P212" i="12" s="1"/>
  <c r="P224" i="12" s="1"/>
  <c r="P236" i="12" s="1"/>
  <c r="P248" i="12" s="1"/>
  <c r="P260" i="12" s="1"/>
  <c r="P272" i="12" s="1"/>
  <c r="P284" i="12" s="1"/>
  <c r="P296" i="12" s="1"/>
  <c r="P308" i="12" s="1"/>
  <c r="P320" i="12" s="1"/>
  <c r="P332" i="12" s="1"/>
  <c r="P344" i="12" s="1"/>
  <c r="P356" i="12" s="1"/>
  <c r="P368" i="12" s="1"/>
  <c r="P380" i="12" s="1"/>
  <c r="P392" i="12" s="1"/>
  <c r="P404" i="12" s="1"/>
  <c r="P416" i="12" s="1"/>
  <c r="P428" i="12" s="1"/>
  <c r="P440" i="12" s="1"/>
  <c r="P452" i="12" s="1"/>
  <c r="P464" i="12" s="1"/>
  <c r="P476" i="12" s="1"/>
  <c r="P488" i="12" s="1"/>
  <c r="P500" i="12" s="1"/>
  <c r="P512" i="12" s="1"/>
  <c r="P524" i="12" s="1"/>
  <c r="P536" i="12" s="1"/>
  <c r="P548" i="12" s="1"/>
  <c r="P560" i="12" s="1"/>
  <c r="P572" i="12" s="1"/>
  <c r="P584" i="12" s="1"/>
  <c r="P596" i="12" s="1"/>
  <c r="P608" i="12" s="1"/>
  <c r="P620" i="12" s="1"/>
  <c r="P632" i="12" s="1"/>
  <c r="P644" i="12" s="1"/>
  <c r="BE8" i="8"/>
  <c r="O8" i="12" s="1"/>
  <c r="M8" i="12" s="1"/>
  <c r="BE10" i="8"/>
  <c r="O10" i="12" s="1"/>
  <c r="M10" i="12" s="1"/>
  <c r="BE5" i="8"/>
  <c r="O5" i="12" s="1"/>
  <c r="F649" i="5"/>
  <c r="D649" i="5"/>
  <c r="F648" i="5"/>
  <c r="D648" i="5"/>
  <c r="F647" i="5"/>
  <c r="D647" i="5"/>
  <c r="F646" i="5"/>
  <c r="D646" i="5"/>
  <c r="H646" i="5" s="1"/>
  <c r="F645" i="5"/>
  <c r="D645" i="5"/>
  <c r="F644" i="5"/>
  <c r="D644" i="5"/>
  <c r="F643" i="5"/>
  <c r="D643" i="5"/>
  <c r="F642" i="5"/>
  <c r="D642" i="5"/>
  <c r="H642" i="5" s="1"/>
  <c r="F641" i="5"/>
  <c r="D641" i="5"/>
  <c r="F640" i="5"/>
  <c r="D640" i="5"/>
  <c r="F639" i="5"/>
  <c r="D639" i="5"/>
  <c r="F638" i="5"/>
  <c r="D638" i="5"/>
  <c r="H638" i="5" s="1"/>
  <c r="F637" i="5"/>
  <c r="D637" i="5"/>
  <c r="F636" i="5"/>
  <c r="D636" i="5"/>
  <c r="F635" i="5"/>
  <c r="D635" i="5"/>
  <c r="F634" i="5"/>
  <c r="D634" i="5"/>
  <c r="H634" i="5" s="1"/>
  <c r="F633" i="5"/>
  <c r="D633" i="5"/>
  <c r="F632" i="5"/>
  <c r="D632" i="5"/>
  <c r="F631" i="5"/>
  <c r="D631" i="5"/>
  <c r="F630" i="5"/>
  <c r="D630" i="5"/>
  <c r="H630" i="5" s="1"/>
  <c r="F629" i="5"/>
  <c r="D629" i="5"/>
  <c r="F628" i="5"/>
  <c r="D628" i="5"/>
  <c r="F627" i="5"/>
  <c r="D627" i="5"/>
  <c r="F626" i="5"/>
  <c r="D626" i="5"/>
  <c r="H626" i="5" s="1"/>
  <c r="F625" i="5"/>
  <c r="D625" i="5"/>
  <c r="F624" i="5"/>
  <c r="D624" i="5"/>
  <c r="F623" i="5"/>
  <c r="D623" i="5"/>
  <c r="F622" i="5"/>
  <c r="D622" i="5"/>
  <c r="H622" i="5" s="1"/>
  <c r="F621" i="5"/>
  <c r="D621" i="5"/>
  <c r="F620" i="5"/>
  <c r="D620" i="5"/>
  <c r="F619" i="5"/>
  <c r="D619" i="5"/>
  <c r="F618" i="5"/>
  <c r="D618" i="5"/>
  <c r="H618" i="5" s="1"/>
  <c r="F617" i="5"/>
  <c r="D617" i="5"/>
  <c r="F616" i="5"/>
  <c r="D616" i="5"/>
  <c r="F615" i="5"/>
  <c r="D615" i="5"/>
  <c r="F614" i="5"/>
  <c r="D614" i="5"/>
  <c r="H614" i="5" s="1"/>
  <c r="F613" i="5"/>
  <c r="D613" i="5"/>
  <c r="F612" i="5"/>
  <c r="D612" i="5"/>
  <c r="F611" i="5"/>
  <c r="D611" i="5"/>
  <c r="F610" i="5"/>
  <c r="D610" i="5"/>
  <c r="H610" i="5" s="1"/>
  <c r="F609" i="5"/>
  <c r="D609" i="5"/>
  <c r="F608" i="5"/>
  <c r="D608" i="5"/>
  <c r="F607" i="5"/>
  <c r="D607" i="5"/>
  <c r="F606" i="5"/>
  <c r="D606" i="5"/>
  <c r="H606" i="5" s="1"/>
  <c r="F605" i="5"/>
  <c r="D605" i="5"/>
  <c r="F604" i="5"/>
  <c r="D604" i="5"/>
  <c r="F603" i="5"/>
  <c r="D603" i="5"/>
  <c r="F602" i="5"/>
  <c r="D602" i="5"/>
  <c r="H602" i="5" s="1"/>
  <c r="F601" i="5"/>
  <c r="D601" i="5"/>
  <c r="F600" i="5"/>
  <c r="D600" i="5"/>
  <c r="F599" i="5"/>
  <c r="D599" i="5"/>
  <c r="F598" i="5"/>
  <c r="D598" i="5"/>
  <c r="H598" i="5" s="1"/>
  <c r="F597" i="5"/>
  <c r="D597" i="5"/>
  <c r="F596" i="5"/>
  <c r="D596" i="5"/>
  <c r="F595" i="5"/>
  <c r="D595" i="5"/>
  <c r="F594" i="5"/>
  <c r="D594" i="5"/>
  <c r="H594" i="5" s="1"/>
  <c r="F593" i="5"/>
  <c r="D593" i="5"/>
  <c r="F592" i="5"/>
  <c r="D592" i="5"/>
  <c r="F591" i="5"/>
  <c r="D591" i="5"/>
  <c r="F590" i="5"/>
  <c r="D590" i="5"/>
  <c r="H590" i="5" s="1"/>
  <c r="F589" i="5"/>
  <c r="D589" i="5"/>
  <c r="F588" i="5"/>
  <c r="D588" i="5"/>
  <c r="F587" i="5"/>
  <c r="D587" i="5"/>
  <c r="F586" i="5"/>
  <c r="D586" i="5"/>
  <c r="H586" i="5" s="1"/>
  <c r="F585" i="5"/>
  <c r="D585" i="5"/>
  <c r="F584" i="5"/>
  <c r="D584" i="5"/>
  <c r="F583" i="5"/>
  <c r="D583" i="5"/>
  <c r="F582" i="5"/>
  <c r="D582" i="5"/>
  <c r="H582" i="5" s="1"/>
  <c r="F581" i="5"/>
  <c r="D581" i="5"/>
  <c r="F580" i="5"/>
  <c r="D580" i="5"/>
  <c r="F579" i="5"/>
  <c r="D579" i="5"/>
  <c r="F578" i="5"/>
  <c r="D578" i="5"/>
  <c r="H578" i="5" s="1"/>
  <c r="F577" i="5"/>
  <c r="D577" i="5"/>
  <c r="F576" i="5"/>
  <c r="D576" i="5"/>
  <c r="F575" i="5"/>
  <c r="D575" i="5"/>
  <c r="F574" i="5"/>
  <c r="D574" i="5"/>
  <c r="H574" i="5" s="1"/>
  <c r="F573" i="5"/>
  <c r="D573" i="5"/>
  <c r="F572" i="5"/>
  <c r="D572" i="5"/>
  <c r="F571" i="5"/>
  <c r="D571" i="5"/>
  <c r="F570" i="5"/>
  <c r="D570" i="5"/>
  <c r="H570" i="5" s="1"/>
  <c r="F569" i="5"/>
  <c r="D569" i="5"/>
  <c r="F568" i="5"/>
  <c r="D568" i="5"/>
  <c r="F567" i="5"/>
  <c r="D567" i="5"/>
  <c r="F566" i="5"/>
  <c r="D566" i="5"/>
  <c r="H566" i="5" s="1"/>
  <c r="F565" i="5"/>
  <c r="D565" i="5"/>
  <c r="F564" i="5"/>
  <c r="D564" i="5"/>
  <c r="F563" i="5"/>
  <c r="D563" i="5"/>
  <c r="F562" i="5"/>
  <c r="D562" i="5"/>
  <c r="H562" i="5" s="1"/>
  <c r="F561" i="5"/>
  <c r="D561" i="5"/>
  <c r="F560" i="5"/>
  <c r="D560" i="5"/>
  <c r="F559" i="5"/>
  <c r="D559" i="5"/>
  <c r="F558" i="5"/>
  <c r="D558" i="5"/>
  <c r="H558" i="5" s="1"/>
  <c r="F557" i="5"/>
  <c r="D557" i="5"/>
  <c r="F556" i="5"/>
  <c r="D556" i="5"/>
  <c r="F555" i="5"/>
  <c r="D555" i="5"/>
  <c r="F554" i="5"/>
  <c r="D554" i="5"/>
  <c r="H554" i="5" s="1"/>
  <c r="F553" i="5"/>
  <c r="D553" i="5"/>
  <c r="F552" i="5"/>
  <c r="D552" i="5"/>
  <c r="F551" i="5"/>
  <c r="D551" i="5"/>
  <c r="F550" i="5"/>
  <c r="D550" i="5"/>
  <c r="H550" i="5" s="1"/>
  <c r="F549" i="5"/>
  <c r="D549" i="5"/>
  <c r="F548" i="5"/>
  <c r="D548" i="5"/>
  <c r="F547" i="5"/>
  <c r="D547" i="5"/>
  <c r="F546" i="5"/>
  <c r="D546" i="5"/>
  <c r="H546" i="5" s="1"/>
  <c r="F545" i="5"/>
  <c r="D545" i="5"/>
  <c r="F544" i="5"/>
  <c r="D544" i="5"/>
  <c r="F543" i="5"/>
  <c r="D543" i="5"/>
  <c r="F542" i="5"/>
  <c r="D542" i="5"/>
  <c r="H542" i="5" s="1"/>
  <c r="F541" i="5"/>
  <c r="D541" i="5"/>
  <c r="F540" i="5"/>
  <c r="D540" i="5"/>
  <c r="F539" i="5"/>
  <c r="D539" i="5"/>
  <c r="F538" i="5"/>
  <c r="D538" i="5"/>
  <c r="H538" i="5" s="1"/>
  <c r="F537" i="5"/>
  <c r="D537" i="5"/>
  <c r="F536" i="5"/>
  <c r="D536" i="5"/>
  <c r="F535" i="5"/>
  <c r="D535" i="5"/>
  <c r="F534" i="5"/>
  <c r="D534" i="5"/>
  <c r="H534" i="5" s="1"/>
  <c r="F533" i="5"/>
  <c r="D533" i="5"/>
  <c r="F532" i="5"/>
  <c r="D532" i="5"/>
  <c r="F531" i="5"/>
  <c r="D531" i="5"/>
  <c r="F530" i="5"/>
  <c r="D530" i="5"/>
  <c r="H530" i="5" s="1"/>
  <c r="F529" i="5"/>
  <c r="D529" i="5"/>
  <c r="F528" i="5"/>
  <c r="D528" i="5"/>
  <c r="F527" i="5"/>
  <c r="D527" i="5"/>
  <c r="F526" i="5"/>
  <c r="D526" i="5"/>
  <c r="H526" i="5" s="1"/>
  <c r="F525" i="5"/>
  <c r="D525" i="5"/>
  <c r="F524" i="5"/>
  <c r="D524" i="5"/>
  <c r="F523" i="5"/>
  <c r="D523" i="5"/>
  <c r="F522" i="5"/>
  <c r="D522" i="5"/>
  <c r="H522" i="5" s="1"/>
  <c r="F521" i="5"/>
  <c r="D521" i="5"/>
  <c r="F520" i="5"/>
  <c r="D520" i="5"/>
  <c r="F519" i="5"/>
  <c r="D519" i="5"/>
  <c r="F518" i="5"/>
  <c r="D518" i="5"/>
  <c r="H518" i="5" s="1"/>
  <c r="F517" i="5"/>
  <c r="D517" i="5"/>
  <c r="F516" i="5"/>
  <c r="D516" i="5"/>
  <c r="F515" i="5"/>
  <c r="D515" i="5"/>
  <c r="F514" i="5"/>
  <c r="D514" i="5"/>
  <c r="H514" i="5" s="1"/>
  <c r="F513" i="5"/>
  <c r="D513" i="5"/>
  <c r="F512" i="5"/>
  <c r="D512" i="5"/>
  <c r="F511" i="5"/>
  <c r="D511" i="5"/>
  <c r="F510" i="5"/>
  <c r="D510" i="5"/>
  <c r="H510" i="5" s="1"/>
  <c r="F509" i="5"/>
  <c r="D509" i="5"/>
  <c r="F508" i="5"/>
  <c r="D508" i="5"/>
  <c r="F507" i="5"/>
  <c r="D507" i="5"/>
  <c r="F506" i="5"/>
  <c r="D506" i="5"/>
  <c r="H506" i="5" s="1"/>
  <c r="F505" i="5"/>
  <c r="D505" i="5"/>
  <c r="F504" i="5"/>
  <c r="D504" i="5"/>
  <c r="F503" i="5"/>
  <c r="D503" i="5"/>
  <c r="F502" i="5"/>
  <c r="D502" i="5"/>
  <c r="H502" i="5" s="1"/>
  <c r="F501" i="5"/>
  <c r="D501" i="5"/>
  <c r="F500" i="5"/>
  <c r="D500" i="5"/>
  <c r="F499" i="5"/>
  <c r="D499" i="5"/>
  <c r="F498" i="5"/>
  <c r="D498" i="5"/>
  <c r="H498" i="5" s="1"/>
  <c r="F497" i="5"/>
  <c r="D497" i="5"/>
  <c r="F496" i="5"/>
  <c r="D496" i="5"/>
  <c r="F495" i="5"/>
  <c r="D495" i="5"/>
  <c r="F494" i="5"/>
  <c r="D494" i="5"/>
  <c r="H494" i="5" s="1"/>
  <c r="F493" i="5"/>
  <c r="D493" i="5"/>
  <c r="F492" i="5"/>
  <c r="D492" i="5"/>
  <c r="F491" i="5"/>
  <c r="D491" i="5"/>
  <c r="F490" i="5"/>
  <c r="D490" i="5"/>
  <c r="H490" i="5" s="1"/>
  <c r="F489" i="5"/>
  <c r="D489" i="5"/>
  <c r="F488" i="5"/>
  <c r="D488" i="5"/>
  <c r="F487" i="5"/>
  <c r="D487" i="5"/>
  <c r="F486" i="5"/>
  <c r="D486" i="5"/>
  <c r="H486" i="5" s="1"/>
  <c r="F485" i="5"/>
  <c r="D485" i="5"/>
  <c r="F484" i="5"/>
  <c r="D484" i="5"/>
  <c r="F483" i="5"/>
  <c r="D483" i="5"/>
  <c r="F482" i="5"/>
  <c r="D482" i="5"/>
  <c r="H482" i="5" s="1"/>
  <c r="F481" i="5"/>
  <c r="D481" i="5"/>
  <c r="F480" i="5"/>
  <c r="D480" i="5"/>
  <c r="F479" i="5"/>
  <c r="D479" i="5"/>
  <c r="F478" i="5"/>
  <c r="D478" i="5"/>
  <c r="H478" i="5" s="1"/>
  <c r="F477" i="5"/>
  <c r="D477" i="5"/>
  <c r="F476" i="5"/>
  <c r="D476" i="5"/>
  <c r="F475" i="5"/>
  <c r="D475" i="5"/>
  <c r="F474" i="5"/>
  <c r="D474" i="5"/>
  <c r="H474" i="5" s="1"/>
  <c r="F473" i="5"/>
  <c r="D473" i="5"/>
  <c r="F472" i="5"/>
  <c r="D472" i="5"/>
  <c r="F471" i="5"/>
  <c r="D471" i="5"/>
  <c r="F470" i="5"/>
  <c r="D470" i="5"/>
  <c r="H470" i="5" s="1"/>
  <c r="F469" i="5"/>
  <c r="D469" i="5"/>
  <c r="F468" i="5"/>
  <c r="D468" i="5"/>
  <c r="F467" i="5"/>
  <c r="D467" i="5"/>
  <c r="F466" i="5"/>
  <c r="D466" i="5"/>
  <c r="H466" i="5" s="1"/>
  <c r="F465" i="5"/>
  <c r="D465" i="5"/>
  <c r="F464" i="5"/>
  <c r="D464" i="5"/>
  <c r="F463" i="5"/>
  <c r="D463" i="5"/>
  <c r="F462" i="5"/>
  <c r="D462" i="5"/>
  <c r="H462" i="5" s="1"/>
  <c r="F461" i="5"/>
  <c r="D461" i="5"/>
  <c r="F460" i="5"/>
  <c r="D460" i="5"/>
  <c r="F459" i="5"/>
  <c r="D459" i="5"/>
  <c r="F458" i="5"/>
  <c r="D458" i="5"/>
  <c r="H458" i="5" s="1"/>
  <c r="F457" i="5"/>
  <c r="D457" i="5"/>
  <c r="F456" i="5"/>
  <c r="D456" i="5"/>
  <c r="F455" i="5"/>
  <c r="D455" i="5"/>
  <c r="F454" i="5"/>
  <c r="D454" i="5"/>
  <c r="H454" i="5" s="1"/>
  <c r="F453" i="5"/>
  <c r="D453" i="5"/>
  <c r="F452" i="5"/>
  <c r="D452" i="5"/>
  <c r="F451" i="5"/>
  <c r="D451" i="5"/>
  <c r="F450" i="5"/>
  <c r="D450" i="5"/>
  <c r="H450" i="5" s="1"/>
  <c r="F449" i="5"/>
  <c r="D449" i="5"/>
  <c r="F448" i="5"/>
  <c r="D448" i="5"/>
  <c r="F447" i="5"/>
  <c r="D447" i="5"/>
  <c r="F446" i="5"/>
  <c r="D446" i="5"/>
  <c r="H446" i="5" s="1"/>
  <c r="F445" i="5"/>
  <c r="D445" i="5"/>
  <c r="F444" i="5"/>
  <c r="D444" i="5"/>
  <c r="F443" i="5"/>
  <c r="D443" i="5"/>
  <c r="F442" i="5"/>
  <c r="D442" i="5"/>
  <c r="H442" i="5" s="1"/>
  <c r="F441" i="5"/>
  <c r="D441" i="5"/>
  <c r="F440" i="5"/>
  <c r="D440" i="5"/>
  <c r="F439" i="5"/>
  <c r="D439" i="5"/>
  <c r="F438" i="5"/>
  <c r="D438" i="5"/>
  <c r="H438" i="5" s="1"/>
  <c r="F437" i="5"/>
  <c r="D437" i="5"/>
  <c r="F436" i="5"/>
  <c r="D436" i="5"/>
  <c r="F435" i="5"/>
  <c r="D435" i="5"/>
  <c r="F434" i="5"/>
  <c r="D434" i="5"/>
  <c r="H434" i="5" s="1"/>
  <c r="F433" i="5"/>
  <c r="D433" i="5"/>
  <c r="F432" i="5"/>
  <c r="D432" i="5"/>
  <c r="F431" i="5"/>
  <c r="D431" i="5"/>
  <c r="F430" i="5"/>
  <c r="D430" i="5"/>
  <c r="H430" i="5" s="1"/>
  <c r="F429" i="5"/>
  <c r="D429" i="5"/>
  <c r="F428" i="5"/>
  <c r="D428" i="5"/>
  <c r="F427" i="5"/>
  <c r="D427" i="5"/>
  <c r="F426" i="5"/>
  <c r="D426" i="5"/>
  <c r="H426" i="5" s="1"/>
  <c r="F425" i="5"/>
  <c r="D425" i="5"/>
  <c r="F424" i="5"/>
  <c r="D424" i="5"/>
  <c r="F423" i="5"/>
  <c r="D423" i="5"/>
  <c r="F422" i="5"/>
  <c r="D422" i="5"/>
  <c r="H422" i="5" s="1"/>
  <c r="F421" i="5"/>
  <c r="D421" i="5"/>
  <c r="F420" i="5"/>
  <c r="D420" i="5"/>
  <c r="F419" i="5"/>
  <c r="D419" i="5"/>
  <c r="F418" i="5"/>
  <c r="D418" i="5"/>
  <c r="H418" i="5" s="1"/>
  <c r="F417" i="5"/>
  <c r="D417" i="5"/>
  <c r="F416" i="5"/>
  <c r="D416" i="5"/>
  <c r="F415" i="5"/>
  <c r="D415" i="5"/>
  <c r="F414" i="5"/>
  <c r="D414" i="5"/>
  <c r="H414" i="5" s="1"/>
  <c r="F413" i="5"/>
  <c r="D413" i="5"/>
  <c r="F412" i="5"/>
  <c r="D412" i="5"/>
  <c r="F411" i="5"/>
  <c r="D411" i="5"/>
  <c r="F410" i="5"/>
  <c r="D410" i="5"/>
  <c r="H410" i="5" s="1"/>
  <c r="F409" i="5"/>
  <c r="D409" i="5"/>
  <c r="F408" i="5"/>
  <c r="D408" i="5"/>
  <c r="F407" i="5"/>
  <c r="D407" i="5"/>
  <c r="F406" i="5"/>
  <c r="D406" i="5"/>
  <c r="H406" i="5" s="1"/>
  <c r="F405" i="5"/>
  <c r="D405" i="5"/>
  <c r="F404" i="5"/>
  <c r="D404" i="5"/>
  <c r="F403" i="5"/>
  <c r="D403" i="5"/>
  <c r="F402" i="5"/>
  <c r="D402" i="5"/>
  <c r="H402" i="5" s="1"/>
  <c r="F401" i="5"/>
  <c r="D401" i="5"/>
  <c r="F400" i="5"/>
  <c r="D400" i="5"/>
  <c r="F399" i="5"/>
  <c r="D399" i="5"/>
  <c r="F398" i="5"/>
  <c r="D398" i="5"/>
  <c r="H398" i="5" s="1"/>
  <c r="F397" i="5"/>
  <c r="D397" i="5"/>
  <c r="F396" i="5"/>
  <c r="D396" i="5"/>
  <c r="F395" i="5"/>
  <c r="D395" i="5"/>
  <c r="F394" i="5"/>
  <c r="D394" i="5"/>
  <c r="H394" i="5" s="1"/>
  <c r="F393" i="5"/>
  <c r="D393" i="5"/>
  <c r="F392" i="5"/>
  <c r="D392" i="5"/>
  <c r="F391" i="5"/>
  <c r="D391" i="5"/>
  <c r="F390" i="5"/>
  <c r="D390" i="5"/>
  <c r="H390" i="5" s="1"/>
  <c r="F389" i="5"/>
  <c r="D389" i="5"/>
  <c r="F388" i="5"/>
  <c r="D388" i="5"/>
  <c r="F387" i="5"/>
  <c r="D387" i="5"/>
  <c r="F386" i="5"/>
  <c r="D386" i="5"/>
  <c r="H386" i="5" s="1"/>
  <c r="F385" i="5"/>
  <c r="D385" i="5"/>
  <c r="F384" i="5"/>
  <c r="D384" i="5"/>
  <c r="F383" i="5"/>
  <c r="D383" i="5"/>
  <c r="F382" i="5"/>
  <c r="D382" i="5"/>
  <c r="H382" i="5" s="1"/>
  <c r="F381" i="5"/>
  <c r="D381" i="5"/>
  <c r="F380" i="5"/>
  <c r="D380" i="5"/>
  <c r="F379" i="5"/>
  <c r="D379" i="5"/>
  <c r="F378" i="5"/>
  <c r="D378" i="5"/>
  <c r="H378" i="5" s="1"/>
  <c r="F377" i="5"/>
  <c r="D377" i="5"/>
  <c r="F376" i="5"/>
  <c r="D376" i="5"/>
  <c r="F375" i="5"/>
  <c r="D375" i="5"/>
  <c r="F374" i="5"/>
  <c r="D374" i="5"/>
  <c r="H374" i="5" s="1"/>
  <c r="F373" i="5"/>
  <c r="D373" i="5"/>
  <c r="F372" i="5"/>
  <c r="D372" i="5"/>
  <c r="F371" i="5"/>
  <c r="D371" i="5"/>
  <c r="F370" i="5"/>
  <c r="D370" i="5"/>
  <c r="H370" i="5" s="1"/>
  <c r="F369" i="5"/>
  <c r="D369" i="5"/>
  <c r="F368" i="5"/>
  <c r="D368" i="5"/>
  <c r="F367" i="5"/>
  <c r="D367" i="5"/>
  <c r="F366" i="5"/>
  <c r="D366" i="5"/>
  <c r="H366" i="5" s="1"/>
  <c r="F365" i="5"/>
  <c r="D365" i="5"/>
  <c r="F364" i="5"/>
  <c r="D364" i="5"/>
  <c r="F363" i="5"/>
  <c r="D363" i="5"/>
  <c r="F362" i="5"/>
  <c r="D362" i="5"/>
  <c r="H362" i="5" s="1"/>
  <c r="F361" i="5"/>
  <c r="D361" i="5"/>
  <c r="F360" i="5"/>
  <c r="D360" i="5"/>
  <c r="F359" i="5"/>
  <c r="D359" i="5"/>
  <c r="F358" i="5"/>
  <c r="D358" i="5"/>
  <c r="H358" i="5" s="1"/>
  <c r="F357" i="5"/>
  <c r="D357" i="5"/>
  <c r="F356" i="5"/>
  <c r="D356" i="5"/>
  <c r="F355" i="5"/>
  <c r="D355" i="5"/>
  <c r="F354" i="5"/>
  <c r="D354" i="5"/>
  <c r="H354" i="5" s="1"/>
  <c r="F353" i="5"/>
  <c r="D353" i="5"/>
  <c r="F352" i="5"/>
  <c r="D352" i="5"/>
  <c r="F351" i="5"/>
  <c r="D351" i="5"/>
  <c r="F350" i="5"/>
  <c r="D350" i="5"/>
  <c r="H350" i="5" s="1"/>
  <c r="F349" i="5"/>
  <c r="D349" i="5"/>
  <c r="F348" i="5"/>
  <c r="D348" i="5"/>
  <c r="F347" i="5"/>
  <c r="D347" i="5"/>
  <c r="F346" i="5"/>
  <c r="D346" i="5"/>
  <c r="H346" i="5" s="1"/>
  <c r="F345" i="5"/>
  <c r="D345" i="5"/>
  <c r="F344" i="5"/>
  <c r="D344" i="5"/>
  <c r="F343" i="5"/>
  <c r="D343" i="5"/>
  <c r="F342" i="5"/>
  <c r="D342" i="5"/>
  <c r="H342" i="5" s="1"/>
  <c r="F341" i="5"/>
  <c r="D341" i="5"/>
  <c r="F340" i="5"/>
  <c r="D340" i="5"/>
  <c r="F339" i="5"/>
  <c r="D339" i="5"/>
  <c r="F338" i="5"/>
  <c r="D338" i="5"/>
  <c r="H338" i="5" s="1"/>
  <c r="F337" i="5"/>
  <c r="D337" i="5"/>
  <c r="F336" i="5"/>
  <c r="D336" i="5"/>
  <c r="F335" i="5"/>
  <c r="D335" i="5"/>
  <c r="F334" i="5"/>
  <c r="D334" i="5"/>
  <c r="H334" i="5" s="1"/>
  <c r="F333" i="5"/>
  <c r="D333" i="5"/>
  <c r="F332" i="5"/>
  <c r="D332" i="5"/>
  <c r="F331" i="5"/>
  <c r="D331" i="5"/>
  <c r="F330" i="5"/>
  <c r="D330" i="5"/>
  <c r="H330" i="5" s="1"/>
  <c r="F329" i="5"/>
  <c r="D329" i="5"/>
  <c r="F328" i="5"/>
  <c r="D328" i="5"/>
  <c r="F327" i="5"/>
  <c r="D327" i="5"/>
  <c r="F326" i="5"/>
  <c r="D326" i="5"/>
  <c r="H326" i="5" s="1"/>
  <c r="F325" i="5"/>
  <c r="D325" i="5"/>
  <c r="F324" i="5"/>
  <c r="D324" i="5"/>
  <c r="F323" i="5"/>
  <c r="D323" i="5"/>
  <c r="F322" i="5"/>
  <c r="D322" i="5"/>
  <c r="H322" i="5" s="1"/>
  <c r="F321" i="5"/>
  <c r="D321" i="5"/>
  <c r="F320" i="5"/>
  <c r="D320" i="5"/>
  <c r="F319" i="5"/>
  <c r="D319" i="5"/>
  <c r="F318" i="5"/>
  <c r="D318" i="5"/>
  <c r="H318" i="5" s="1"/>
  <c r="F317" i="5"/>
  <c r="D317" i="5"/>
  <c r="F316" i="5"/>
  <c r="D316" i="5"/>
  <c r="F315" i="5"/>
  <c r="D315" i="5"/>
  <c r="F314" i="5"/>
  <c r="D314" i="5"/>
  <c r="H314" i="5" s="1"/>
  <c r="F313" i="5"/>
  <c r="D313" i="5"/>
  <c r="F312" i="5"/>
  <c r="D312" i="5"/>
  <c r="F311" i="5"/>
  <c r="D311" i="5"/>
  <c r="F310" i="5"/>
  <c r="D310" i="5"/>
  <c r="H310" i="5" s="1"/>
  <c r="F309" i="5"/>
  <c r="D309" i="5"/>
  <c r="F308" i="5"/>
  <c r="D308" i="5"/>
  <c r="F307" i="5"/>
  <c r="D307" i="5"/>
  <c r="F306" i="5"/>
  <c r="D306" i="5"/>
  <c r="H306" i="5" s="1"/>
  <c r="F305" i="5"/>
  <c r="D305" i="5"/>
  <c r="F304" i="5"/>
  <c r="D304" i="5"/>
  <c r="F303" i="5"/>
  <c r="D303" i="5"/>
  <c r="F302" i="5"/>
  <c r="D302" i="5"/>
  <c r="H302" i="5" s="1"/>
  <c r="F301" i="5"/>
  <c r="D301" i="5"/>
  <c r="F300" i="5"/>
  <c r="D300" i="5"/>
  <c r="F299" i="5"/>
  <c r="D299" i="5"/>
  <c r="F298" i="5"/>
  <c r="D298" i="5"/>
  <c r="H298" i="5" s="1"/>
  <c r="F297" i="5"/>
  <c r="D297" i="5"/>
  <c r="F296" i="5"/>
  <c r="D296" i="5"/>
  <c r="F295" i="5"/>
  <c r="D295" i="5"/>
  <c r="F294" i="5"/>
  <c r="D294" i="5"/>
  <c r="H294" i="5" s="1"/>
  <c r="F293" i="5"/>
  <c r="D293" i="5"/>
  <c r="F292" i="5"/>
  <c r="D292" i="5"/>
  <c r="F291" i="5"/>
  <c r="D291" i="5"/>
  <c r="F290" i="5"/>
  <c r="D290" i="5"/>
  <c r="H290" i="5" s="1"/>
  <c r="F289" i="5"/>
  <c r="D289" i="5"/>
  <c r="F288" i="5"/>
  <c r="D288" i="5"/>
  <c r="F287" i="5"/>
  <c r="D287" i="5"/>
  <c r="F286" i="5"/>
  <c r="D286" i="5"/>
  <c r="H286" i="5" s="1"/>
  <c r="F285" i="5"/>
  <c r="D285" i="5"/>
  <c r="F284" i="5"/>
  <c r="D284" i="5"/>
  <c r="F283" i="5"/>
  <c r="D283" i="5"/>
  <c r="F282" i="5"/>
  <c r="D282" i="5"/>
  <c r="H282" i="5" s="1"/>
  <c r="F281" i="5"/>
  <c r="D281" i="5"/>
  <c r="F280" i="5"/>
  <c r="D280" i="5"/>
  <c r="F279" i="5"/>
  <c r="D279" i="5"/>
  <c r="F278" i="5"/>
  <c r="D278" i="5"/>
  <c r="H278" i="5" s="1"/>
  <c r="F277" i="5"/>
  <c r="D277" i="5"/>
  <c r="F276" i="5"/>
  <c r="D276" i="5"/>
  <c r="F275" i="5"/>
  <c r="D275" i="5"/>
  <c r="F274" i="5"/>
  <c r="D274" i="5"/>
  <c r="H274" i="5" s="1"/>
  <c r="F273" i="5"/>
  <c r="D273" i="5"/>
  <c r="F272" i="5"/>
  <c r="D272" i="5"/>
  <c r="F271" i="5"/>
  <c r="D271" i="5"/>
  <c r="F270" i="5"/>
  <c r="D270" i="5"/>
  <c r="H270" i="5" s="1"/>
  <c r="F269" i="5"/>
  <c r="D269" i="5"/>
  <c r="F268" i="5"/>
  <c r="D268" i="5"/>
  <c r="F267" i="5"/>
  <c r="D267" i="5"/>
  <c r="F266" i="5"/>
  <c r="D266" i="5"/>
  <c r="H266" i="5" s="1"/>
  <c r="F265" i="5"/>
  <c r="D265" i="5"/>
  <c r="F264" i="5"/>
  <c r="D264" i="5"/>
  <c r="F263" i="5"/>
  <c r="D263" i="5"/>
  <c r="F262" i="5"/>
  <c r="D262" i="5"/>
  <c r="H262" i="5" s="1"/>
  <c r="F261" i="5"/>
  <c r="D261" i="5"/>
  <c r="F260" i="5"/>
  <c r="D260" i="5"/>
  <c r="F259" i="5"/>
  <c r="D259" i="5"/>
  <c r="F258" i="5"/>
  <c r="D258" i="5"/>
  <c r="H258" i="5" s="1"/>
  <c r="F257" i="5"/>
  <c r="D257" i="5"/>
  <c r="F256" i="5"/>
  <c r="D256" i="5"/>
  <c r="F255" i="5"/>
  <c r="D255" i="5"/>
  <c r="F254" i="5"/>
  <c r="D254" i="5"/>
  <c r="H254" i="5" s="1"/>
  <c r="F253" i="5"/>
  <c r="D253" i="5"/>
  <c r="F252" i="5"/>
  <c r="D252" i="5"/>
  <c r="F251" i="5"/>
  <c r="D251" i="5"/>
  <c r="F250" i="5"/>
  <c r="D250" i="5"/>
  <c r="H250" i="5" s="1"/>
  <c r="F249" i="5"/>
  <c r="D249" i="5"/>
  <c r="F248" i="5"/>
  <c r="D248" i="5"/>
  <c r="F247" i="5"/>
  <c r="D247" i="5"/>
  <c r="F246" i="5"/>
  <c r="D246" i="5"/>
  <c r="H246" i="5" s="1"/>
  <c r="F245" i="5"/>
  <c r="D245" i="5"/>
  <c r="F244" i="5"/>
  <c r="D244" i="5"/>
  <c r="F243" i="5"/>
  <c r="D243" i="5"/>
  <c r="F242" i="5"/>
  <c r="D242" i="5"/>
  <c r="H242" i="5" s="1"/>
  <c r="F241" i="5"/>
  <c r="D241" i="5"/>
  <c r="F240" i="5"/>
  <c r="D240" i="5"/>
  <c r="F239" i="5"/>
  <c r="D239" i="5"/>
  <c r="F238" i="5"/>
  <c r="D238" i="5"/>
  <c r="H238" i="5" s="1"/>
  <c r="F237" i="5"/>
  <c r="D237" i="5"/>
  <c r="F236" i="5"/>
  <c r="D236" i="5"/>
  <c r="F235" i="5"/>
  <c r="D235" i="5"/>
  <c r="F234" i="5"/>
  <c r="D234" i="5"/>
  <c r="H234" i="5" s="1"/>
  <c r="F233" i="5"/>
  <c r="D233" i="5"/>
  <c r="F232" i="5"/>
  <c r="D232" i="5"/>
  <c r="F231" i="5"/>
  <c r="D231" i="5"/>
  <c r="F230" i="5"/>
  <c r="D230" i="5"/>
  <c r="H230" i="5" s="1"/>
  <c r="F229" i="5"/>
  <c r="D229" i="5"/>
  <c r="F228" i="5"/>
  <c r="D228" i="5"/>
  <c r="F227" i="5"/>
  <c r="D227" i="5"/>
  <c r="F226" i="5"/>
  <c r="D226" i="5"/>
  <c r="H226" i="5" s="1"/>
  <c r="F225" i="5"/>
  <c r="D225" i="5"/>
  <c r="F224" i="5"/>
  <c r="D224" i="5"/>
  <c r="F223" i="5"/>
  <c r="D223" i="5"/>
  <c r="F222" i="5"/>
  <c r="D222" i="5"/>
  <c r="H222" i="5" s="1"/>
  <c r="F221" i="5"/>
  <c r="D221" i="5"/>
  <c r="F220" i="5"/>
  <c r="D220" i="5"/>
  <c r="F219" i="5"/>
  <c r="D219" i="5"/>
  <c r="F218" i="5"/>
  <c r="D218" i="5"/>
  <c r="H218" i="5" s="1"/>
  <c r="F217" i="5"/>
  <c r="D217" i="5"/>
  <c r="F216" i="5"/>
  <c r="D216" i="5"/>
  <c r="F215" i="5"/>
  <c r="D215" i="5"/>
  <c r="F214" i="5"/>
  <c r="D214" i="5"/>
  <c r="H214" i="5" s="1"/>
  <c r="F213" i="5"/>
  <c r="D213" i="5"/>
  <c r="F212" i="5"/>
  <c r="D212" i="5"/>
  <c r="F211" i="5"/>
  <c r="D211" i="5"/>
  <c r="F210" i="5"/>
  <c r="D210" i="5"/>
  <c r="H210" i="5" s="1"/>
  <c r="F209" i="5"/>
  <c r="D209" i="5"/>
  <c r="F208" i="5"/>
  <c r="D208" i="5"/>
  <c r="F207" i="5"/>
  <c r="D207" i="5"/>
  <c r="F206" i="5"/>
  <c r="D206" i="5"/>
  <c r="H206" i="5" s="1"/>
  <c r="F205" i="5"/>
  <c r="D205" i="5"/>
  <c r="F204" i="5"/>
  <c r="D204" i="5"/>
  <c r="F203" i="5"/>
  <c r="D203" i="5"/>
  <c r="F202" i="5"/>
  <c r="D202" i="5"/>
  <c r="H202" i="5" s="1"/>
  <c r="F201" i="5"/>
  <c r="D201" i="5"/>
  <c r="F200" i="5"/>
  <c r="D200" i="5"/>
  <c r="F199" i="5"/>
  <c r="D199" i="5"/>
  <c r="F198" i="5"/>
  <c r="D198" i="5"/>
  <c r="H198" i="5" s="1"/>
  <c r="F197" i="5"/>
  <c r="D197" i="5"/>
  <c r="F196" i="5"/>
  <c r="D196" i="5"/>
  <c r="F195" i="5"/>
  <c r="D195" i="5"/>
  <c r="F194" i="5"/>
  <c r="D194" i="5"/>
  <c r="H194" i="5" s="1"/>
  <c r="F193" i="5"/>
  <c r="D193" i="5"/>
  <c r="F192" i="5"/>
  <c r="D192" i="5"/>
  <c r="F191" i="5"/>
  <c r="D191" i="5"/>
  <c r="F190" i="5"/>
  <c r="D190" i="5"/>
  <c r="H190" i="5" s="1"/>
  <c r="F189" i="5"/>
  <c r="D189" i="5"/>
  <c r="F188" i="5"/>
  <c r="D188" i="5"/>
  <c r="F187" i="5"/>
  <c r="D187" i="5"/>
  <c r="F186" i="5"/>
  <c r="D186" i="5"/>
  <c r="H186" i="5" s="1"/>
  <c r="F185" i="5"/>
  <c r="D185" i="5"/>
  <c r="F184" i="5"/>
  <c r="D184" i="5"/>
  <c r="F183" i="5"/>
  <c r="D183" i="5"/>
  <c r="F182" i="5"/>
  <c r="D182" i="5"/>
  <c r="H182" i="5" s="1"/>
  <c r="F181" i="5"/>
  <c r="D181" i="5"/>
  <c r="F180" i="5"/>
  <c r="D180" i="5"/>
  <c r="F179" i="5"/>
  <c r="D179" i="5"/>
  <c r="F178" i="5"/>
  <c r="D178" i="5"/>
  <c r="H178" i="5" s="1"/>
  <c r="F177" i="5"/>
  <c r="D177" i="5"/>
  <c r="F176" i="5"/>
  <c r="D176" i="5"/>
  <c r="F175" i="5"/>
  <c r="D175" i="5"/>
  <c r="F174" i="5"/>
  <c r="D174" i="5"/>
  <c r="H174" i="5" s="1"/>
  <c r="F173" i="5"/>
  <c r="D173" i="5"/>
  <c r="F172" i="5"/>
  <c r="D172" i="5"/>
  <c r="F171" i="5"/>
  <c r="D171" i="5"/>
  <c r="F170" i="5"/>
  <c r="D170" i="5"/>
  <c r="H170" i="5" s="1"/>
  <c r="F169" i="5"/>
  <c r="D169" i="5"/>
  <c r="F168" i="5"/>
  <c r="D168" i="5"/>
  <c r="F167" i="5"/>
  <c r="D167" i="5"/>
  <c r="F166" i="5"/>
  <c r="D166" i="5"/>
  <c r="H166" i="5" s="1"/>
  <c r="F165" i="5"/>
  <c r="D165" i="5"/>
  <c r="F164" i="5"/>
  <c r="D164" i="5"/>
  <c r="F163" i="5"/>
  <c r="D163" i="5"/>
  <c r="F162" i="5"/>
  <c r="D162" i="5"/>
  <c r="H162" i="5" s="1"/>
  <c r="F161" i="5"/>
  <c r="D161" i="5"/>
  <c r="F160" i="5"/>
  <c r="D160" i="5"/>
  <c r="F159" i="5"/>
  <c r="D159" i="5"/>
  <c r="F158" i="5"/>
  <c r="D158" i="5"/>
  <c r="H158" i="5" s="1"/>
  <c r="F157" i="5"/>
  <c r="D157" i="5"/>
  <c r="F156" i="5"/>
  <c r="D156" i="5"/>
  <c r="F155" i="5"/>
  <c r="D155" i="5"/>
  <c r="F154" i="5"/>
  <c r="D154" i="5"/>
  <c r="H154" i="5" s="1"/>
  <c r="F153" i="5"/>
  <c r="D153" i="5"/>
  <c r="F152" i="5"/>
  <c r="D152" i="5"/>
  <c r="F151" i="5"/>
  <c r="D151" i="5"/>
  <c r="F150" i="5"/>
  <c r="D150" i="5"/>
  <c r="H150" i="5" s="1"/>
  <c r="F149" i="5"/>
  <c r="D149" i="5"/>
  <c r="F148" i="5"/>
  <c r="D148" i="5"/>
  <c r="F147" i="5"/>
  <c r="D147" i="5"/>
  <c r="F146" i="5"/>
  <c r="D146" i="5"/>
  <c r="H146" i="5" s="1"/>
  <c r="F145" i="5"/>
  <c r="D145" i="5"/>
  <c r="F144" i="5"/>
  <c r="D144" i="5"/>
  <c r="F143" i="5"/>
  <c r="D143" i="5"/>
  <c r="F142" i="5"/>
  <c r="D142" i="5"/>
  <c r="H142" i="5" s="1"/>
  <c r="F141" i="5"/>
  <c r="D141" i="5"/>
  <c r="F140" i="5"/>
  <c r="D140" i="5"/>
  <c r="F139" i="5"/>
  <c r="D139" i="5"/>
  <c r="F138" i="5"/>
  <c r="D138" i="5"/>
  <c r="H138" i="5" s="1"/>
  <c r="F137" i="5"/>
  <c r="D137" i="5"/>
  <c r="F136" i="5"/>
  <c r="D136" i="5"/>
  <c r="F135" i="5"/>
  <c r="D135" i="5"/>
  <c r="F134" i="5"/>
  <c r="D134" i="5"/>
  <c r="H134" i="5" s="1"/>
  <c r="F133" i="5"/>
  <c r="D133" i="5"/>
  <c r="F132" i="5"/>
  <c r="D132" i="5"/>
  <c r="F131" i="5"/>
  <c r="D131" i="5"/>
  <c r="F130" i="5"/>
  <c r="D130" i="5"/>
  <c r="H130" i="5" s="1"/>
  <c r="F129" i="5"/>
  <c r="D129" i="5"/>
  <c r="F128" i="5"/>
  <c r="D128" i="5"/>
  <c r="F127" i="5"/>
  <c r="D127" i="5"/>
  <c r="F126" i="5"/>
  <c r="D126" i="5"/>
  <c r="H126" i="5" s="1"/>
  <c r="F125" i="5"/>
  <c r="D125" i="5"/>
  <c r="F124" i="5"/>
  <c r="D124" i="5"/>
  <c r="F123" i="5"/>
  <c r="D123" i="5"/>
  <c r="F122" i="5"/>
  <c r="D122" i="5"/>
  <c r="H122" i="5" s="1"/>
  <c r="F121" i="5"/>
  <c r="D121" i="5"/>
  <c r="F120" i="5"/>
  <c r="D120" i="5"/>
  <c r="F119" i="5"/>
  <c r="D119" i="5"/>
  <c r="F118" i="5"/>
  <c r="D118" i="5"/>
  <c r="H118" i="5" s="1"/>
  <c r="F117" i="5"/>
  <c r="D117" i="5"/>
  <c r="F116" i="5"/>
  <c r="D116" i="5"/>
  <c r="F115" i="5"/>
  <c r="D115" i="5"/>
  <c r="F114" i="5"/>
  <c r="D114" i="5"/>
  <c r="H114" i="5" s="1"/>
  <c r="F113" i="5"/>
  <c r="D113" i="5"/>
  <c r="F112" i="5"/>
  <c r="D112" i="5"/>
  <c r="F111" i="5"/>
  <c r="D111" i="5"/>
  <c r="F110" i="5"/>
  <c r="D110" i="5"/>
  <c r="H110" i="5" s="1"/>
  <c r="F109" i="5"/>
  <c r="D109" i="5"/>
  <c r="F108" i="5"/>
  <c r="D108" i="5"/>
  <c r="F107" i="5"/>
  <c r="D107" i="5"/>
  <c r="F106" i="5"/>
  <c r="D106" i="5"/>
  <c r="H106" i="5" s="1"/>
  <c r="F105" i="5"/>
  <c r="D105" i="5"/>
  <c r="F104" i="5"/>
  <c r="D104" i="5"/>
  <c r="F103" i="5"/>
  <c r="D103" i="5"/>
  <c r="F102" i="5"/>
  <c r="D102" i="5"/>
  <c r="H102" i="5" s="1"/>
  <c r="F101" i="5"/>
  <c r="D101" i="5"/>
  <c r="F100" i="5"/>
  <c r="D100" i="5"/>
  <c r="F99" i="5"/>
  <c r="D99" i="5"/>
  <c r="F98" i="5"/>
  <c r="D98" i="5"/>
  <c r="H98" i="5" s="1"/>
  <c r="F97" i="5"/>
  <c r="D97" i="5"/>
  <c r="F96" i="5"/>
  <c r="D96" i="5"/>
  <c r="F95" i="5"/>
  <c r="D95" i="5"/>
  <c r="F94" i="5"/>
  <c r="D94" i="5"/>
  <c r="H94" i="5" s="1"/>
  <c r="F93" i="5"/>
  <c r="D93" i="5"/>
  <c r="F92" i="5"/>
  <c r="D92" i="5"/>
  <c r="F91" i="5"/>
  <c r="D91" i="5"/>
  <c r="F90" i="5"/>
  <c r="D90" i="5"/>
  <c r="H90" i="5" s="1"/>
  <c r="F89" i="5"/>
  <c r="D89" i="5"/>
  <c r="F88" i="5"/>
  <c r="D88" i="5"/>
  <c r="F87" i="5"/>
  <c r="D87" i="5"/>
  <c r="F86" i="5"/>
  <c r="D86" i="5"/>
  <c r="H86" i="5" s="1"/>
  <c r="F85" i="5"/>
  <c r="D85" i="5"/>
  <c r="F84" i="5"/>
  <c r="D84" i="5"/>
  <c r="F83" i="5"/>
  <c r="D83" i="5"/>
  <c r="F82" i="5"/>
  <c r="D82" i="5"/>
  <c r="H82" i="5" s="1"/>
  <c r="F81" i="5"/>
  <c r="D81" i="5"/>
  <c r="F80" i="5"/>
  <c r="D80" i="5"/>
  <c r="F79" i="5"/>
  <c r="D79" i="5"/>
  <c r="F78" i="5"/>
  <c r="D78" i="5"/>
  <c r="H78" i="5" s="1"/>
  <c r="F77" i="5"/>
  <c r="D77" i="5"/>
  <c r="F76" i="5"/>
  <c r="D76" i="5"/>
  <c r="F75" i="5"/>
  <c r="D75" i="5"/>
  <c r="F74" i="5"/>
  <c r="D74" i="5"/>
  <c r="H74" i="5" s="1"/>
  <c r="F73" i="5"/>
  <c r="D73" i="5"/>
  <c r="F72" i="5"/>
  <c r="D72" i="5"/>
  <c r="F71" i="5"/>
  <c r="D71" i="5"/>
  <c r="F70" i="5"/>
  <c r="D70" i="5"/>
  <c r="H70" i="5" s="1"/>
  <c r="F69" i="5"/>
  <c r="D69" i="5"/>
  <c r="F68" i="5"/>
  <c r="D68" i="5"/>
  <c r="F67" i="5"/>
  <c r="D67" i="5"/>
  <c r="F66" i="5"/>
  <c r="D66" i="5"/>
  <c r="H66" i="5" s="1"/>
  <c r="F65" i="5"/>
  <c r="D65" i="5"/>
  <c r="F64" i="5"/>
  <c r="D64" i="5"/>
  <c r="F63" i="5"/>
  <c r="D63" i="5"/>
  <c r="F62" i="5"/>
  <c r="D62" i="5"/>
  <c r="H62" i="5" s="1"/>
  <c r="F61" i="5"/>
  <c r="D61" i="5"/>
  <c r="F60" i="5"/>
  <c r="D60" i="5"/>
  <c r="F59" i="5"/>
  <c r="D59" i="5"/>
  <c r="F58" i="5"/>
  <c r="D58" i="5"/>
  <c r="H58" i="5" s="1"/>
  <c r="F57" i="5"/>
  <c r="D57" i="5"/>
  <c r="F56" i="5"/>
  <c r="D56" i="5"/>
  <c r="F55" i="5"/>
  <c r="D55" i="5"/>
  <c r="F54" i="5"/>
  <c r="D54" i="5"/>
  <c r="H54" i="5" s="1"/>
  <c r="F53" i="5"/>
  <c r="D53" i="5"/>
  <c r="F52" i="5"/>
  <c r="D52" i="5"/>
  <c r="F51" i="5"/>
  <c r="D51" i="5"/>
  <c r="F50" i="5"/>
  <c r="D50" i="5"/>
  <c r="H50" i="5" s="1"/>
  <c r="F49" i="5"/>
  <c r="D49" i="5"/>
  <c r="F48" i="5"/>
  <c r="D48" i="5"/>
  <c r="F47" i="5"/>
  <c r="D47" i="5"/>
  <c r="F46" i="5"/>
  <c r="D46" i="5"/>
  <c r="H46" i="5" s="1"/>
  <c r="F45" i="5"/>
  <c r="D45" i="5"/>
  <c r="F44" i="5"/>
  <c r="D44" i="5"/>
  <c r="F43" i="5"/>
  <c r="D43" i="5"/>
  <c r="F42" i="5"/>
  <c r="D42" i="5"/>
  <c r="H42" i="5" s="1"/>
  <c r="F41" i="5"/>
  <c r="D41" i="5"/>
  <c r="F40" i="5"/>
  <c r="D40" i="5"/>
  <c r="F39" i="5"/>
  <c r="D39" i="5"/>
  <c r="F38" i="5"/>
  <c r="D38" i="5"/>
  <c r="H38" i="5" s="1"/>
  <c r="F37" i="5"/>
  <c r="D37" i="5"/>
  <c r="F36" i="5"/>
  <c r="D36" i="5"/>
  <c r="F35" i="5"/>
  <c r="D35" i="5"/>
  <c r="F34" i="5"/>
  <c r="D34" i="5"/>
  <c r="H34" i="5" s="1"/>
  <c r="F33" i="5"/>
  <c r="D33" i="5"/>
  <c r="F32" i="5"/>
  <c r="D32" i="5"/>
  <c r="F31" i="5"/>
  <c r="D31" i="5"/>
  <c r="F30" i="5"/>
  <c r="D30" i="5"/>
  <c r="H30" i="5" s="1"/>
  <c r="F29" i="5"/>
  <c r="D29" i="5"/>
  <c r="F28" i="5"/>
  <c r="D28" i="5"/>
  <c r="F27" i="5"/>
  <c r="D27" i="5"/>
  <c r="F26" i="5"/>
  <c r="D26" i="5"/>
  <c r="H26" i="5" s="1"/>
  <c r="F25" i="5"/>
  <c r="D25" i="5"/>
  <c r="F24" i="5"/>
  <c r="D24" i="5"/>
  <c r="F23" i="5"/>
  <c r="D23" i="5"/>
  <c r="F22" i="5"/>
  <c r="D22" i="5"/>
  <c r="H22" i="5" s="1"/>
  <c r="F21" i="5"/>
  <c r="D21" i="5"/>
  <c r="F20" i="5"/>
  <c r="D20" i="5"/>
  <c r="F19" i="5"/>
  <c r="D19" i="5"/>
  <c r="D18" i="5"/>
  <c r="H18" i="5" s="1"/>
  <c r="F17" i="5"/>
  <c r="D17" i="5"/>
  <c r="F16" i="5"/>
  <c r="D16" i="5"/>
  <c r="D15" i="5"/>
  <c r="D14" i="5"/>
  <c r="H14" i="5" s="1"/>
  <c r="D13" i="5"/>
  <c r="F12" i="5"/>
  <c r="D12" i="5"/>
  <c r="F11" i="5"/>
  <c r="D11" i="5"/>
  <c r="F10" i="5"/>
  <c r="D10" i="5"/>
  <c r="H10" i="5" s="1"/>
  <c r="F9" i="5"/>
  <c r="D9" i="5"/>
  <c r="F8" i="5"/>
  <c r="D8" i="5"/>
  <c r="F7" i="5"/>
  <c r="D7" i="5"/>
  <c r="F6" i="5"/>
  <c r="D6" i="5"/>
  <c r="H6" i="5" s="1"/>
  <c r="F5" i="5"/>
  <c r="D5" i="5"/>
  <c r="F4" i="5"/>
  <c r="D4" i="5"/>
  <c r="F3" i="5"/>
  <c r="D3" i="5"/>
  <c r="F2" i="5"/>
  <c r="D2" i="5"/>
  <c r="H2" i="5" s="1"/>
  <c r="O14" i="12" l="1"/>
  <c r="M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17" i="5"/>
  <c r="H21" i="5"/>
  <c r="H25"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15" i="5"/>
  <c r="H19" i="5"/>
  <c r="H23"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16" i="5"/>
  <c r="H20" i="5"/>
  <c r="H24"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M5" i="12"/>
  <c r="H72" i="12"/>
  <c r="F60" i="12"/>
  <c r="H66" i="12"/>
  <c r="F54" i="12"/>
  <c r="H63" i="12"/>
  <c r="F51" i="12"/>
  <c r="H71" i="12"/>
  <c r="F59" i="12"/>
  <c r="H67" i="12"/>
  <c r="F55" i="12"/>
  <c r="H73" i="12"/>
  <c r="F61" i="12"/>
  <c r="H70" i="12"/>
  <c r="F58" i="12"/>
  <c r="H65" i="12"/>
  <c r="F53" i="12"/>
  <c r="H62" i="12"/>
  <c r="F50" i="12"/>
  <c r="H64" i="12"/>
  <c r="F52" i="12"/>
  <c r="H69" i="12"/>
  <c r="F57" i="12"/>
  <c r="G3" i="5"/>
  <c r="G9" i="5"/>
  <c r="G15" i="5"/>
  <c r="G17" i="5"/>
  <c r="G25" i="5"/>
  <c r="G31" i="5"/>
  <c r="G35" i="5"/>
  <c r="G41" i="5"/>
  <c r="G47" i="5"/>
  <c r="G53" i="5"/>
  <c r="G61" i="5"/>
  <c r="G63" i="5"/>
  <c r="G69" i="5"/>
  <c r="G75" i="5"/>
  <c r="G79" i="5"/>
  <c r="G85" i="5"/>
  <c r="G91" i="5"/>
  <c r="G97" i="5"/>
  <c r="G103" i="5"/>
  <c r="G107" i="5"/>
  <c r="G113" i="5"/>
  <c r="G117" i="5"/>
  <c r="G121" i="5"/>
  <c r="G127" i="5"/>
  <c r="G137" i="5"/>
  <c r="G139" i="5"/>
  <c r="G143" i="5"/>
  <c r="G145" i="5"/>
  <c r="G147" i="5"/>
  <c r="G149" i="5"/>
  <c r="G151" i="5"/>
  <c r="G153" i="5"/>
  <c r="G155" i="5"/>
  <c r="G157" i="5"/>
  <c r="G159" i="5"/>
  <c r="G161" i="5"/>
  <c r="G163" i="5"/>
  <c r="G165" i="5"/>
  <c r="G167" i="5"/>
  <c r="G169" i="5"/>
  <c r="G171" i="5"/>
  <c r="G173" i="5"/>
  <c r="G175" i="5"/>
  <c r="G177" i="5"/>
  <c r="G179" i="5"/>
  <c r="G181" i="5"/>
  <c r="G185" i="5"/>
  <c r="G187" i="5"/>
  <c r="G189" i="5"/>
  <c r="G191" i="5"/>
  <c r="G193" i="5"/>
  <c r="G195" i="5"/>
  <c r="G197" i="5"/>
  <c r="G199" i="5"/>
  <c r="G201" i="5"/>
  <c r="G203" i="5"/>
  <c r="G205" i="5"/>
  <c r="G207" i="5"/>
  <c r="G209" i="5"/>
  <c r="G211" i="5"/>
  <c r="G213" i="5"/>
  <c r="G215" i="5"/>
  <c r="G217" i="5"/>
  <c r="G219" i="5"/>
  <c r="G221" i="5"/>
  <c r="G223" i="5"/>
  <c r="G225" i="5"/>
  <c r="G227" i="5"/>
  <c r="G229" i="5"/>
  <c r="G231" i="5"/>
  <c r="G233" i="5"/>
  <c r="G235" i="5"/>
  <c r="G237" i="5"/>
  <c r="G239" i="5"/>
  <c r="G241" i="5"/>
  <c r="G243" i="5"/>
  <c r="G245" i="5"/>
  <c r="G247" i="5"/>
  <c r="G249" i="5"/>
  <c r="G251" i="5"/>
  <c r="G253" i="5"/>
  <c r="G255" i="5"/>
  <c r="G257" i="5"/>
  <c r="G259" i="5"/>
  <c r="G261" i="5"/>
  <c r="G263" i="5"/>
  <c r="G265" i="5"/>
  <c r="G267" i="5"/>
  <c r="G269" i="5"/>
  <c r="G271" i="5"/>
  <c r="G273" i="5"/>
  <c r="G275" i="5"/>
  <c r="G277" i="5"/>
  <c r="G279" i="5"/>
  <c r="G281" i="5"/>
  <c r="G283" i="5"/>
  <c r="G285" i="5"/>
  <c r="G287" i="5"/>
  <c r="G289" i="5"/>
  <c r="G291" i="5"/>
  <c r="G293" i="5"/>
  <c r="G295" i="5"/>
  <c r="G297" i="5"/>
  <c r="G299" i="5"/>
  <c r="G301" i="5"/>
  <c r="G303" i="5"/>
  <c r="G305" i="5"/>
  <c r="G307" i="5"/>
  <c r="G309" i="5"/>
  <c r="G311" i="5"/>
  <c r="G313" i="5"/>
  <c r="G315" i="5"/>
  <c r="G317" i="5"/>
  <c r="G319" i="5"/>
  <c r="G321" i="5"/>
  <c r="G323" i="5"/>
  <c r="G325" i="5"/>
  <c r="G327" i="5"/>
  <c r="G329" i="5"/>
  <c r="G331" i="5"/>
  <c r="G333" i="5"/>
  <c r="G335" i="5"/>
  <c r="G337" i="5"/>
  <c r="G339" i="5"/>
  <c r="G341" i="5"/>
  <c r="G343" i="5"/>
  <c r="G345" i="5"/>
  <c r="G347" i="5"/>
  <c r="G349" i="5"/>
  <c r="G351" i="5"/>
  <c r="G353" i="5"/>
  <c r="G355" i="5"/>
  <c r="G357" i="5"/>
  <c r="G359" i="5"/>
  <c r="G361" i="5"/>
  <c r="G363" i="5"/>
  <c r="G365" i="5"/>
  <c r="G367" i="5"/>
  <c r="G369" i="5"/>
  <c r="G371" i="5"/>
  <c r="G373" i="5"/>
  <c r="G375" i="5"/>
  <c r="G377" i="5"/>
  <c r="G379" i="5"/>
  <c r="G381" i="5"/>
  <c r="G383" i="5"/>
  <c r="G385" i="5"/>
  <c r="G387" i="5"/>
  <c r="G389" i="5"/>
  <c r="G391" i="5"/>
  <c r="G393" i="5"/>
  <c r="G395" i="5"/>
  <c r="G397" i="5"/>
  <c r="G399" i="5"/>
  <c r="G401" i="5"/>
  <c r="G403" i="5"/>
  <c r="G405" i="5"/>
  <c r="G407" i="5"/>
  <c r="G409" i="5"/>
  <c r="G411" i="5"/>
  <c r="G413" i="5"/>
  <c r="G415" i="5"/>
  <c r="G417" i="5"/>
  <c r="G419" i="5"/>
  <c r="G421" i="5"/>
  <c r="G423" i="5"/>
  <c r="G425" i="5"/>
  <c r="G427" i="5"/>
  <c r="G429" i="5"/>
  <c r="G431" i="5"/>
  <c r="G433" i="5"/>
  <c r="G435" i="5"/>
  <c r="G437" i="5"/>
  <c r="G439" i="5"/>
  <c r="G441" i="5"/>
  <c r="G443" i="5"/>
  <c r="G445" i="5"/>
  <c r="G447" i="5"/>
  <c r="G449" i="5"/>
  <c r="G451" i="5"/>
  <c r="G453" i="5"/>
  <c r="G455" i="5"/>
  <c r="G457" i="5"/>
  <c r="G459" i="5"/>
  <c r="G461" i="5"/>
  <c r="G463" i="5"/>
  <c r="G465" i="5"/>
  <c r="G467" i="5"/>
  <c r="G469" i="5"/>
  <c r="G471" i="5"/>
  <c r="G473" i="5"/>
  <c r="G475" i="5"/>
  <c r="G477" i="5"/>
  <c r="G479" i="5"/>
  <c r="G481" i="5"/>
  <c r="G483" i="5"/>
  <c r="G485" i="5"/>
  <c r="G487" i="5"/>
  <c r="G489" i="5"/>
  <c r="G491" i="5"/>
  <c r="G493" i="5"/>
  <c r="G495" i="5"/>
  <c r="G497" i="5"/>
  <c r="G499" i="5"/>
  <c r="G501" i="5"/>
  <c r="G503" i="5"/>
  <c r="G505" i="5"/>
  <c r="G507" i="5"/>
  <c r="G509" i="5"/>
  <c r="G511" i="5"/>
  <c r="G513" i="5"/>
  <c r="G515" i="5"/>
  <c r="G517" i="5"/>
  <c r="G519" i="5"/>
  <c r="G521" i="5"/>
  <c r="G523" i="5"/>
  <c r="G525" i="5"/>
  <c r="G527" i="5"/>
  <c r="G529" i="5"/>
  <c r="G531" i="5"/>
  <c r="G533" i="5"/>
  <c r="G535" i="5"/>
  <c r="G537" i="5"/>
  <c r="G539" i="5"/>
  <c r="G541" i="5"/>
  <c r="G543" i="5"/>
  <c r="G545" i="5"/>
  <c r="G547" i="5"/>
  <c r="G549" i="5"/>
  <c r="G551" i="5"/>
  <c r="G553" i="5"/>
  <c r="G555" i="5"/>
  <c r="G557" i="5"/>
  <c r="G559" i="5"/>
  <c r="G561" i="5"/>
  <c r="G563" i="5"/>
  <c r="G565" i="5"/>
  <c r="G567" i="5"/>
  <c r="G569" i="5"/>
  <c r="G571" i="5"/>
  <c r="G573" i="5"/>
  <c r="G575" i="5"/>
  <c r="G577" i="5"/>
  <c r="G579" i="5"/>
  <c r="G581" i="5"/>
  <c r="G583" i="5"/>
  <c r="G585" i="5"/>
  <c r="G587" i="5"/>
  <c r="G589" i="5"/>
  <c r="G591" i="5"/>
  <c r="G593" i="5"/>
  <c r="G595" i="5"/>
  <c r="G597" i="5"/>
  <c r="G599" i="5"/>
  <c r="G601" i="5"/>
  <c r="G603" i="5"/>
  <c r="G605" i="5"/>
  <c r="G607" i="5"/>
  <c r="G609" i="5"/>
  <c r="G611" i="5"/>
  <c r="G613" i="5"/>
  <c r="G615" i="5"/>
  <c r="G617" i="5"/>
  <c r="G619" i="5"/>
  <c r="G621" i="5"/>
  <c r="G623" i="5"/>
  <c r="G625" i="5"/>
  <c r="G627" i="5"/>
  <c r="G629" i="5"/>
  <c r="G631" i="5"/>
  <c r="G633" i="5"/>
  <c r="G635" i="5"/>
  <c r="G637" i="5"/>
  <c r="G639" i="5"/>
  <c r="G641" i="5"/>
  <c r="G643" i="5"/>
  <c r="G645" i="5"/>
  <c r="G647" i="5"/>
  <c r="G649" i="5"/>
  <c r="G5" i="5"/>
  <c r="G13" i="5"/>
  <c r="G21" i="5"/>
  <c r="G27" i="5"/>
  <c r="G37" i="5"/>
  <c r="G45" i="5"/>
  <c r="G51" i="5"/>
  <c r="G57" i="5"/>
  <c r="G67" i="5"/>
  <c r="G73" i="5"/>
  <c r="G81" i="5"/>
  <c r="G89" i="5"/>
  <c r="G95" i="5"/>
  <c r="G101" i="5"/>
  <c r="G105" i="5"/>
  <c r="G109" i="5"/>
  <c r="G115" i="5"/>
  <c r="G119" i="5"/>
  <c r="G123" i="5"/>
  <c r="G125" i="5"/>
  <c r="G129" i="5"/>
  <c r="G131" i="5"/>
  <c r="G133" i="5"/>
  <c r="G135" i="5"/>
  <c r="G141" i="5"/>
  <c r="G183" i="5"/>
  <c r="G7" i="5"/>
  <c r="G11" i="5"/>
  <c r="G19" i="5"/>
  <c r="G23" i="5"/>
  <c r="G29" i="5"/>
  <c r="G33" i="5"/>
  <c r="G39" i="5"/>
  <c r="G43" i="5"/>
  <c r="G49" i="5"/>
  <c r="G55" i="5"/>
  <c r="G59" i="5"/>
  <c r="G65" i="5"/>
  <c r="G71" i="5"/>
  <c r="G77" i="5"/>
  <c r="G83" i="5"/>
  <c r="G87" i="5"/>
  <c r="G93" i="5"/>
  <c r="G99" i="5"/>
  <c r="G111" i="5"/>
  <c r="G2" i="5"/>
  <c r="G4" i="5"/>
  <c r="G6" i="5"/>
  <c r="G8" i="5"/>
  <c r="G10" i="5"/>
  <c r="G12" i="5"/>
  <c r="G14" i="5"/>
  <c r="G16" i="5"/>
  <c r="G18" i="5"/>
  <c r="G20" i="5"/>
  <c r="G22" i="5"/>
  <c r="G24" i="5"/>
  <c r="G26" i="5"/>
  <c r="G28" i="5"/>
  <c r="G30" i="5"/>
  <c r="G32" i="5"/>
  <c r="G34" i="5"/>
  <c r="G36" i="5"/>
  <c r="G38" i="5"/>
  <c r="G40" i="5"/>
  <c r="G42" i="5"/>
  <c r="G44" i="5"/>
  <c r="G46" i="5"/>
  <c r="G48" i="5"/>
  <c r="G50" i="5"/>
  <c r="G52" i="5"/>
  <c r="G54" i="5"/>
  <c r="G56" i="5"/>
  <c r="G58" i="5"/>
  <c r="G60" i="5"/>
  <c r="G62" i="5"/>
  <c r="G64" i="5"/>
  <c r="G66" i="5"/>
  <c r="G68" i="5"/>
  <c r="G70" i="5"/>
  <c r="G72" i="5"/>
  <c r="G74" i="5"/>
  <c r="G76" i="5"/>
  <c r="G78" i="5"/>
  <c r="G80" i="5"/>
  <c r="G82" i="5"/>
  <c r="G84" i="5"/>
  <c r="G86" i="5"/>
  <c r="G88" i="5"/>
  <c r="G90" i="5"/>
  <c r="G92" i="5"/>
  <c r="G94" i="5"/>
  <c r="G96" i="5"/>
  <c r="G98" i="5"/>
  <c r="G100" i="5"/>
  <c r="G102" i="5"/>
  <c r="G104" i="5"/>
  <c r="G106" i="5"/>
  <c r="G108" i="5"/>
  <c r="G110" i="5"/>
  <c r="G112" i="5"/>
  <c r="G114" i="5"/>
  <c r="G116" i="5"/>
  <c r="G118" i="5"/>
  <c r="G120" i="5"/>
  <c r="G122" i="5"/>
  <c r="G124" i="5"/>
  <c r="G126" i="5"/>
  <c r="G128" i="5"/>
  <c r="G130" i="5"/>
  <c r="G132" i="5"/>
  <c r="G134" i="5"/>
  <c r="G136" i="5"/>
  <c r="G138" i="5"/>
  <c r="G140" i="5"/>
  <c r="G142" i="5"/>
  <c r="G144" i="5"/>
  <c r="G146" i="5"/>
  <c r="G148" i="5"/>
  <c r="G150" i="5"/>
  <c r="G152" i="5"/>
  <c r="G154" i="5"/>
  <c r="G156" i="5"/>
  <c r="G158" i="5"/>
  <c r="G160" i="5"/>
  <c r="G162" i="5"/>
  <c r="G164" i="5"/>
  <c r="G166" i="5"/>
  <c r="G168" i="5"/>
  <c r="G170" i="5"/>
  <c r="G172" i="5"/>
  <c r="G174" i="5"/>
  <c r="G176" i="5"/>
  <c r="G178" i="5"/>
  <c r="G180" i="5"/>
  <c r="G182" i="5"/>
  <c r="G184" i="5"/>
  <c r="G186" i="5"/>
  <c r="G188" i="5"/>
  <c r="G190" i="5"/>
  <c r="G192" i="5"/>
  <c r="G194" i="5"/>
  <c r="G196" i="5"/>
  <c r="G198" i="5"/>
  <c r="G200" i="5"/>
  <c r="G202" i="5"/>
  <c r="G204" i="5"/>
  <c r="G206" i="5"/>
  <c r="G208" i="5"/>
  <c r="G210" i="5"/>
  <c r="G212" i="5"/>
  <c r="G214" i="5"/>
  <c r="G216" i="5"/>
  <c r="G218" i="5"/>
  <c r="G220" i="5"/>
  <c r="G222" i="5"/>
  <c r="G224" i="5"/>
  <c r="G226" i="5"/>
  <c r="G228" i="5"/>
  <c r="G230" i="5"/>
  <c r="G232" i="5"/>
  <c r="G234" i="5"/>
  <c r="G236" i="5"/>
  <c r="G238" i="5"/>
  <c r="G240" i="5"/>
  <c r="G242" i="5"/>
  <c r="G244" i="5"/>
  <c r="G246" i="5"/>
  <c r="G248" i="5"/>
  <c r="G250" i="5"/>
  <c r="G252" i="5"/>
  <c r="G254" i="5"/>
  <c r="G256" i="5"/>
  <c r="G258" i="5"/>
  <c r="G260" i="5"/>
  <c r="G262" i="5"/>
  <c r="G264" i="5"/>
  <c r="G266" i="5"/>
  <c r="G268" i="5"/>
  <c r="G270" i="5"/>
  <c r="G272" i="5"/>
  <c r="G274" i="5"/>
  <c r="G276" i="5"/>
  <c r="G278" i="5"/>
  <c r="G280" i="5"/>
  <c r="G282" i="5"/>
  <c r="G284" i="5"/>
  <c r="G286" i="5"/>
  <c r="G288" i="5"/>
  <c r="G290" i="5"/>
  <c r="G292" i="5"/>
  <c r="G294" i="5"/>
  <c r="G296" i="5"/>
  <c r="G298" i="5"/>
  <c r="G300" i="5"/>
  <c r="G302" i="5"/>
  <c r="G304" i="5"/>
  <c r="G306" i="5"/>
  <c r="G308" i="5"/>
  <c r="G310" i="5"/>
  <c r="G312" i="5"/>
  <c r="G314" i="5"/>
  <c r="G316" i="5"/>
  <c r="G318" i="5"/>
  <c r="G320" i="5"/>
  <c r="G322" i="5"/>
  <c r="G324" i="5"/>
  <c r="G326" i="5"/>
  <c r="G328" i="5"/>
  <c r="G330" i="5"/>
  <c r="G332" i="5"/>
  <c r="G334" i="5"/>
  <c r="G336" i="5"/>
  <c r="G338" i="5"/>
  <c r="G340" i="5"/>
  <c r="G342" i="5"/>
  <c r="G344" i="5"/>
  <c r="G346" i="5"/>
  <c r="G348" i="5"/>
  <c r="G350" i="5"/>
  <c r="G352" i="5"/>
  <c r="G354" i="5"/>
  <c r="G356" i="5"/>
  <c r="G358" i="5"/>
  <c r="G360" i="5"/>
  <c r="G362" i="5"/>
  <c r="G364" i="5"/>
  <c r="G366" i="5"/>
  <c r="G368" i="5"/>
  <c r="G370" i="5"/>
  <c r="G372" i="5"/>
  <c r="G374" i="5"/>
  <c r="G376" i="5"/>
  <c r="G378" i="5"/>
  <c r="G380" i="5"/>
  <c r="G382" i="5"/>
  <c r="G384" i="5"/>
  <c r="G386" i="5"/>
  <c r="G388" i="5"/>
  <c r="G390" i="5"/>
  <c r="G392" i="5"/>
  <c r="G394" i="5"/>
  <c r="G396" i="5"/>
  <c r="G398" i="5"/>
  <c r="G400" i="5"/>
  <c r="G402" i="5"/>
  <c r="G404" i="5"/>
  <c r="G406" i="5"/>
  <c r="G408" i="5"/>
  <c r="G410" i="5"/>
  <c r="G412" i="5"/>
  <c r="G414" i="5"/>
  <c r="G416" i="5"/>
  <c r="G418" i="5"/>
  <c r="G420" i="5"/>
  <c r="G422" i="5"/>
  <c r="G424" i="5"/>
  <c r="G426" i="5"/>
  <c r="G428" i="5"/>
  <c r="G430" i="5"/>
  <c r="G432" i="5"/>
  <c r="G434" i="5"/>
  <c r="G436" i="5"/>
  <c r="G438" i="5"/>
  <c r="G440" i="5"/>
  <c r="G442" i="5"/>
  <c r="G444" i="5"/>
  <c r="G446" i="5"/>
  <c r="G448" i="5"/>
  <c r="G450" i="5"/>
  <c r="G452" i="5"/>
  <c r="G454" i="5"/>
  <c r="G456" i="5"/>
  <c r="G458" i="5"/>
  <c r="G460" i="5"/>
  <c r="G462" i="5"/>
  <c r="G464" i="5"/>
  <c r="G466" i="5"/>
  <c r="G468" i="5"/>
  <c r="G470" i="5"/>
  <c r="G472" i="5"/>
  <c r="G474" i="5"/>
  <c r="G476" i="5"/>
  <c r="G478" i="5"/>
  <c r="G480" i="5"/>
  <c r="G482" i="5"/>
  <c r="G484" i="5"/>
  <c r="G486" i="5"/>
  <c r="G488" i="5"/>
  <c r="G490" i="5"/>
  <c r="G492" i="5"/>
  <c r="G494" i="5"/>
  <c r="G496" i="5"/>
  <c r="G498" i="5"/>
  <c r="G500" i="5"/>
  <c r="G502" i="5"/>
  <c r="G504" i="5"/>
  <c r="G506" i="5"/>
  <c r="G508" i="5"/>
  <c r="G510" i="5"/>
  <c r="G512" i="5"/>
  <c r="G514" i="5"/>
  <c r="G516" i="5"/>
  <c r="G518" i="5"/>
  <c r="G520" i="5"/>
  <c r="G522" i="5"/>
  <c r="G524" i="5"/>
  <c r="G526" i="5"/>
  <c r="G528" i="5"/>
  <c r="G530" i="5"/>
  <c r="G532" i="5"/>
  <c r="G534" i="5"/>
  <c r="G536" i="5"/>
  <c r="G538" i="5"/>
  <c r="G540" i="5"/>
  <c r="G542" i="5"/>
  <c r="G544" i="5"/>
  <c r="G546" i="5"/>
  <c r="G548" i="5"/>
  <c r="G550" i="5"/>
  <c r="G552" i="5"/>
  <c r="G554" i="5"/>
  <c r="G556" i="5"/>
  <c r="G558" i="5"/>
  <c r="G560" i="5"/>
  <c r="G562" i="5"/>
  <c r="G564" i="5"/>
  <c r="G566" i="5"/>
  <c r="G568" i="5"/>
  <c r="G570" i="5"/>
  <c r="G572" i="5"/>
  <c r="G574" i="5"/>
  <c r="G576" i="5"/>
  <c r="G578" i="5"/>
  <c r="G580" i="5"/>
  <c r="G582" i="5"/>
  <c r="G584" i="5"/>
  <c r="G586" i="5"/>
  <c r="G588" i="5"/>
  <c r="G590" i="5"/>
  <c r="G592" i="5"/>
  <c r="G594" i="5"/>
  <c r="G596" i="5"/>
  <c r="G598" i="5"/>
  <c r="G600" i="5"/>
  <c r="G602" i="5"/>
  <c r="G604" i="5"/>
  <c r="G606" i="5"/>
  <c r="G608" i="5"/>
  <c r="G610" i="5"/>
  <c r="G612" i="5"/>
  <c r="G614" i="5"/>
  <c r="G616" i="5"/>
  <c r="G618" i="5"/>
  <c r="G620" i="5"/>
  <c r="G622" i="5"/>
  <c r="G624" i="5"/>
  <c r="G628" i="5"/>
  <c r="G630" i="5"/>
  <c r="G632" i="5"/>
  <c r="G634" i="5"/>
  <c r="G636" i="5"/>
  <c r="G638" i="5"/>
  <c r="G640" i="5"/>
  <c r="G642" i="5"/>
  <c r="G644" i="5"/>
  <c r="G646" i="5"/>
  <c r="G648" i="5"/>
  <c r="O23" i="12"/>
  <c r="M23" i="12" s="1"/>
  <c r="O21" i="12"/>
  <c r="M21" i="12" s="1"/>
  <c r="O17" i="12"/>
  <c r="M17" i="12" s="1"/>
  <c r="O16" i="12"/>
  <c r="M16" i="12" s="1"/>
  <c r="O22" i="12"/>
  <c r="M22" i="12" s="1"/>
  <c r="O19" i="12"/>
  <c r="M19" i="12" s="1"/>
  <c r="O24" i="12"/>
  <c r="M24" i="12" s="1"/>
  <c r="O20" i="12"/>
  <c r="M20" i="12" s="1"/>
  <c r="O25" i="12"/>
  <c r="M25" i="12" s="1"/>
  <c r="O18" i="12"/>
  <c r="M18" i="12" s="1"/>
  <c r="O15" i="12"/>
  <c r="M15" i="12" s="1"/>
  <c r="O26" i="12"/>
  <c r="M26" i="12" s="1"/>
  <c r="V64" i="12"/>
  <c r="T64" i="12" s="1"/>
  <c r="V70" i="12"/>
  <c r="T70" i="12" s="1"/>
  <c r="V65" i="12"/>
  <c r="T65" i="12" s="1"/>
  <c r="V27" i="12"/>
  <c r="T27" i="12" s="1"/>
  <c r="V66" i="12"/>
  <c r="T66" i="12" s="1"/>
  <c r="V71" i="12"/>
  <c r="T71" i="12" s="1"/>
  <c r="V67" i="12"/>
  <c r="T67" i="12" s="1"/>
  <c r="V73" i="12"/>
  <c r="T73" i="12" s="1"/>
  <c r="V26" i="12"/>
  <c r="T26" i="12" s="1"/>
  <c r="V68" i="12"/>
  <c r="T68" i="12" s="1"/>
  <c r="V69" i="12"/>
  <c r="T69" i="12" s="1"/>
  <c r="V72" i="12"/>
  <c r="T72" i="12" s="1"/>
  <c r="H76" i="12" l="1"/>
  <c r="F64" i="12"/>
  <c r="H77" i="12"/>
  <c r="F65" i="12"/>
  <c r="H85" i="12"/>
  <c r="F73" i="12"/>
  <c r="H83" i="12"/>
  <c r="F71" i="12"/>
  <c r="H78" i="12"/>
  <c r="F66" i="12"/>
  <c r="H81" i="12"/>
  <c r="F69" i="12"/>
  <c r="H74" i="12"/>
  <c r="F62" i="12"/>
  <c r="H82" i="12"/>
  <c r="F70" i="12"/>
  <c r="H79" i="12"/>
  <c r="F67" i="12"/>
  <c r="H75" i="12"/>
  <c r="F63" i="12"/>
  <c r="H84" i="12"/>
  <c r="F72" i="12"/>
  <c r="O38" i="12"/>
  <c r="M38" i="12" s="1"/>
  <c r="O30" i="12"/>
  <c r="M30" i="12" s="1"/>
  <c r="O32" i="12"/>
  <c r="M32" i="12" s="1"/>
  <c r="O31" i="12"/>
  <c r="M31" i="12" s="1"/>
  <c r="O28" i="12"/>
  <c r="M28" i="12" s="1"/>
  <c r="O33" i="12"/>
  <c r="M33" i="12" s="1"/>
  <c r="O27" i="12"/>
  <c r="M27" i="12" s="1"/>
  <c r="O37" i="12"/>
  <c r="M37" i="12" s="1"/>
  <c r="O36" i="12"/>
  <c r="M36" i="12" s="1"/>
  <c r="O34" i="12"/>
  <c r="M34" i="12" s="1"/>
  <c r="O29" i="12"/>
  <c r="M29" i="12" s="1"/>
  <c r="O35" i="12"/>
  <c r="M35" i="12" s="1"/>
  <c r="V84" i="12"/>
  <c r="T84" i="12" s="1"/>
  <c r="V80" i="12"/>
  <c r="T80" i="12" s="1"/>
  <c r="V85" i="12"/>
  <c r="T85" i="12" s="1"/>
  <c r="V83" i="12"/>
  <c r="T83" i="12" s="1"/>
  <c r="V39" i="12"/>
  <c r="T39" i="12" s="1"/>
  <c r="V82" i="12"/>
  <c r="T82" i="12" s="1"/>
  <c r="V81" i="12"/>
  <c r="T81" i="12" s="1"/>
  <c r="V38" i="12"/>
  <c r="T38" i="12" s="1"/>
  <c r="V79" i="12"/>
  <c r="T79" i="12" s="1"/>
  <c r="V78" i="12"/>
  <c r="T78" i="12" s="1"/>
  <c r="V77" i="12"/>
  <c r="T77" i="12" s="1"/>
  <c r="V76" i="12"/>
  <c r="T76" i="12" s="1"/>
  <c r="H87" i="12" l="1"/>
  <c r="F75" i="12"/>
  <c r="H94" i="12"/>
  <c r="F82" i="12"/>
  <c r="H93" i="12"/>
  <c r="F81" i="12"/>
  <c r="H95" i="12"/>
  <c r="F83" i="12"/>
  <c r="H89" i="12"/>
  <c r="F77" i="12"/>
  <c r="H96" i="12"/>
  <c r="F84" i="12"/>
  <c r="H91" i="12"/>
  <c r="F79" i="12"/>
  <c r="H86" i="12"/>
  <c r="F74" i="12"/>
  <c r="H90" i="12"/>
  <c r="F78" i="12"/>
  <c r="H97" i="12"/>
  <c r="F85" i="12"/>
  <c r="H88" i="12"/>
  <c r="F76" i="12"/>
  <c r="O47" i="12"/>
  <c r="M47" i="12" s="1"/>
  <c r="O46" i="12"/>
  <c r="M46" i="12" s="1"/>
  <c r="O49" i="12"/>
  <c r="M49" i="12" s="1"/>
  <c r="O45" i="12"/>
  <c r="M45" i="12" s="1"/>
  <c r="O43" i="12"/>
  <c r="M43" i="12" s="1"/>
  <c r="O42" i="12"/>
  <c r="M42" i="12" s="1"/>
  <c r="O41" i="12"/>
  <c r="M41" i="12" s="1"/>
  <c r="O48" i="12"/>
  <c r="M48" i="12" s="1"/>
  <c r="O39" i="12"/>
  <c r="M39" i="12" s="1"/>
  <c r="O40" i="12"/>
  <c r="M40" i="12" s="1"/>
  <c r="O44" i="12"/>
  <c r="M44" i="12" s="1"/>
  <c r="O50" i="12"/>
  <c r="M50" i="12" s="1"/>
  <c r="V88" i="12"/>
  <c r="T88" i="12" s="1"/>
  <c r="V90" i="12"/>
  <c r="T90" i="12" s="1"/>
  <c r="V50" i="12"/>
  <c r="T50" i="12" s="1"/>
  <c r="V94" i="12"/>
  <c r="T94" i="12" s="1"/>
  <c r="V95" i="12"/>
  <c r="T95" i="12" s="1"/>
  <c r="V92" i="12"/>
  <c r="T92" i="12" s="1"/>
  <c r="V89" i="12"/>
  <c r="T89" i="12" s="1"/>
  <c r="V91" i="12"/>
  <c r="T91" i="12" s="1"/>
  <c r="V93" i="12"/>
  <c r="T93" i="12" s="1"/>
  <c r="V51" i="12"/>
  <c r="T51" i="12" s="1"/>
  <c r="V97" i="12"/>
  <c r="T97" i="12" s="1"/>
  <c r="V96" i="12"/>
  <c r="T96" i="12" s="1"/>
  <c r="H109" i="12" l="1"/>
  <c r="F97" i="12"/>
  <c r="H98" i="12"/>
  <c r="F86" i="12"/>
  <c r="H108" i="12"/>
  <c r="F96" i="12"/>
  <c r="H107" i="12"/>
  <c r="F95" i="12"/>
  <c r="H106" i="12"/>
  <c r="F94" i="12"/>
  <c r="H100" i="12"/>
  <c r="F88" i="12"/>
  <c r="H102" i="12"/>
  <c r="F90" i="12"/>
  <c r="H103" i="12"/>
  <c r="F91" i="12"/>
  <c r="H101" i="12"/>
  <c r="F89" i="12"/>
  <c r="H105" i="12"/>
  <c r="F93" i="12"/>
  <c r="H99" i="12"/>
  <c r="F87" i="12"/>
  <c r="O62" i="12"/>
  <c r="M62" i="12" s="1"/>
  <c r="O52" i="12"/>
  <c r="M52" i="12" s="1"/>
  <c r="O60" i="12"/>
  <c r="M60" i="12" s="1"/>
  <c r="O54" i="12"/>
  <c r="M54" i="12" s="1"/>
  <c r="O57" i="12"/>
  <c r="M57" i="12" s="1"/>
  <c r="O58" i="12"/>
  <c r="M58" i="12" s="1"/>
  <c r="O56" i="12"/>
  <c r="M56" i="12" s="1"/>
  <c r="O51" i="12"/>
  <c r="M51" i="12" s="1"/>
  <c r="O53" i="12"/>
  <c r="M53" i="12" s="1"/>
  <c r="O55" i="12"/>
  <c r="M55" i="12" s="1"/>
  <c r="O61" i="12"/>
  <c r="M61" i="12" s="1"/>
  <c r="O59" i="12"/>
  <c r="M59" i="12" s="1"/>
  <c r="V108" i="12"/>
  <c r="T108" i="12" s="1"/>
  <c r="V103" i="12"/>
  <c r="T103" i="12" s="1"/>
  <c r="V102" i="12"/>
  <c r="T102" i="12" s="1"/>
  <c r="V63" i="12"/>
  <c r="T63" i="12" s="1"/>
  <c r="V104" i="12"/>
  <c r="T104" i="12" s="1"/>
  <c r="V106" i="12"/>
  <c r="T106" i="12" s="1"/>
  <c r="V109" i="12"/>
  <c r="T109" i="12" s="1"/>
  <c r="V105" i="12"/>
  <c r="T105" i="12" s="1"/>
  <c r="V101" i="12"/>
  <c r="T101" i="12" s="1"/>
  <c r="V107" i="12"/>
  <c r="T107" i="12" s="1"/>
  <c r="V62" i="12"/>
  <c r="T62" i="12" s="1"/>
  <c r="V100" i="12"/>
  <c r="T100" i="12" s="1"/>
  <c r="H117" i="12" l="1"/>
  <c r="F105" i="12"/>
  <c r="H115" i="12"/>
  <c r="F103" i="12"/>
  <c r="H112" i="12"/>
  <c r="F100" i="12"/>
  <c r="H119" i="12"/>
  <c r="F107" i="12"/>
  <c r="H110" i="12"/>
  <c r="F98" i="12"/>
  <c r="H111" i="12"/>
  <c r="F99" i="12"/>
  <c r="H113" i="12"/>
  <c r="F101" i="12"/>
  <c r="H114" i="12"/>
  <c r="F102" i="12"/>
  <c r="H118" i="12"/>
  <c r="F106" i="12"/>
  <c r="H120" i="12"/>
  <c r="F108" i="12"/>
  <c r="H121" i="12"/>
  <c r="F109" i="12"/>
  <c r="O71" i="12"/>
  <c r="M71" i="12" s="1"/>
  <c r="O67" i="12"/>
  <c r="M67" i="12" s="1"/>
  <c r="O63" i="12"/>
  <c r="M63" i="12" s="1"/>
  <c r="O70" i="12"/>
  <c r="M70" i="12" s="1"/>
  <c r="O66" i="12"/>
  <c r="M66" i="12" s="1"/>
  <c r="O64" i="12"/>
  <c r="M64" i="12" s="1"/>
  <c r="O73" i="12"/>
  <c r="M73" i="12" s="1"/>
  <c r="O65" i="12"/>
  <c r="M65" i="12" s="1"/>
  <c r="O68" i="12"/>
  <c r="M68" i="12" s="1"/>
  <c r="O69" i="12"/>
  <c r="M69" i="12" s="1"/>
  <c r="O72" i="12"/>
  <c r="M72" i="12" s="1"/>
  <c r="O74" i="12"/>
  <c r="M74" i="12" s="1"/>
  <c r="V112" i="12"/>
  <c r="T112" i="12" s="1"/>
  <c r="V119" i="12"/>
  <c r="T119" i="12" s="1"/>
  <c r="V117" i="12"/>
  <c r="T117" i="12" s="1"/>
  <c r="V118" i="12"/>
  <c r="T118" i="12" s="1"/>
  <c r="V75" i="12"/>
  <c r="T75" i="12" s="1"/>
  <c r="V115" i="12"/>
  <c r="T115" i="12" s="1"/>
  <c r="V74" i="12"/>
  <c r="T74" i="12" s="1"/>
  <c r="V113" i="12"/>
  <c r="T113" i="12" s="1"/>
  <c r="V121" i="12"/>
  <c r="T121" i="12" s="1"/>
  <c r="V116" i="12"/>
  <c r="T116" i="12" s="1"/>
  <c r="V114" i="12"/>
  <c r="T114" i="12" s="1"/>
  <c r="V120" i="12"/>
  <c r="T120" i="12" s="1"/>
  <c r="H132" i="12" l="1"/>
  <c r="F120" i="12"/>
  <c r="H126" i="12"/>
  <c r="F114" i="12"/>
  <c r="H123" i="12"/>
  <c r="F111" i="12"/>
  <c r="H131" i="12"/>
  <c r="F119" i="12"/>
  <c r="H127" i="12"/>
  <c r="F115" i="12"/>
  <c r="H133" i="12"/>
  <c r="F121" i="12"/>
  <c r="H130" i="12"/>
  <c r="F118" i="12"/>
  <c r="H125" i="12"/>
  <c r="F113" i="12"/>
  <c r="H122" i="12"/>
  <c r="F110" i="12"/>
  <c r="H124" i="12"/>
  <c r="F112" i="12"/>
  <c r="H129" i="12"/>
  <c r="F117" i="12"/>
  <c r="O86" i="12"/>
  <c r="M86" i="12" s="1"/>
  <c r="O81" i="12"/>
  <c r="M81" i="12" s="1"/>
  <c r="O77" i="12"/>
  <c r="M77" i="12" s="1"/>
  <c r="O76" i="12"/>
  <c r="M76" i="12" s="1"/>
  <c r="O82" i="12"/>
  <c r="M82" i="12" s="1"/>
  <c r="O79" i="12"/>
  <c r="M79" i="12" s="1"/>
  <c r="O84" i="12"/>
  <c r="M84" i="12" s="1"/>
  <c r="O80" i="12"/>
  <c r="M80" i="12" s="1"/>
  <c r="O85" i="12"/>
  <c r="M85" i="12" s="1"/>
  <c r="O78" i="12"/>
  <c r="M78" i="12" s="1"/>
  <c r="O75" i="12"/>
  <c r="M75" i="12" s="1"/>
  <c r="O83" i="12"/>
  <c r="M83" i="12" s="1"/>
  <c r="V132" i="12"/>
  <c r="T132" i="12" s="1"/>
  <c r="V128" i="12"/>
  <c r="T128" i="12" s="1"/>
  <c r="V125" i="12"/>
  <c r="T125" i="12" s="1"/>
  <c r="V127" i="12"/>
  <c r="T127" i="12" s="1"/>
  <c r="V130" i="12"/>
  <c r="T130" i="12" s="1"/>
  <c r="V131" i="12"/>
  <c r="T131" i="12" s="1"/>
  <c r="V126" i="12"/>
  <c r="T126" i="12" s="1"/>
  <c r="V133" i="12"/>
  <c r="T133" i="12" s="1"/>
  <c r="V86" i="12"/>
  <c r="T86" i="12" s="1"/>
  <c r="V87" i="12"/>
  <c r="T87" i="12" s="1"/>
  <c r="V129" i="12"/>
  <c r="T129" i="12" s="1"/>
  <c r="V124" i="12"/>
  <c r="T124" i="12" s="1"/>
  <c r="H136" i="12" l="1"/>
  <c r="F124" i="12"/>
  <c r="H137" i="12"/>
  <c r="F125" i="12"/>
  <c r="H145" i="12"/>
  <c r="F133" i="12"/>
  <c r="H143" i="12"/>
  <c r="F131" i="12"/>
  <c r="H138" i="12"/>
  <c r="F126" i="12"/>
  <c r="H141" i="12"/>
  <c r="F129" i="12"/>
  <c r="H134" i="12"/>
  <c r="F122" i="12"/>
  <c r="H142" i="12"/>
  <c r="F130" i="12"/>
  <c r="H139" i="12"/>
  <c r="F127" i="12"/>
  <c r="H135" i="12"/>
  <c r="F123" i="12"/>
  <c r="H144" i="12"/>
  <c r="F132" i="12"/>
  <c r="O95" i="12"/>
  <c r="M95" i="12" s="1"/>
  <c r="O92" i="12"/>
  <c r="M92" i="12" s="1"/>
  <c r="O93" i="12"/>
  <c r="M93" i="12" s="1"/>
  <c r="O90" i="12"/>
  <c r="M90" i="12" s="1"/>
  <c r="O91" i="12"/>
  <c r="M91" i="12" s="1"/>
  <c r="O88" i="12"/>
  <c r="M88" i="12" s="1"/>
  <c r="O87" i="12"/>
  <c r="M87" i="12" s="1"/>
  <c r="O97" i="12"/>
  <c r="M97" i="12" s="1"/>
  <c r="O96" i="12"/>
  <c r="M96" i="12" s="1"/>
  <c r="O94" i="12"/>
  <c r="M94" i="12" s="1"/>
  <c r="O89" i="12"/>
  <c r="M89" i="12" s="1"/>
  <c r="O98" i="12"/>
  <c r="M98" i="12" s="1"/>
  <c r="V136" i="12"/>
  <c r="T136" i="12" s="1"/>
  <c r="V99" i="12"/>
  <c r="T99" i="12" s="1"/>
  <c r="V145" i="12"/>
  <c r="T145" i="12" s="1"/>
  <c r="V143" i="12"/>
  <c r="T143" i="12" s="1"/>
  <c r="V139" i="12"/>
  <c r="T139" i="12" s="1"/>
  <c r="V140" i="12"/>
  <c r="T140" i="12" s="1"/>
  <c r="V141" i="12"/>
  <c r="T141" i="12" s="1"/>
  <c r="V98" i="12"/>
  <c r="T98" i="12" s="1"/>
  <c r="V138" i="12"/>
  <c r="T138" i="12" s="1"/>
  <c r="V142" i="12"/>
  <c r="T142" i="12" s="1"/>
  <c r="V137" i="12"/>
  <c r="T137" i="12" s="1"/>
  <c r="V144" i="12"/>
  <c r="T144" i="12" s="1"/>
  <c r="H147" i="12" l="1"/>
  <c r="F135" i="12"/>
  <c r="H154" i="12"/>
  <c r="F142" i="12"/>
  <c r="H153" i="12"/>
  <c r="F141" i="12"/>
  <c r="H155" i="12"/>
  <c r="F143" i="12"/>
  <c r="H149" i="12"/>
  <c r="F137" i="12"/>
  <c r="H156" i="12"/>
  <c r="F144" i="12"/>
  <c r="H151" i="12"/>
  <c r="F139" i="12"/>
  <c r="H146" i="12"/>
  <c r="F134" i="12"/>
  <c r="H150" i="12"/>
  <c r="F138" i="12"/>
  <c r="H157" i="12"/>
  <c r="F145" i="12"/>
  <c r="H148" i="12"/>
  <c r="F136" i="12"/>
  <c r="O110" i="12"/>
  <c r="M110" i="12" s="1"/>
  <c r="O106" i="12"/>
  <c r="M106" i="12" s="1"/>
  <c r="O109" i="12"/>
  <c r="M109" i="12" s="1"/>
  <c r="O100" i="12"/>
  <c r="M100" i="12" s="1"/>
  <c r="O102" i="12"/>
  <c r="M102" i="12" s="1"/>
  <c r="O104" i="12"/>
  <c r="M104" i="12" s="1"/>
  <c r="O101" i="12"/>
  <c r="M101" i="12" s="1"/>
  <c r="O108" i="12"/>
  <c r="M108" i="12" s="1"/>
  <c r="O99" i="12"/>
  <c r="M99" i="12" s="1"/>
  <c r="O103" i="12"/>
  <c r="M103" i="12" s="1"/>
  <c r="O105" i="12"/>
  <c r="M105" i="12" s="1"/>
  <c r="O107" i="12"/>
  <c r="M107" i="12" s="1"/>
  <c r="V156" i="12"/>
  <c r="T156" i="12" s="1"/>
  <c r="V154" i="12"/>
  <c r="T154" i="12" s="1"/>
  <c r="V110" i="12"/>
  <c r="T110" i="12" s="1"/>
  <c r="V152" i="12"/>
  <c r="T152" i="12" s="1"/>
  <c r="V155" i="12"/>
  <c r="T155" i="12" s="1"/>
  <c r="V111" i="12"/>
  <c r="T111" i="12" s="1"/>
  <c r="V149" i="12"/>
  <c r="T149" i="12" s="1"/>
  <c r="V150" i="12"/>
  <c r="T150" i="12" s="1"/>
  <c r="V153" i="12"/>
  <c r="T153" i="12" s="1"/>
  <c r="V151" i="12"/>
  <c r="T151" i="12" s="1"/>
  <c r="V157" i="12"/>
  <c r="T157" i="12" s="1"/>
  <c r="V148" i="12"/>
  <c r="T148" i="12" s="1"/>
  <c r="H169" i="12" l="1"/>
  <c r="F157" i="12"/>
  <c r="H158" i="12"/>
  <c r="F146" i="12"/>
  <c r="H168" i="12"/>
  <c r="F156" i="12"/>
  <c r="H167" i="12"/>
  <c r="F155" i="12"/>
  <c r="H166" i="12"/>
  <c r="F154" i="12"/>
  <c r="H160" i="12"/>
  <c r="F148" i="12"/>
  <c r="H162" i="12"/>
  <c r="F150" i="12"/>
  <c r="H163" i="12"/>
  <c r="F151" i="12"/>
  <c r="H161" i="12"/>
  <c r="F149" i="12"/>
  <c r="H165" i="12"/>
  <c r="F153" i="12"/>
  <c r="H159" i="12"/>
  <c r="F147" i="12"/>
  <c r="O119" i="12"/>
  <c r="M119" i="12" s="1"/>
  <c r="O115" i="12"/>
  <c r="M115" i="12" s="1"/>
  <c r="O120" i="12"/>
  <c r="M120" i="12" s="1"/>
  <c r="O116" i="12"/>
  <c r="M116" i="12" s="1"/>
  <c r="O112" i="12"/>
  <c r="M112" i="12" s="1"/>
  <c r="O118" i="12"/>
  <c r="M118" i="12" s="1"/>
  <c r="O117" i="12"/>
  <c r="M117" i="12" s="1"/>
  <c r="O111" i="12"/>
  <c r="M111" i="12" s="1"/>
  <c r="O113" i="12"/>
  <c r="M113" i="12" s="1"/>
  <c r="O114" i="12"/>
  <c r="M114" i="12" s="1"/>
  <c r="O121" i="12"/>
  <c r="M121" i="12" s="1"/>
  <c r="O122" i="12"/>
  <c r="M122" i="12" s="1"/>
  <c r="V160" i="12"/>
  <c r="T160" i="12" s="1"/>
  <c r="V163" i="12"/>
  <c r="T163" i="12" s="1"/>
  <c r="V162" i="12"/>
  <c r="T162" i="12" s="1"/>
  <c r="V123" i="12"/>
  <c r="T123" i="12" s="1"/>
  <c r="V164" i="12"/>
  <c r="T164" i="12" s="1"/>
  <c r="V166" i="12"/>
  <c r="T166" i="12" s="1"/>
  <c r="V169" i="12"/>
  <c r="T169" i="12" s="1"/>
  <c r="V165" i="12"/>
  <c r="T165" i="12" s="1"/>
  <c r="V161" i="12"/>
  <c r="T161" i="12" s="1"/>
  <c r="V167" i="12"/>
  <c r="T167" i="12" s="1"/>
  <c r="V122" i="12"/>
  <c r="T122" i="12" s="1"/>
  <c r="V168" i="12"/>
  <c r="T168" i="12" s="1"/>
  <c r="H177" i="12" l="1"/>
  <c r="F165" i="12"/>
  <c r="H175" i="12"/>
  <c r="F163" i="12"/>
  <c r="H172" i="12"/>
  <c r="F160" i="12"/>
  <c r="H179" i="12"/>
  <c r="F167" i="12"/>
  <c r="H170" i="12"/>
  <c r="F158" i="12"/>
  <c r="H171" i="12"/>
  <c r="F159" i="12"/>
  <c r="H173" i="12"/>
  <c r="F161" i="12"/>
  <c r="H174" i="12"/>
  <c r="F162" i="12"/>
  <c r="H178" i="12"/>
  <c r="F166" i="12"/>
  <c r="H180" i="12"/>
  <c r="F168" i="12"/>
  <c r="H181" i="12"/>
  <c r="F169" i="12"/>
  <c r="O134" i="12"/>
  <c r="M134" i="12" s="1"/>
  <c r="O126" i="12"/>
  <c r="M126" i="12" s="1"/>
  <c r="O123" i="12"/>
  <c r="M123" i="12" s="1"/>
  <c r="O130" i="12"/>
  <c r="M130" i="12" s="1"/>
  <c r="O128" i="12"/>
  <c r="M128" i="12" s="1"/>
  <c r="O127" i="12"/>
  <c r="M127" i="12" s="1"/>
  <c r="O133" i="12"/>
  <c r="M133" i="12" s="1"/>
  <c r="O125" i="12"/>
  <c r="M125" i="12" s="1"/>
  <c r="O129" i="12"/>
  <c r="M129" i="12" s="1"/>
  <c r="O124" i="12"/>
  <c r="M124" i="12" s="1"/>
  <c r="O132" i="12"/>
  <c r="M132" i="12" s="1"/>
  <c r="O131" i="12"/>
  <c r="M131" i="12" s="1"/>
  <c r="V177" i="12"/>
  <c r="T177" i="12" s="1"/>
  <c r="V180" i="12"/>
  <c r="T180" i="12" s="1"/>
  <c r="V179" i="12"/>
  <c r="T179" i="12" s="1"/>
  <c r="V178" i="12"/>
  <c r="T178" i="12" s="1"/>
  <c r="V135" i="12"/>
  <c r="T135" i="12" s="1"/>
  <c r="V175" i="12"/>
  <c r="T175" i="12" s="1"/>
  <c r="V134" i="12"/>
  <c r="T134" i="12" s="1"/>
  <c r="V173" i="12"/>
  <c r="T173" i="12" s="1"/>
  <c r="V181" i="12"/>
  <c r="T181" i="12" s="1"/>
  <c r="V176" i="12"/>
  <c r="T176" i="12" s="1"/>
  <c r="V174" i="12"/>
  <c r="T174" i="12" s="1"/>
  <c r="V172" i="12"/>
  <c r="T172" i="12" s="1"/>
  <c r="H192" i="12" l="1"/>
  <c r="F180" i="12"/>
  <c r="H186" i="12"/>
  <c r="F174" i="12"/>
  <c r="H183" i="12"/>
  <c r="F171" i="12"/>
  <c r="H191" i="12"/>
  <c r="F179" i="12"/>
  <c r="H187" i="12"/>
  <c r="F175" i="12"/>
  <c r="H193" i="12"/>
  <c r="F181" i="12"/>
  <c r="H190" i="12"/>
  <c r="F178" i="12"/>
  <c r="H185" i="12"/>
  <c r="F173" i="12"/>
  <c r="H182" i="12"/>
  <c r="F170" i="12"/>
  <c r="H184" i="12"/>
  <c r="F172" i="12"/>
  <c r="H189" i="12"/>
  <c r="F177" i="12"/>
  <c r="O143" i="12"/>
  <c r="M143" i="12" s="1"/>
  <c r="O136" i="12"/>
  <c r="M136" i="12" s="1"/>
  <c r="O137" i="12"/>
  <c r="M137" i="12" s="1"/>
  <c r="O139" i="12"/>
  <c r="M139" i="12" s="1"/>
  <c r="O142" i="12"/>
  <c r="M142" i="12" s="1"/>
  <c r="O138" i="12"/>
  <c r="M138" i="12" s="1"/>
  <c r="O144" i="12"/>
  <c r="M144" i="12" s="1"/>
  <c r="O141" i="12"/>
  <c r="M141" i="12" s="1"/>
  <c r="O145" i="12"/>
  <c r="M145" i="12" s="1"/>
  <c r="O140" i="12"/>
  <c r="M140" i="12" s="1"/>
  <c r="O135" i="12"/>
  <c r="M135" i="12" s="1"/>
  <c r="O146" i="12"/>
  <c r="M146" i="12" s="1"/>
  <c r="V184" i="12"/>
  <c r="T184" i="12" s="1"/>
  <c r="V188" i="12"/>
  <c r="T188" i="12" s="1"/>
  <c r="V185" i="12"/>
  <c r="T185" i="12" s="1"/>
  <c r="V187" i="12"/>
  <c r="T187" i="12" s="1"/>
  <c r="V190" i="12"/>
  <c r="T190" i="12" s="1"/>
  <c r="V192" i="12"/>
  <c r="T192" i="12" s="1"/>
  <c r="V186" i="12"/>
  <c r="T186" i="12" s="1"/>
  <c r="V193" i="12"/>
  <c r="T193" i="12" s="1"/>
  <c r="V146" i="12"/>
  <c r="T146" i="12" s="1"/>
  <c r="V147" i="12"/>
  <c r="T147" i="12" s="1"/>
  <c r="V191" i="12"/>
  <c r="T191" i="12" s="1"/>
  <c r="V189" i="12"/>
  <c r="T189" i="12" s="1"/>
  <c r="H196" i="12" l="1"/>
  <c r="F184" i="12"/>
  <c r="H197" i="12"/>
  <c r="F185" i="12"/>
  <c r="H205" i="12"/>
  <c r="F193" i="12"/>
  <c r="H203" i="12"/>
  <c r="F191" i="12"/>
  <c r="H198" i="12"/>
  <c r="F186" i="12"/>
  <c r="H201" i="12"/>
  <c r="F189" i="12"/>
  <c r="H194" i="12"/>
  <c r="F182" i="12"/>
  <c r="H202" i="12"/>
  <c r="F190" i="12"/>
  <c r="H199" i="12"/>
  <c r="F187" i="12"/>
  <c r="H195" i="12"/>
  <c r="F183" i="12"/>
  <c r="H204" i="12"/>
  <c r="F192" i="12"/>
  <c r="O158" i="12"/>
  <c r="M158" i="12" s="1"/>
  <c r="O152" i="12"/>
  <c r="M152" i="12" s="1"/>
  <c r="O153" i="12"/>
  <c r="M153" i="12" s="1"/>
  <c r="O150" i="12"/>
  <c r="M150" i="12" s="1"/>
  <c r="O151" i="12"/>
  <c r="M151" i="12" s="1"/>
  <c r="O148" i="12"/>
  <c r="M148" i="12" s="1"/>
  <c r="O147" i="12"/>
  <c r="M147" i="12" s="1"/>
  <c r="O157" i="12"/>
  <c r="M157" i="12" s="1"/>
  <c r="O156" i="12"/>
  <c r="M156" i="12" s="1"/>
  <c r="O154" i="12"/>
  <c r="M154" i="12" s="1"/>
  <c r="O149" i="12"/>
  <c r="M149" i="12" s="1"/>
  <c r="O155" i="12"/>
  <c r="M155" i="12" s="1"/>
  <c r="V201" i="12"/>
  <c r="T201" i="12" s="1"/>
  <c r="V159" i="12"/>
  <c r="T159" i="12" s="1"/>
  <c r="V205" i="12"/>
  <c r="T205" i="12" s="1"/>
  <c r="V204" i="12"/>
  <c r="T204" i="12" s="1"/>
  <c r="V199" i="12"/>
  <c r="T199" i="12" s="1"/>
  <c r="V200" i="12"/>
  <c r="T200" i="12" s="1"/>
  <c r="V203" i="12"/>
  <c r="T203" i="12" s="1"/>
  <c r="V158" i="12"/>
  <c r="T158" i="12" s="1"/>
  <c r="V198" i="12"/>
  <c r="T198" i="12" s="1"/>
  <c r="V202" i="12"/>
  <c r="T202" i="12" s="1"/>
  <c r="V197" i="12"/>
  <c r="T197" i="12" s="1"/>
  <c r="V196" i="12"/>
  <c r="T196" i="12" s="1"/>
  <c r="H207" i="12" l="1"/>
  <c r="F195" i="12"/>
  <c r="H214" i="12"/>
  <c r="F202" i="12"/>
  <c r="H213" i="12"/>
  <c r="F201" i="12"/>
  <c r="H215" i="12"/>
  <c r="F203" i="12"/>
  <c r="H209" i="12"/>
  <c r="F197" i="12"/>
  <c r="H216" i="12"/>
  <c r="F204" i="12"/>
  <c r="H211" i="12"/>
  <c r="F199" i="12"/>
  <c r="H206" i="12"/>
  <c r="F194" i="12"/>
  <c r="H210" i="12"/>
  <c r="F198" i="12"/>
  <c r="H217" i="12"/>
  <c r="F205" i="12"/>
  <c r="H208" i="12"/>
  <c r="F196" i="12"/>
  <c r="O167" i="12"/>
  <c r="M167" i="12" s="1"/>
  <c r="O166" i="12"/>
  <c r="M166" i="12" s="1"/>
  <c r="O169" i="12"/>
  <c r="M169" i="12" s="1"/>
  <c r="O160" i="12"/>
  <c r="M160" i="12" s="1"/>
  <c r="O162" i="12"/>
  <c r="M162" i="12" s="1"/>
  <c r="O164" i="12"/>
  <c r="M164" i="12" s="1"/>
  <c r="O161" i="12"/>
  <c r="M161" i="12" s="1"/>
  <c r="O168" i="12"/>
  <c r="M168" i="12" s="1"/>
  <c r="O159" i="12"/>
  <c r="M159" i="12" s="1"/>
  <c r="O163" i="12"/>
  <c r="M163" i="12" s="1"/>
  <c r="O165" i="12"/>
  <c r="M165" i="12" s="1"/>
  <c r="O170" i="12"/>
  <c r="M170" i="12" s="1"/>
  <c r="V214" i="12"/>
  <c r="T214" i="12" s="1"/>
  <c r="V212" i="12"/>
  <c r="T212" i="12" s="1"/>
  <c r="V208" i="12"/>
  <c r="T208" i="12" s="1"/>
  <c r="V170" i="12"/>
  <c r="T170" i="12" s="1"/>
  <c r="V216" i="12"/>
  <c r="T216" i="12" s="1"/>
  <c r="V171" i="12"/>
  <c r="T171" i="12" s="1"/>
  <c r="V209" i="12"/>
  <c r="T209" i="12" s="1"/>
  <c r="V210" i="12"/>
  <c r="T210" i="12" s="1"/>
  <c r="V215" i="12"/>
  <c r="T215" i="12" s="1"/>
  <c r="V211" i="12"/>
  <c r="T211" i="12" s="1"/>
  <c r="V217" i="12"/>
  <c r="T217" i="12" s="1"/>
  <c r="V213" i="12"/>
  <c r="T213" i="12" s="1"/>
  <c r="H229" i="12" l="1"/>
  <c r="F217" i="12"/>
  <c r="H218" i="12"/>
  <c r="F206" i="12"/>
  <c r="H228" i="12"/>
  <c r="F216" i="12"/>
  <c r="H227" i="12"/>
  <c r="F215" i="12"/>
  <c r="H226" i="12"/>
  <c r="F214" i="12"/>
  <c r="H220" i="12"/>
  <c r="F208" i="12"/>
  <c r="H222" i="12"/>
  <c r="F210" i="12"/>
  <c r="H223" i="12"/>
  <c r="F211" i="12"/>
  <c r="H221" i="12"/>
  <c r="F209" i="12"/>
  <c r="H225" i="12"/>
  <c r="F213" i="12"/>
  <c r="H219" i="12"/>
  <c r="F207" i="12"/>
  <c r="O182" i="12"/>
  <c r="M182" i="12" s="1"/>
  <c r="O175" i="12"/>
  <c r="M175" i="12" s="1"/>
  <c r="O180" i="12"/>
  <c r="M180" i="12" s="1"/>
  <c r="O176" i="12"/>
  <c r="M176" i="12" s="1"/>
  <c r="O172" i="12"/>
  <c r="M172" i="12" s="1"/>
  <c r="O178" i="12"/>
  <c r="M178" i="12" s="1"/>
  <c r="O177" i="12"/>
  <c r="M177" i="12" s="1"/>
  <c r="O171" i="12"/>
  <c r="M171" i="12" s="1"/>
  <c r="O173" i="12"/>
  <c r="M173" i="12" s="1"/>
  <c r="O174" i="12"/>
  <c r="M174" i="12" s="1"/>
  <c r="O181" i="12"/>
  <c r="M181" i="12" s="1"/>
  <c r="O179" i="12"/>
  <c r="M179" i="12" s="1"/>
  <c r="V223" i="12"/>
  <c r="T223" i="12" s="1"/>
  <c r="V183" i="12"/>
  <c r="T183" i="12" s="1"/>
  <c r="V182" i="12"/>
  <c r="T182" i="12" s="1"/>
  <c r="V224" i="12"/>
  <c r="T224" i="12" s="1"/>
  <c r="V225" i="12"/>
  <c r="T225" i="12" s="1"/>
  <c r="V222" i="12"/>
  <c r="T222" i="12" s="1"/>
  <c r="V229" i="12"/>
  <c r="T229" i="12" s="1"/>
  <c r="V227" i="12"/>
  <c r="T227" i="12" s="1"/>
  <c r="V221" i="12"/>
  <c r="T221" i="12" s="1"/>
  <c r="V228" i="12"/>
  <c r="T228" i="12" s="1"/>
  <c r="V220" i="12"/>
  <c r="T220" i="12" s="1"/>
  <c r="V226" i="12"/>
  <c r="T226" i="12" s="1"/>
  <c r="H237" i="12" l="1"/>
  <c r="F225" i="12"/>
  <c r="H235" i="12"/>
  <c r="F223" i="12"/>
  <c r="H232" i="12"/>
  <c r="F220" i="12"/>
  <c r="H239" i="12"/>
  <c r="F227" i="12"/>
  <c r="H230" i="12"/>
  <c r="F218" i="12"/>
  <c r="H231" i="12"/>
  <c r="F219" i="12"/>
  <c r="H233" i="12"/>
  <c r="F221" i="12"/>
  <c r="H234" i="12"/>
  <c r="F222" i="12"/>
  <c r="H238" i="12"/>
  <c r="F226" i="12"/>
  <c r="H240" i="12"/>
  <c r="F228" i="12"/>
  <c r="H241" i="12"/>
  <c r="F229" i="12"/>
  <c r="O191" i="12"/>
  <c r="M191" i="12" s="1"/>
  <c r="O186" i="12"/>
  <c r="M186" i="12" s="1"/>
  <c r="O183" i="12"/>
  <c r="M183" i="12" s="1"/>
  <c r="O190" i="12"/>
  <c r="M190" i="12" s="1"/>
  <c r="O188" i="12"/>
  <c r="M188" i="12" s="1"/>
  <c r="O187" i="12"/>
  <c r="M187" i="12" s="1"/>
  <c r="O193" i="12"/>
  <c r="M193" i="12" s="1"/>
  <c r="O185" i="12"/>
  <c r="M185" i="12" s="1"/>
  <c r="O189" i="12"/>
  <c r="M189" i="12" s="1"/>
  <c r="O184" i="12"/>
  <c r="M184" i="12" s="1"/>
  <c r="O192" i="12"/>
  <c r="M192" i="12" s="1"/>
  <c r="O194" i="12"/>
  <c r="M194" i="12" s="1"/>
  <c r="V240" i="12"/>
  <c r="T240" i="12" s="1"/>
  <c r="V239" i="12"/>
  <c r="T239" i="12" s="1"/>
  <c r="V234" i="12"/>
  <c r="T234" i="12" s="1"/>
  <c r="V236" i="12"/>
  <c r="T236" i="12" s="1"/>
  <c r="V195" i="12"/>
  <c r="T195" i="12" s="1"/>
  <c r="V238" i="12"/>
  <c r="T238" i="12" s="1"/>
  <c r="V232" i="12"/>
  <c r="T232" i="12" s="1"/>
  <c r="V233" i="12"/>
  <c r="T233" i="12" s="1"/>
  <c r="V241" i="12"/>
  <c r="T241" i="12" s="1"/>
  <c r="V237" i="12"/>
  <c r="T237" i="12" s="1"/>
  <c r="V194" i="12"/>
  <c r="T194" i="12" s="1"/>
  <c r="V235" i="12"/>
  <c r="T235" i="12" s="1"/>
  <c r="H252" i="12" l="1"/>
  <c r="F240" i="12"/>
  <c r="H246" i="12"/>
  <c r="F234" i="12"/>
  <c r="H243" i="12"/>
  <c r="F231" i="12"/>
  <c r="H251" i="12"/>
  <c r="F239" i="12"/>
  <c r="H247" i="12"/>
  <c r="F235" i="12"/>
  <c r="H253" i="12"/>
  <c r="F241" i="12"/>
  <c r="H250" i="12"/>
  <c r="F238" i="12"/>
  <c r="H245" i="12"/>
  <c r="F233" i="12"/>
  <c r="H242" i="12"/>
  <c r="F230" i="12"/>
  <c r="H244" i="12"/>
  <c r="F232" i="12"/>
  <c r="H249" i="12"/>
  <c r="F237" i="12"/>
  <c r="O202" i="12"/>
  <c r="M202" i="12" s="1"/>
  <c r="O206" i="12"/>
  <c r="M206" i="12" s="1"/>
  <c r="O196" i="12"/>
  <c r="M196" i="12" s="1"/>
  <c r="O197" i="12"/>
  <c r="M197" i="12" s="1"/>
  <c r="O199" i="12"/>
  <c r="M199" i="12" s="1"/>
  <c r="O198" i="12"/>
  <c r="M198" i="12" s="1"/>
  <c r="O204" i="12"/>
  <c r="M204" i="12" s="1"/>
  <c r="O201" i="12"/>
  <c r="M201" i="12" s="1"/>
  <c r="O205" i="12"/>
  <c r="M205" i="12" s="1"/>
  <c r="O200" i="12"/>
  <c r="M200" i="12" s="1"/>
  <c r="O195" i="12"/>
  <c r="M195" i="12" s="1"/>
  <c r="O203" i="12"/>
  <c r="M203" i="12" s="1"/>
  <c r="V249" i="12"/>
  <c r="T249" i="12" s="1"/>
  <c r="V250" i="12"/>
  <c r="T250" i="12" s="1"/>
  <c r="V251" i="12"/>
  <c r="T251" i="12" s="1"/>
  <c r="V247" i="12"/>
  <c r="T247" i="12" s="1"/>
  <c r="V245" i="12"/>
  <c r="T245" i="12" s="1"/>
  <c r="V248" i="12"/>
  <c r="T248" i="12" s="1"/>
  <c r="V206" i="12"/>
  <c r="T206" i="12" s="1"/>
  <c r="V253" i="12"/>
  <c r="T253" i="12" s="1"/>
  <c r="V244" i="12"/>
  <c r="T244" i="12" s="1"/>
  <c r="V207" i="12"/>
  <c r="T207" i="12" s="1"/>
  <c r="V246" i="12"/>
  <c r="T246" i="12" s="1"/>
  <c r="V252" i="12"/>
  <c r="T252" i="12" s="1"/>
  <c r="H256" i="12" l="1"/>
  <c r="F244" i="12"/>
  <c r="H257" i="12"/>
  <c r="F245" i="12"/>
  <c r="H265" i="12"/>
  <c r="F253" i="12"/>
  <c r="H263" i="12"/>
  <c r="F251" i="12"/>
  <c r="H258" i="12"/>
  <c r="F246" i="12"/>
  <c r="H261" i="12"/>
  <c r="F249" i="12"/>
  <c r="H254" i="12"/>
  <c r="F242" i="12"/>
  <c r="H262" i="12"/>
  <c r="F250" i="12"/>
  <c r="H259" i="12"/>
  <c r="F247" i="12"/>
  <c r="H255" i="12"/>
  <c r="F243" i="12"/>
  <c r="H264" i="12"/>
  <c r="F252" i="12"/>
  <c r="O215" i="12"/>
  <c r="M215" i="12" s="1"/>
  <c r="O209" i="12"/>
  <c r="M209" i="12" s="1"/>
  <c r="O212" i="12"/>
  <c r="M212" i="12" s="1"/>
  <c r="O213" i="12"/>
  <c r="M213" i="12" s="1"/>
  <c r="O210" i="12"/>
  <c r="M210" i="12" s="1"/>
  <c r="O218" i="12"/>
  <c r="M218" i="12" s="1"/>
  <c r="O207" i="12"/>
  <c r="M207" i="12" s="1"/>
  <c r="O217" i="12"/>
  <c r="M217" i="12" s="1"/>
  <c r="O216" i="12"/>
  <c r="M216" i="12" s="1"/>
  <c r="O211" i="12"/>
  <c r="M211" i="12" s="1"/>
  <c r="O208" i="12"/>
  <c r="M208" i="12" s="1"/>
  <c r="O214" i="12"/>
  <c r="M214" i="12" s="1"/>
  <c r="V219" i="12"/>
  <c r="T219" i="12" s="1"/>
  <c r="V259" i="12"/>
  <c r="T259" i="12" s="1"/>
  <c r="V264" i="12"/>
  <c r="T264" i="12" s="1"/>
  <c r="V265" i="12"/>
  <c r="T265" i="12" s="1"/>
  <c r="V260" i="12"/>
  <c r="T260" i="12" s="1"/>
  <c r="V262" i="12"/>
  <c r="T262" i="12" s="1"/>
  <c r="V258" i="12"/>
  <c r="T258" i="12" s="1"/>
  <c r="V256" i="12"/>
  <c r="T256" i="12" s="1"/>
  <c r="V218" i="12"/>
  <c r="T218" i="12" s="1"/>
  <c r="V257" i="12"/>
  <c r="T257" i="12" s="1"/>
  <c r="V263" i="12"/>
  <c r="T263" i="12" s="1"/>
  <c r="V261" i="12"/>
  <c r="T261" i="12" s="1"/>
  <c r="H267" i="12" l="1"/>
  <c r="F255" i="12"/>
  <c r="H274" i="12"/>
  <c r="F262" i="12"/>
  <c r="H273" i="12"/>
  <c r="F261" i="12"/>
  <c r="H275" i="12"/>
  <c r="F263" i="12"/>
  <c r="H269" i="12"/>
  <c r="F257" i="12"/>
  <c r="H276" i="12"/>
  <c r="F264" i="12"/>
  <c r="H271" i="12"/>
  <c r="F259" i="12"/>
  <c r="H266" i="12"/>
  <c r="F254" i="12"/>
  <c r="H270" i="12"/>
  <c r="F258" i="12"/>
  <c r="H277" i="12"/>
  <c r="F265" i="12"/>
  <c r="H268" i="12"/>
  <c r="F256" i="12"/>
  <c r="O226" i="12"/>
  <c r="M226" i="12" s="1"/>
  <c r="O223" i="12"/>
  <c r="M223" i="12" s="1"/>
  <c r="O229" i="12"/>
  <c r="M229" i="12" s="1"/>
  <c r="O230" i="12"/>
  <c r="M230" i="12" s="1"/>
  <c r="O225" i="12"/>
  <c r="M225" i="12" s="1"/>
  <c r="O221" i="12"/>
  <c r="M221" i="12" s="1"/>
  <c r="O220" i="12"/>
  <c r="M220" i="12" s="1"/>
  <c r="O228" i="12"/>
  <c r="M228" i="12" s="1"/>
  <c r="O219" i="12"/>
  <c r="M219" i="12" s="1"/>
  <c r="O222" i="12"/>
  <c r="M222" i="12" s="1"/>
  <c r="O224" i="12"/>
  <c r="M224" i="12" s="1"/>
  <c r="O227" i="12"/>
  <c r="M227" i="12" s="1"/>
  <c r="V273" i="12"/>
  <c r="T273" i="12" s="1"/>
  <c r="V268" i="12"/>
  <c r="T268" i="12" s="1"/>
  <c r="V269" i="12"/>
  <c r="T269" i="12" s="1"/>
  <c r="V274" i="12"/>
  <c r="T274" i="12" s="1"/>
  <c r="V277" i="12"/>
  <c r="T277" i="12" s="1"/>
  <c r="V271" i="12"/>
  <c r="T271" i="12" s="1"/>
  <c r="V275" i="12"/>
  <c r="T275" i="12" s="1"/>
  <c r="V230" i="12"/>
  <c r="T230" i="12" s="1"/>
  <c r="V270" i="12"/>
  <c r="T270" i="12" s="1"/>
  <c r="V272" i="12"/>
  <c r="T272" i="12" s="1"/>
  <c r="V276" i="12"/>
  <c r="T276" i="12" s="1"/>
  <c r="V231" i="12"/>
  <c r="T231" i="12" s="1"/>
  <c r="H289" i="12" l="1"/>
  <c r="F277" i="12"/>
  <c r="H278" i="12"/>
  <c r="F266" i="12"/>
  <c r="H288" i="12"/>
  <c r="F276" i="12"/>
  <c r="H287" i="12"/>
  <c r="F275" i="12"/>
  <c r="H286" i="12"/>
  <c r="F274" i="12"/>
  <c r="H280" i="12"/>
  <c r="F268" i="12"/>
  <c r="H282" i="12"/>
  <c r="F270" i="12"/>
  <c r="H283" i="12"/>
  <c r="F271" i="12"/>
  <c r="H281" i="12"/>
  <c r="F269" i="12"/>
  <c r="H285" i="12"/>
  <c r="F273" i="12"/>
  <c r="H279" i="12"/>
  <c r="F267" i="12"/>
  <c r="O234" i="12"/>
  <c r="M234" i="12" s="1"/>
  <c r="O233" i="12"/>
  <c r="M233" i="12" s="1"/>
  <c r="O235" i="12"/>
  <c r="M235" i="12" s="1"/>
  <c r="O239" i="12"/>
  <c r="M239" i="12" s="1"/>
  <c r="O240" i="12"/>
  <c r="M240" i="12" s="1"/>
  <c r="O242" i="12"/>
  <c r="M242" i="12" s="1"/>
  <c r="O236" i="12"/>
  <c r="M236" i="12" s="1"/>
  <c r="O231" i="12"/>
  <c r="M231" i="12" s="1"/>
  <c r="O232" i="12"/>
  <c r="M232" i="12" s="1"/>
  <c r="O237" i="12"/>
  <c r="M237" i="12" s="1"/>
  <c r="O241" i="12"/>
  <c r="M241" i="12" s="1"/>
  <c r="O238" i="12"/>
  <c r="M238" i="12" s="1"/>
  <c r="V284" i="12"/>
  <c r="T284" i="12" s="1"/>
  <c r="V242" i="12"/>
  <c r="T242" i="12" s="1"/>
  <c r="V286" i="12"/>
  <c r="T286" i="12" s="1"/>
  <c r="V243" i="12"/>
  <c r="T243" i="12" s="1"/>
  <c r="V283" i="12"/>
  <c r="T283" i="12" s="1"/>
  <c r="V280" i="12"/>
  <c r="T280" i="12" s="1"/>
  <c r="V288" i="12"/>
  <c r="T288" i="12" s="1"/>
  <c r="V282" i="12"/>
  <c r="T282" i="12" s="1"/>
  <c r="V287" i="12"/>
  <c r="T287" i="12" s="1"/>
  <c r="V289" i="12"/>
  <c r="T289" i="12" s="1"/>
  <c r="V281" i="12"/>
  <c r="T281" i="12" s="1"/>
  <c r="V285" i="12"/>
  <c r="T285" i="12" s="1"/>
  <c r="H297" i="12" l="1"/>
  <c r="F285" i="12"/>
  <c r="H295" i="12"/>
  <c r="F283" i="12"/>
  <c r="H292" i="12"/>
  <c r="F280" i="12"/>
  <c r="H299" i="12"/>
  <c r="F287" i="12"/>
  <c r="H290" i="12"/>
  <c r="F278" i="12"/>
  <c r="H291" i="12"/>
  <c r="F279" i="12"/>
  <c r="H293" i="12"/>
  <c r="F281" i="12"/>
  <c r="H294" i="12"/>
  <c r="F282" i="12"/>
  <c r="H298" i="12"/>
  <c r="F286" i="12"/>
  <c r="H300" i="12"/>
  <c r="F288" i="12"/>
  <c r="H301" i="12"/>
  <c r="F289" i="12"/>
  <c r="O250" i="12"/>
  <c r="M250" i="12" s="1"/>
  <c r="O243" i="12"/>
  <c r="M243" i="12" s="1"/>
  <c r="O251" i="12"/>
  <c r="M251" i="12" s="1"/>
  <c r="O249" i="12"/>
  <c r="M249" i="12" s="1"/>
  <c r="O254" i="12"/>
  <c r="M254" i="12" s="1"/>
  <c r="O245" i="12"/>
  <c r="M245" i="12" s="1"/>
  <c r="O253" i="12"/>
  <c r="M253" i="12" s="1"/>
  <c r="O244" i="12"/>
  <c r="M244" i="12" s="1"/>
  <c r="O248" i="12"/>
  <c r="M248" i="12" s="1"/>
  <c r="O252" i="12"/>
  <c r="M252" i="12" s="1"/>
  <c r="O247" i="12"/>
  <c r="M247" i="12" s="1"/>
  <c r="O246" i="12"/>
  <c r="M246" i="12" s="1"/>
  <c r="V297" i="12"/>
  <c r="T297" i="12" s="1"/>
  <c r="V301" i="12"/>
  <c r="T301" i="12" s="1"/>
  <c r="V292" i="12"/>
  <c r="T292" i="12" s="1"/>
  <c r="V255" i="12"/>
  <c r="T255" i="12" s="1"/>
  <c r="V294" i="12"/>
  <c r="T294" i="12" s="1"/>
  <c r="V254" i="12"/>
  <c r="T254" i="12" s="1"/>
  <c r="V293" i="12"/>
  <c r="T293" i="12" s="1"/>
  <c r="V299" i="12"/>
  <c r="T299" i="12" s="1"/>
  <c r="V300" i="12"/>
  <c r="T300" i="12" s="1"/>
  <c r="V295" i="12"/>
  <c r="T295" i="12" s="1"/>
  <c r="V298" i="12"/>
  <c r="T298" i="12" s="1"/>
  <c r="V296" i="12"/>
  <c r="T296" i="12" s="1"/>
  <c r="H312" i="12" l="1"/>
  <c r="F300" i="12"/>
  <c r="H306" i="12"/>
  <c r="F294" i="12"/>
  <c r="H303" i="12"/>
  <c r="F291" i="12"/>
  <c r="H311" i="12"/>
  <c r="F299" i="12"/>
  <c r="H307" i="12"/>
  <c r="F295" i="12"/>
  <c r="H313" i="12"/>
  <c r="F301" i="12"/>
  <c r="H310" i="12"/>
  <c r="F298" i="12"/>
  <c r="H305" i="12"/>
  <c r="F293" i="12"/>
  <c r="H302" i="12"/>
  <c r="F290" i="12"/>
  <c r="H304" i="12"/>
  <c r="F292" i="12"/>
  <c r="H309" i="12"/>
  <c r="F297" i="12"/>
  <c r="O258" i="12"/>
  <c r="M258" i="12" s="1"/>
  <c r="O257" i="12"/>
  <c r="M257" i="12" s="1"/>
  <c r="O264" i="12"/>
  <c r="M264" i="12" s="1"/>
  <c r="O256" i="12"/>
  <c r="M256" i="12" s="1"/>
  <c r="O261" i="12"/>
  <c r="M261" i="12" s="1"/>
  <c r="O255" i="12"/>
  <c r="M255" i="12" s="1"/>
  <c r="O259" i="12"/>
  <c r="M259" i="12" s="1"/>
  <c r="O260" i="12"/>
  <c r="M260" i="12" s="1"/>
  <c r="O265" i="12"/>
  <c r="M265" i="12" s="1"/>
  <c r="O266" i="12"/>
  <c r="M266" i="12" s="1"/>
  <c r="O263" i="12"/>
  <c r="M263" i="12" s="1"/>
  <c r="O262" i="12"/>
  <c r="M262" i="12" s="1"/>
  <c r="V308" i="12"/>
  <c r="T308" i="12" s="1"/>
  <c r="V307" i="12"/>
  <c r="T307" i="12" s="1"/>
  <c r="V311" i="12"/>
  <c r="T311" i="12" s="1"/>
  <c r="V266" i="12"/>
  <c r="T266" i="12" s="1"/>
  <c r="V267" i="12"/>
  <c r="T267" i="12" s="1"/>
  <c r="V313" i="12"/>
  <c r="T313" i="12" s="1"/>
  <c r="V310" i="12"/>
  <c r="T310" i="12" s="1"/>
  <c r="V312" i="12"/>
  <c r="T312" i="12" s="1"/>
  <c r="V305" i="12"/>
  <c r="T305" i="12" s="1"/>
  <c r="V306" i="12"/>
  <c r="T306" i="12" s="1"/>
  <c r="V304" i="12"/>
  <c r="T304" i="12" s="1"/>
  <c r="V309" i="12"/>
  <c r="T309" i="12" s="1"/>
  <c r="H316" i="12" l="1"/>
  <c r="F304" i="12"/>
  <c r="H317" i="12"/>
  <c r="F305" i="12"/>
  <c r="H325" i="12"/>
  <c r="F313" i="12"/>
  <c r="H323" i="12"/>
  <c r="F311" i="12"/>
  <c r="H318" i="12"/>
  <c r="F306" i="12"/>
  <c r="H321" i="12"/>
  <c r="F309" i="12"/>
  <c r="H314" i="12"/>
  <c r="F302" i="12"/>
  <c r="H322" i="12"/>
  <c r="F310" i="12"/>
  <c r="H319" i="12"/>
  <c r="F307" i="12"/>
  <c r="H315" i="12"/>
  <c r="F303" i="12"/>
  <c r="H324" i="12"/>
  <c r="F312" i="12"/>
  <c r="O274" i="12"/>
  <c r="M274" i="12" s="1"/>
  <c r="O278" i="12"/>
  <c r="M278" i="12" s="1"/>
  <c r="O272" i="12"/>
  <c r="M272" i="12" s="1"/>
  <c r="O267" i="12"/>
  <c r="M267" i="12" s="1"/>
  <c r="O268" i="12"/>
  <c r="M268" i="12" s="1"/>
  <c r="O269" i="12"/>
  <c r="M269" i="12" s="1"/>
  <c r="O275" i="12"/>
  <c r="M275" i="12" s="1"/>
  <c r="O277" i="12"/>
  <c r="M277" i="12" s="1"/>
  <c r="O271" i="12"/>
  <c r="M271" i="12" s="1"/>
  <c r="O273" i="12"/>
  <c r="M273" i="12" s="1"/>
  <c r="O276" i="12"/>
  <c r="M276" i="12" s="1"/>
  <c r="O270" i="12"/>
  <c r="M270" i="12" s="1"/>
  <c r="V321" i="12"/>
  <c r="T321" i="12" s="1"/>
  <c r="V324" i="12"/>
  <c r="T324" i="12" s="1"/>
  <c r="V278" i="12"/>
  <c r="T278" i="12" s="1"/>
  <c r="V319" i="12"/>
  <c r="T319" i="12" s="1"/>
  <c r="V318" i="12"/>
  <c r="T318" i="12" s="1"/>
  <c r="V325" i="12"/>
  <c r="T325" i="12" s="1"/>
  <c r="V316" i="12"/>
  <c r="T316" i="12" s="1"/>
  <c r="V317" i="12"/>
  <c r="T317" i="12" s="1"/>
  <c r="V322" i="12"/>
  <c r="T322" i="12" s="1"/>
  <c r="V279" i="12"/>
  <c r="T279" i="12" s="1"/>
  <c r="V323" i="12"/>
  <c r="T323" i="12" s="1"/>
  <c r="V320" i="12"/>
  <c r="T320" i="12" s="1"/>
  <c r="H327" i="12" l="1"/>
  <c r="F315" i="12"/>
  <c r="H334" i="12"/>
  <c r="F322" i="12"/>
  <c r="H333" i="12"/>
  <c r="F321" i="12"/>
  <c r="H335" i="12"/>
  <c r="F323" i="12"/>
  <c r="H329" i="12"/>
  <c r="F317" i="12"/>
  <c r="H336" i="12"/>
  <c r="F324" i="12"/>
  <c r="H331" i="12"/>
  <c r="F319" i="12"/>
  <c r="H326" i="12"/>
  <c r="F314" i="12"/>
  <c r="H330" i="12"/>
  <c r="F318" i="12"/>
  <c r="H337" i="12"/>
  <c r="F325" i="12"/>
  <c r="H328" i="12"/>
  <c r="F316" i="12"/>
  <c r="O281" i="12"/>
  <c r="M281" i="12" s="1"/>
  <c r="O282" i="12"/>
  <c r="M282" i="12" s="1"/>
  <c r="O285" i="12"/>
  <c r="M285" i="12" s="1"/>
  <c r="O289" i="12"/>
  <c r="M289" i="12" s="1"/>
  <c r="O279" i="12"/>
  <c r="M279" i="12" s="1"/>
  <c r="O290" i="12"/>
  <c r="M290" i="12" s="1"/>
  <c r="O288" i="12"/>
  <c r="M288" i="12" s="1"/>
  <c r="O283" i="12"/>
  <c r="M283" i="12" s="1"/>
  <c r="O287" i="12"/>
  <c r="M287" i="12" s="1"/>
  <c r="O280" i="12"/>
  <c r="M280" i="12" s="1"/>
  <c r="O284" i="12"/>
  <c r="M284" i="12" s="1"/>
  <c r="O286" i="12"/>
  <c r="M286" i="12" s="1"/>
  <c r="V332" i="12"/>
  <c r="T332" i="12" s="1"/>
  <c r="V329" i="12"/>
  <c r="T329" i="12" s="1"/>
  <c r="V291" i="12"/>
  <c r="T291" i="12" s="1"/>
  <c r="V337" i="12"/>
  <c r="T337" i="12" s="1"/>
  <c r="V331" i="12"/>
  <c r="T331" i="12" s="1"/>
  <c r="V336" i="12"/>
  <c r="T336" i="12" s="1"/>
  <c r="V335" i="12"/>
  <c r="T335" i="12" s="1"/>
  <c r="V334" i="12"/>
  <c r="T334" i="12" s="1"/>
  <c r="V328" i="12"/>
  <c r="T328" i="12" s="1"/>
  <c r="V330" i="12"/>
  <c r="T330" i="12" s="1"/>
  <c r="V290" i="12"/>
  <c r="T290" i="12" s="1"/>
  <c r="V333" i="12"/>
  <c r="T333" i="12" s="1"/>
  <c r="H349" i="12" l="1"/>
  <c r="F337" i="12"/>
  <c r="H338" i="12"/>
  <c r="F326" i="12"/>
  <c r="H348" i="12"/>
  <c r="F336" i="12"/>
  <c r="H347" i="12"/>
  <c r="F335" i="12"/>
  <c r="H346" i="12"/>
  <c r="F334" i="12"/>
  <c r="H340" i="12"/>
  <c r="F328" i="12"/>
  <c r="H342" i="12"/>
  <c r="F330" i="12"/>
  <c r="H343" i="12"/>
  <c r="F331" i="12"/>
  <c r="H341" i="12"/>
  <c r="F329" i="12"/>
  <c r="H345" i="12"/>
  <c r="F333" i="12"/>
  <c r="H339" i="12"/>
  <c r="F327" i="12"/>
  <c r="O292" i="12"/>
  <c r="M292" i="12" s="1"/>
  <c r="O302" i="12"/>
  <c r="M302" i="12" s="1"/>
  <c r="O298" i="12"/>
  <c r="M298" i="12" s="1"/>
  <c r="O295" i="12"/>
  <c r="M295" i="12" s="1"/>
  <c r="O301" i="12"/>
  <c r="M301" i="12" s="1"/>
  <c r="O294" i="12"/>
  <c r="M294" i="12" s="1"/>
  <c r="O296" i="12"/>
  <c r="M296" i="12" s="1"/>
  <c r="O299" i="12"/>
  <c r="M299" i="12" s="1"/>
  <c r="O300" i="12"/>
  <c r="M300" i="12" s="1"/>
  <c r="O291" i="12"/>
  <c r="M291" i="12" s="1"/>
  <c r="O297" i="12"/>
  <c r="M297" i="12" s="1"/>
  <c r="O293" i="12"/>
  <c r="M293" i="12" s="1"/>
  <c r="V342" i="12"/>
  <c r="T342" i="12" s="1"/>
  <c r="V348" i="12"/>
  <c r="T348" i="12" s="1"/>
  <c r="V341" i="12"/>
  <c r="T341" i="12" s="1"/>
  <c r="V345" i="12"/>
  <c r="T345" i="12" s="1"/>
  <c r="V346" i="12"/>
  <c r="T346" i="12" s="1"/>
  <c r="V349" i="12"/>
  <c r="T349" i="12" s="1"/>
  <c r="V302" i="12"/>
  <c r="T302" i="12" s="1"/>
  <c r="V340" i="12"/>
  <c r="T340" i="12" s="1"/>
  <c r="V347" i="12"/>
  <c r="T347" i="12" s="1"/>
  <c r="V343" i="12"/>
  <c r="T343" i="12" s="1"/>
  <c r="V303" i="12"/>
  <c r="T303" i="12" s="1"/>
  <c r="V344" i="12"/>
  <c r="T344" i="12" s="1"/>
  <c r="H357" i="12" l="1"/>
  <c r="F345" i="12"/>
  <c r="H355" i="12"/>
  <c r="F343" i="12"/>
  <c r="H352" i="12"/>
  <c r="F340" i="12"/>
  <c r="H359" i="12"/>
  <c r="F347" i="12"/>
  <c r="H350" i="12"/>
  <c r="F338" i="12"/>
  <c r="H351" i="12"/>
  <c r="F339" i="12"/>
  <c r="H353" i="12"/>
  <c r="F341" i="12"/>
  <c r="H354" i="12"/>
  <c r="F342" i="12"/>
  <c r="H358" i="12"/>
  <c r="F346" i="12"/>
  <c r="H360" i="12"/>
  <c r="F348" i="12"/>
  <c r="H361" i="12"/>
  <c r="F349" i="12"/>
  <c r="O311" i="12"/>
  <c r="M311" i="12" s="1"/>
  <c r="O305" i="12"/>
  <c r="M305" i="12" s="1"/>
  <c r="O303" i="12"/>
  <c r="M303" i="12" s="1"/>
  <c r="O306" i="12"/>
  <c r="M306" i="12" s="1"/>
  <c r="O307" i="12"/>
  <c r="M307" i="12" s="1"/>
  <c r="O314" i="12"/>
  <c r="M314" i="12" s="1"/>
  <c r="O309" i="12"/>
  <c r="M309" i="12" s="1"/>
  <c r="O312" i="12"/>
  <c r="M312" i="12" s="1"/>
  <c r="O308" i="12"/>
  <c r="M308" i="12" s="1"/>
  <c r="O313" i="12"/>
  <c r="M313" i="12" s="1"/>
  <c r="O310" i="12"/>
  <c r="M310" i="12" s="1"/>
  <c r="O304" i="12"/>
  <c r="M304" i="12" s="1"/>
  <c r="V356" i="12"/>
  <c r="T356" i="12" s="1"/>
  <c r="V355" i="12"/>
  <c r="T355" i="12" s="1"/>
  <c r="V352" i="12"/>
  <c r="T352" i="12" s="1"/>
  <c r="V361" i="12"/>
  <c r="T361" i="12" s="1"/>
  <c r="V357" i="12"/>
  <c r="T357" i="12" s="1"/>
  <c r="V360" i="12"/>
  <c r="T360" i="12" s="1"/>
  <c r="V315" i="12"/>
  <c r="T315" i="12" s="1"/>
  <c r="V359" i="12"/>
  <c r="T359" i="12" s="1"/>
  <c r="V314" i="12"/>
  <c r="T314" i="12" s="1"/>
  <c r="V358" i="12"/>
  <c r="T358" i="12" s="1"/>
  <c r="V353" i="12"/>
  <c r="T353" i="12" s="1"/>
  <c r="V354" i="12"/>
  <c r="T354" i="12" s="1"/>
  <c r="H372" i="12" l="1"/>
  <c r="F360" i="12"/>
  <c r="H366" i="12"/>
  <c r="F354" i="12"/>
  <c r="H363" i="12"/>
  <c r="F351" i="12"/>
  <c r="H371" i="12"/>
  <c r="F359" i="12"/>
  <c r="H367" i="12"/>
  <c r="F355" i="12"/>
  <c r="H373" i="12"/>
  <c r="F361" i="12"/>
  <c r="H370" i="12"/>
  <c r="F358" i="12"/>
  <c r="H365" i="12"/>
  <c r="F353" i="12"/>
  <c r="H362" i="12"/>
  <c r="F350" i="12"/>
  <c r="H364" i="12"/>
  <c r="F352" i="12"/>
  <c r="H369" i="12"/>
  <c r="F357" i="12"/>
  <c r="O316" i="12"/>
  <c r="M316" i="12" s="1"/>
  <c r="O324" i="12"/>
  <c r="M324" i="12" s="1"/>
  <c r="O326" i="12"/>
  <c r="M326" i="12" s="1"/>
  <c r="O318" i="12"/>
  <c r="M318" i="12" s="1"/>
  <c r="O317" i="12"/>
  <c r="M317" i="12" s="1"/>
  <c r="O325" i="12"/>
  <c r="M325" i="12" s="1"/>
  <c r="O322" i="12"/>
  <c r="M322" i="12" s="1"/>
  <c r="O320" i="12"/>
  <c r="M320" i="12" s="1"/>
  <c r="O321" i="12"/>
  <c r="M321" i="12" s="1"/>
  <c r="O319" i="12"/>
  <c r="M319" i="12" s="1"/>
  <c r="O315" i="12"/>
  <c r="M315" i="12" s="1"/>
  <c r="O323" i="12"/>
  <c r="M323" i="12" s="1"/>
  <c r="V366" i="12"/>
  <c r="T366" i="12" s="1"/>
  <c r="V370" i="12"/>
  <c r="T370" i="12" s="1"/>
  <c r="V371" i="12"/>
  <c r="T371" i="12" s="1"/>
  <c r="V372" i="12"/>
  <c r="T372" i="12" s="1"/>
  <c r="V373" i="12"/>
  <c r="T373" i="12" s="1"/>
  <c r="V367" i="12"/>
  <c r="T367" i="12" s="1"/>
  <c r="V365" i="12"/>
  <c r="T365" i="12" s="1"/>
  <c r="V326" i="12"/>
  <c r="T326" i="12" s="1"/>
  <c r="V327" i="12"/>
  <c r="T327" i="12" s="1"/>
  <c r="V369" i="12"/>
  <c r="T369" i="12" s="1"/>
  <c r="V364" i="12"/>
  <c r="T364" i="12" s="1"/>
  <c r="V368" i="12"/>
  <c r="T368" i="12" s="1"/>
  <c r="H376" i="12" l="1"/>
  <c r="F364" i="12"/>
  <c r="H377" i="12"/>
  <c r="F365" i="12"/>
  <c r="H385" i="12"/>
  <c r="F373" i="12"/>
  <c r="H383" i="12"/>
  <c r="F371" i="12"/>
  <c r="H378" i="12"/>
  <c r="F366" i="12"/>
  <c r="H381" i="12"/>
  <c r="F369" i="12"/>
  <c r="H374" i="12"/>
  <c r="F362" i="12"/>
  <c r="H382" i="12"/>
  <c r="F370" i="12"/>
  <c r="H379" i="12"/>
  <c r="F367" i="12"/>
  <c r="H375" i="12"/>
  <c r="F363" i="12"/>
  <c r="H384" i="12"/>
  <c r="F372" i="12"/>
  <c r="O335" i="12"/>
  <c r="M335" i="12" s="1"/>
  <c r="O331" i="12"/>
  <c r="M331" i="12" s="1"/>
  <c r="O332" i="12"/>
  <c r="M332" i="12" s="1"/>
  <c r="O337" i="12"/>
  <c r="M337" i="12" s="1"/>
  <c r="O330" i="12"/>
  <c r="M330" i="12" s="1"/>
  <c r="O336" i="12"/>
  <c r="M336" i="12" s="1"/>
  <c r="O327" i="12"/>
  <c r="M327" i="12" s="1"/>
  <c r="O333" i="12"/>
  <c r="M333" i="12" s="1"/>
  <c r="O334" i="12"/>
  <c r="M334" i="12" s="1"/>
  <c r="O329" i="12"/>
  <c r="M329" i="12" s="1"/>
  <c r="O338" i="12"/>
  <c r="M338" i="12" s="1"/>
  <c r="O328" i="12"/>
  <c r="M328" i="12" s="1"/>
  <c r="V381" i="12"/>
  <c r="T381" i="12" s="1"/>
  <c r="V382" i="12"/>
  <c r="T382" i="12" s="1"/>
  <c r="V379" i="12"/>
  <c r="T379" i="12" s="1"/>
  <c r="V380" i="12"/>
  <c r="T380" i="12" s="1"/>
  <c r="V338" i="12"/>
  <c r="T338" i="12" s="1"/>
  <c r="V384" i="12"/>
  <c r="T384" i="12" s="1"/>
  <c r="V376" i="12"/>
  <c r="T376" i="12" s="1"/>
  <c r="V339" i="12"/>
  <c r="T339" i="12" s="1"/>
  <c r="V377" i="12"/>
  <c r="T377" i="12" s="1"/>
  <c r="V385" i="12"/>
  <c r="T385" i="12" s="1"/>
  <c r="V383" i="12"/>
  <c r="T383" i="12" s="1"/>
  <c r="V378" i="12"/>
  <c r="T378" i="12" s="1"/>
  <c r="H387" i="12" l="1"/>
  <c r="F375" i="12"/>
  <c r="H394" i="12"/>
  <c r="F382" i="12"/>
  <c r="H393" i="12"/>
  <c r="F381" i="12"/>
  <c r="H395" i="12"/>
  <c r="F383" i="12"/>
  <c r="H389" i="12"/>
  <c r="F377" i="12"/>
  <c r="H396" i="12"/>
  <c r="F384" i="12"/>
  <c r="H391" i="12"/>
  <c r="F379" i="12"/>
  <c r="H386" i="12"/>
  <c r="F374" i="12"/>
  <c r="H390" i="12"/>
  <c r="F378" i="12"/>
  <c r="H397" i="12"/>
  <c r="F385" i="12"/>
  <c r="H388" i="12"/>
  <c r="F376" i="12"/>
  <c r="O340" i="12"/>
  <c r="M340" i="12" s="1"/>
  <c r="O341" i="12"/>
  <c r="M341" i="12" s="1"/>
  <c r="O345" i="12"/>
  <c r="M345" i="12" s="1"/>
  <c r="O348" i="12"/>
  <c r="M348" i="12" s="1"/>
  <c r="O349" i="12"/>
  <c r="M349" i="12" s="1"/>
  <c r="O343" i="12"/>
  <c r="M343" i="12" s="1"/>
  <c r="O350" i="12"/>
  <c r="M350" i="12" s="1"/>
  <c r="O346" i="12"/>
  <c r="M346" i="12" s="1"/>
  <c r="O339" i="12"/>
  <c r="M339" i="12" s="1"/>
  <c r="O342" i="12"/>
  <c r="M342" i="12" s="1"/>
  <c r="O344" i="12"/>
  <c r="M344" i="12" s="1"/>
  <c r="O347" i="12"/>
  <c r="M347" i="12" s="1"/>
  <c r="V390" i="12"/>
  <c r="T390" i="12" s="1"/>
  <c r="V397" i="12"/>
  <c r="T397" i="12" s="1"/>
  <c r="V351" i="12"/>
  <c r="T351" i="12" s="1"/>
  <c r="V396" i="12"/>
  <c r="T396" i="12" s="1"/>
  <c r="V392" i="12"/>
  <c r="T392" i="12" s="1"/>
  <c r="V394" i="12"/>
  <c r="T394" i="12" s="1"/>
  <c r="V395" i="12"/>
  <c r="T395" i="12" s="1"/>
  <c r="V389" i="12"/>
  <c r="T389" i="12" s="1"/>
  <c r="V388" i="12"/>
  <c r="T388" i="12" s="1"/>
  <c r="V350" i="12"/>
  <c r="T350" i="12" s="1"/>
  <c r="V391" i="12"/>
  <c r="T391" i="12" s="1"/>
  <c r="V393" i="12"/>
  <c r="T393" i="12" s="1"/>
  <c r="H409" i="12" l="1"/>
  <c r="F397" i="12"/>
  <c r="H398" i="12"/>
  <c r="F386" i="12"/>
  <c r="H408" i="12"/>
  <c r="F396" i="12"/>
  <c r="H407" i="12"/>
  <c r="F395" i="12"/>
  <c r="H406" i="12"/>
  <c r="F394" i="12"/>
  <c r="H400" i="12"/>
  <c r="F388" i="12"/>
  <c r="H402" i="12"/>
  <c r="F390" i="12"/>
  <c r="H403" i="12"/>
  <c r="F391" i="12"/>
  <c r="H401" i="12"/>
  <c r="F389" i="12"/>
  <c r="H405" i="12"/>
  <c r="F393" i="12"/>
  <c r="H399" i="12"/>
  <c r="F387" i="12"/>
  <c r="O359" i="12"/>
  <c r="M359" i="12" s="1"/>
  <c r="O354" i="12"/>
  <c r="M354" i="12" s="1"/>
  <c r="O358" i="12"/>
  <c r="M358" i="12" s="1"/>
  <c r="O355" i="12"/>
  <c r="M355" i="12" s="1"/>
  <c r="O360" i="12"/>
  <c r="M360" i="12" s="1"/>
  <c r="O353" i="12"/>
  <c r="M353" i="12" s="1"/>
  <c r="O356" i="12"/>
  <c r="M356" i="12" s="1"/>
  <c r="O351" i="12"/>
  <c r="M351" i="12" s="1"/>
  <c r="O362" i="12"/>
  <c r="M362" i="12" s="1"/>
  <c r="O361" i="12"/>
  <c r="M361" i="12" s="1"/>
  <c r="O357" i="12"/>
  <c r="M357" i="12" s="1"/>
  <c r="O352" i="12"/>
  <c r="M352" i="12" s="1"/>
  <c r="V405" i="12"/>
  <c r="T405" i="12" s="1"/>
  <c r="V362" i="12"/>
  <c r="T362" i="12" s="1"/>
  <c r="V401" i="12"/>
  <c r="T401" i="12" s="1"/>
  <c r="V406" i="12"/>
  <c r="T406" i="12" s="1"/>
  <c r="V408" i="12"/>
  <c r="T408" i="12" s="1"/>
  <c r="V409" i="12"/>
  <c r="T409" i="12" s="1"/>
  <c r="V403" i="12"/>
  <c r="T403" i="12" s="1"/>
  <c r="V400" i="12"/>
  <c r="T400" i="12" s="1"/>
  <c r="V407" i="12"/>
  <c r="T407" i="12" s="1"/>
  <c r="V404" i="12"/>
  <c r="T404" i="12" s="1"/>
  <c r="V363" i="12"/>
  <c r="T363" i="12" s="1"/>
  <c r="V402" i="12"/>
  <c r="T402" i="12" s="1"/>
  <c r="H417" i="12" l="1"/>
  <c r="F405" i="12"/>
  <c r="H415" i="12"/>
  <c r="F403" i="12"/>
  <c r="H412" i="12"/>
  <c r="F400" i="12"/>
  <c r="H419" i="12"/>
  <c r="F407" i="12"/>
  <c r="H410" i="12"/>
  <c r="F398" i="12"/>
  <c r="H411" i="12"/>
  <c r="F399" i="12"/>
  <c r="H413" i="12"/>
  <c r="F401" i="12"/>
  <c r="H414" i="12"/>
  <c r="F402" i="12"/>
  <c r="H418" i="12"/>
  <c r="F406" i="12"/>
  <c r="H420" i="12"/>
  <c r="F408" i="12"/>
  <c r="H421" i="12"/>
  <c r="F409" i="12"/>
  <c r="O364" i="12"/>
  <c r="M364" i="12" s="1"/>
  <c r="O373" i="12"/>
  <c r="M373" i="12" s="1"/>
  <c r="O363" i="12"/>
  <c r="M363" i="12" s="1"/>
  <c r="O365" i="12"/>
  <c r="M365" i="12" s="1"/>
  <c r="O367" i="12"/>
  <c r="M367" i="12" s="1"/>
  <c r="O366" i="12"/>
  <c r="M366" i="12" s="1"/>
  <c r="O369" i="12"/>
  <c r="M369" i="12" s="1"/>
  <c r="O374" i="12"/>
  <c r="M374" i="12" s="1"/>
  <c r="O368" i="12"/>
  <c r="M368" i="12" s="1"/>
  <c r="O372" i="12"/>
  <c r="M372" i="12" s="1"/>
  <c r="O370" i="12"/>
  <c r="M370" i="12" s="1"/>
  <c r="O371" i="12"/>
  <c r="M371" i="12" s="1"/>
  <c r="V416" i="12"/>
  <c r="T416" i="12" s="1"/>
  <c r="V421" i="12"/>
  <c r="T421" i="12" s="1"/>
  <c r="V418" i="12"/>
  <c r="T418" i="12" s="1"/>
  <c r="V374" i="12"/>
  <c r="T374" i="12" s="1"/>
  <c r="V412" i="12"/>
  <c r="T412" i="12" s="1"/>
  <c r="V414" i="12"/>
  <c r="T414" i="12" s="1"/>
  <c r="V375" i="12"/>
  <c r="T375" i="12" s="1"/>
  <c r="V419" i="12"/>
  <c r="T419" i="12" s="1"/>
  <c r="V415" i="12"/>
  <c r="T415" i="12" s="1"/>
  <c r="V420" i="12"/>
  <c r="T420" i="12" s="1"/>
  <c r="V413" i="12"/>
  <c r="T413" i="12" s="1"/>
  <c r="V417" i="12"/>
  <c r="T417" i="12" s="1"/>
  <c r="H432" i="12" l="1"/>
  <c r="F420" i="12"/>
  <c r="H426" i="12"/>
  <c r="F414" i="12"/>
  <c r="H423" i="12"/>
  <c r="F411" i="12"/>
  <c r="H431" i="12"/>
  <c r="F419" i="12"/>
  <c r="H427" i="12"/>
  <c r="F415" i="12"/>
  <c r="H433" i="12"/>
  <c r="F421" i="12"/>
  <c r="H430" i="12"/>
  <c r="F418" i="12"/>
  <c r="H425" i="12"/>
  <c r="F413" i="12"/>
  <c r="H422" i="12"/>
  <c r="F410" i="12"/>
  <c r="H424" i="12"/>
  <c r="F412" i="12"/>
  <c r="H429" i="12"/>
  <c r="F417" i="12"/>
  <c r="O383" i="12"/>
  <c r="M383" i="12" s="1"/>
  <c r="O384" i="12"/>
  <c r="M384" i="12" s="1"/>
  <c r="O386" i="12"/>
  <c r="M386" i="12" s="1"/>
  <c r="O378" i="12"/>
  <c r="M378" i="12" s="1"/>
  <c r="O377" i="12"/>
  <c r="M377" i="12" s="1"/>
  <c r="O385" i="12"/>
  <c r="M385" i="12" s="1"/>
  <c r="O382" i="12"/>
  <c r="M382" i="12" s="1"/>
  <c r="O380" i="12"/>
  <c r="M380" i="12" s="1"/>
  <c r="O381" i="12"/>
  <c r="M381" i="12" s="1"/>
  <c r="O379" i="12"/>
  <c r="M379" i="12" s="1"/>
  <c r="O375" i="12"/>
  <c r="M375" i="12" s="1"/>
  <c r="O376" i="12"/>
  <c r="M376" i="12" s="1"/>
  <c r="V429" i="12"/>
  <c r="T429" i="12" s="1"/>
  <c r="V432" i="12"/>
  <c r="T432" i="12" s="1"/>
  <c r="V431" i="12"/>
  <c r="T431" i="12" s="1"/>
  <c r="V426" i="12"/>
  <c r="T426" i="12" s="1"/>
  <c r="V386" i="12"/>
  <c r="T386" i="12" s="1"/>
  <c r="V433" i="12"/>
  <c r="T433" i="12" s="1"/>
  <c r="V425" i="12"/>
  <c r="T425" i="12" s="1"/>
  <c r="V427" i="12"/>
  <c r="T427" i="12" s="1"/>
  <c r="V387" i="12"/>
  <c r="T387" i="12" s="1"/>
  <c r="V424" i="12"/>
  <c r="T424" i="12" s="1"/>
  <c r="V430" i="12"/>
  <c r="T430" i="12" s="1"/>
  <c r="V428" i="12"/>
  <c r="T428" i="12" s="1"/>
  <c r="H436" i="12" l="1"/>
  <c r="F424" i="12"/>
  <c r="H437" i="12"/>
  <c r="F425" i="12"/>
  <c r="H445" i="12"/>
  <c r="F433" i="12"/>
  <c r="H443" i="12"/>
  <c r="F431" i="12"/>
  <c r="H438" i="12"/>
  <c r="F426" i="12"/>
  <c r="H441" i="12"/>
  <c r="F429" i="12"/>
  <c r="H434" i="12"/>
  <c r="F422" i="12"/>
  <c r="H442" i="12"/>
  <c r="F430" i="12"/>
  <c r="H439" i="12"/>
  <c r="F427" i="12"/>
  <c r="H435" i="12"/>
  <c r="F423" i="12"/>
  <c r="H444" i="12"/>
  <c r="F432" i="12"/>
  <c r="O388" i="12"/>
  <c r="M388" i="12" s="1"/>
  <c r="O391" i="12"/>
  <c r="M391" i="12" s="1"/>
  <c r="O392" i="12"/>
  <c r="M392" i="12" s="1"/>
  <c r="O397" i="12"/>
  <c r="M397" i="12" s="1"/>
  <c r="O390" i="12"/>
  <c r="M390" i="12" s="1"/>
  <c r="O396" i="12"/>
  <c r="M396" i="12" s="1"/>
  <c r="O387" i="12"/>
  <c r="M387" i="12" s="1"/>
  <c r="O393" i="12"/>
  <c r="M393" i="12" s="1"/>
  <c r="O394" i="12"/>
  <c r="M394" i="12" s="1"/>
  <c r="O389" i="12"/>
  <c r="M389" i="12" s="1"/>
  <c r="O398" i="12"/>
  <c r="M398" i="12" s="1"/>
  <c r="O395" i="12"/>
  <c r="M395" i="12" s="1"/>
  <c r="V440" i="12"/>
  <c r="T440" i="12" s="1"/>
  <c r="V436" i="12"/>
  <c r="T436" i="12" s="1"/>
  <c r="V439" i="12"/>
  <c r="T439" i="12" s="1"/>
  <c r="V445" i="12"/>
  <c r="T445" i="12" s="1"/>
  <c r="V438" i="12"/>
  <c r="T438" i="12" s="1"/>
  <c r="V444" i="12"/>
  <c r="T444" i="12" s="1"/>
  <c r="V442" i="12"/>
  <c r="T442" i="12" s="1"/>
  <c r="V399" i="12"/>
  <c r="T399" i="12" s="1"/>
  <c r="V437" i="12"/>
  <c r="T437" i="12" s="1"/>
  <c r="V398" i="12"/>
  <c r="T398" i="12" s="1"/>
  <c r="V443" i="12"/>
  <c r="T443" i="12" s="1"/>
  <c r="V441" i="12"/>
  <c r="T441" i="12" s="1"/>
  <c r="H447" i="12" l="1"/>
  <c r="F435" i="12"/>
  <c r="H454" i="12"/>
  <c r="F442" i="12"/>
  <c r="H453" i="12"/>
  <c r="F441" i="12"/>
  <c r="H455" i="12"/>
  <c r="F443" i="12"/>
  <c r="H449" i="12"/>
  <c r="F437" i="12"/>
  <c r="H456" i="12"/>
  <c r="F444" i="12"/>
  <c r="H451" i="12"/>
  <c r="F439" i="12"/>
  <c r="H446" i="12"/>
  <c r="F434" i="12"/>
  <c r="H450" i="12"/>
  <c r="F438" i="12"/>
  <c r="H457" i="12"/>
  <c r="F445" i="12"/>
  <c r="H448" i="12"/>
  <c r="F436" i="12"/>
  <c r="O407" i="12"/>
  <c r="M407" i="12" s="1"/>
  <c r="O401" i="12"/>
  <c r="M401" i="12" s="1"/>
  <c r="O405" i="12"/>
  <c r="M405" i="12" s="1"/>
  <c r="O408" i="12"/>
  <c r="M408" i="12" s="1"/>
  <c r="O409" i="12"/>
  <c r="M409" i="12" s="1"/>
  <c r="O403" i="12"/>
  <c r="M403" i="12" s="1"/>
  <c r="O410" i="12"/>
  <c r="M410" i="12" s="1"/>
  <c r="O406" i="12"/>
  <c r="M406" i="12" s="1"/>
  <c r="O399" i="12"/>
  <c r="M399" i="12" s="1"/>
  <c r="O402" i="12"/>
  <c r="M402" i="12" s="1"/>
  <c r="O404" i="12"/>
  <c r="M404" i="12" s="1"/>
  <c r="O400" i="12"/>
  <c r="M400" i="12" s="1"/>
  <c r="V453" i="12"/>
  <c r="T453" i="12" s="1"/>
  <c r="V410" i="12"/>
  <c r="T410" i="12" s="1"/>
  <c r="V411" i="12"/>
  <c r="T411" i="12" s="1"/>
  <c r="V456" i="12"/>
  <c r="T456" i="12" s="1"/>
  <c r="V457" i="12"/>
  <c r="T457" i="12" s="1"/>
  <c r="V448" i="12"/>
  <c r="T448" i="12" s="1"/>
  <c r="V455" i="12"/>
  <c r="T455" i="12" s="1"/>
  <c r="V449" i="12"/>
  <c r="T449" i="12" s="1"/>
  <c r="V454" i="12"/>
  <c r="T454" i="12" s="1"/>
  <c r="V450" i="12"/>
  <c r="T450" i="12" s="1"/>
  <c r="V451" i="12"/>
  <c r="T451" i="12" s="1"/>
  <c r="V452" i="12"/>
  <c r="T452" i="12" s="1"/>
  <c r="H469" i="12" l="1"/>
  <c r="F457" i="12"/>
  <c r="H458" i="12"/>
  <c r="F446" i="12"/>
  <c r="H468" i="12"/>
  <c r="F456" i="12"/>
  <c r="H467" i="12"/>
  <c r="F455" i="12"/>
  <c r="H466" i="12"/>
  <c r="F454" i="12"/>
  <c r="H460" i="12"/>
  <c r="F448" i="12"/>
  <c r="H462" i="12"/>
  <c r="F450" i="12"/>
  <c r="H463" i="12"/>
  <c r="F451" i="12"/>
  <c r="H461" i="12"/>
  <c r="F449" i="12"/>
  <c r="H465" i="12"/>
  <c r="F453" i="12"/>
  <c r="H459" i="12"/>
  <c r="F447" i="12"/>
  <c r="O412" i="12"/>
  <c r="M412" i="12" s="1"/>
  <c r="O414" i="12"/>
  <c r="M414" i="12" s="1"/>
  <c r="O418" i="12"/>
  <c r="M418" i="12" s="1"/>
  <c r="O415" i="12"/>
  <c r="M415" i="12" s="1"/>
  <c r="O420" i="12"/>
  <c r="M420" i="12" s="1"/>
  <c r="O413" i="12"/>
  <c r="M413" i="12" s="1"/>
  <c r="O416" i="12"/>
  <c r="M416" i="12" s="1"/>
  <c r="O411" i="12"/>
  <c r="M411" i="12" s="1"/>
  <c r="O422" i="12"/>
  <c r="M422" i="12" s="1"/>
  <c r="O421" i="12"/>
  <c r="M421" i="12" s="1"/>
  <c r="O417" i="12"/>
  <c r="M417" i="12" s="1"/>
  <c r="O419" i="12"/>
  <c r="M419" i="12" s="1"/>
  <c r="V464" i="12"/>
  <c r="T464" i="12" s="1"/>
  <c r="V462" i="12"/>
  <c r="T462" i="12" s="1"/>
  <c r="V461" i="12"/>
  <c r="T461" i="12" s="1"/>
  <c r="V460" i="12"/>
  <c r="T460" i="12" s="1"/>
  <c r="V468" i="12"/>
  <c r="T468" i="12" s="1"/>
  <c r="V422" i="12"/>
  <c r="T422" i="12" s="1"/>
  <c r="V463" i="12"/>
  <c r="T463" i="12" s="1"/>
  <c r="V466" i="12"/>
  <c r="T466" i="12" s="1"/>
  <c r="V467" i="12"/>
  <c r="T467" i="12" s="1"/>
  <c r="V469" i="12"/>
  <c r="T469" i="12" s="1"/>
  <c r="V423" i="12"/>
  <c r="T423" i="12" s="1"/>
  <c r="V465" i="12"/>
  <c r="T465" i="12" s="1"/>
  <c r="H477" i="12" l="1"/>
  <c r="F465" i="12"/>
  <c r="H475" i="12"/>
  <c r="F463" i="12"/>
  <c r="H472" i="12"/>
  <c r="F460" i="12"/>
  <c r="H479" i="12"/>
  <c r="F467" i="12"/>
  <c r="H470" i="12"/>
  <c r="F458" i="12"/>
  <c r="H471" i="12"/>
  <c r="F459" i="12"/>
  <c r="H473" i="12"/>
  <c r="F461" i="12"/>
  <c r="H474" i="12"/>
  <c r="F462" i="12"/>
  <c r="H478" i="12"/>
  <c r="F466" i="12"/>
  <c r="H480" i="12"/>
  <c r="F468" i="12"/>
  <c r="H481" i="12"/>
  <c r="F469" i="12"/>
  <c r="O431" i="12"/>
  <c r="M431" i="12" s="1"/>
  <c r="O433" i="12"/>
  <c r="M433" i="12" s="1"/>
  <c r="O423" i="12"/>
  <c r="M423" i="12" s="1"/>
  <c r="O425" i="12"/>
  <c r="M425" i="12" s="1"/>
  <c r="O427" i="12"/>
  <c r="M427" i="12" s="1"/>
  <c r="O426" i="12"/>
  <c r="M426" i="12" s="1"/>
  <c r="O429" i="12"/>
  <c r="M429" i="12" s="1"/>
  <c r="O434" i="12"/>
  <c r="M434" i="12" s="1"/>
  <c r="O428" i="12"/>
  <c r="M428" i="12" s="1"/>
  <c r="O432" i="12"/>
  <c r="M432" i="12" s="1"/>
  <c r="O430" i="12"/>
  <c r="M430" i="12" s="1"/>
  <c r="O424" i="12"/>
  <c r="M424" i="12" s="1"/>
  <c r="V477" i="12"/>
  <c r="T477" i="12" s="1"/>
  <c r="V481" i="12"/>
  <c r="T481" i="12" s="1"/>
  <c r="V478" i="12"/>
  <c r="T478" i="12" s="1"/>
  <c r="V434" i="12"/>
  <c r="T434" i="12" s="1"/>
  <c r="V472" i="12"/>
  <c r="T472" i="12" s="1"/>
  <c r="V474" i="12"/>
  <c r="T474" i="12" s="1"/>
  <c r="V435" i="12"/>
  <c r="T435" i="12" s="1"/>
  <c r="V479" i="12"/>
  <c r="T479" i="12" s="1"/>
  <c r="V475" i="12"/>
  <c r="T475" i="12" s="1"/>
  <c r="V480" i="12"/>
  <c r="T480" i="12" s="1"/>
  <c r="V473" i="12"/>
  <c r="T473" i="12" s="1"/>
  <c r="V476" i="12"/>
  <c r="T476" i="12" s="1"/>
  <c r="H492" i="12" l="1"/>
  <c r="F480" i="12"/>
  <c r="H486" i="12"/>
  <c r="F474" i="12"/>
  <c r="H483" i="12"/>
  <c r="F471" i="12"/>
  <c r="H491" i="12"/>
  <c r="F479" i="12"/>
  <c r="H487" i="12"/>
  <c r="F475" i="12"/>
  <c r="H493" i="12"/>
  <c r="F481" i="12"/>
  <c r="H490" i="12"/>
  <c r="F478" i="12"/>
  <c r="H485" i="12"/>
  <c r="F473" i="12"/>
  <c r="H482" i="12"/>
  <c r="F470" i="12"/>
  <c r="H484" i="12"/>
  <c r="F472" i="12"/>
  <c r="H489" i="12"/>
  <c r="F477" i="12"/>
  <c r="O436" i="12"/>
  <c r="M436" i="12" s="1"/>
  <c r="O446" i="12"/>
  <c r="M446" i="12" s="1"/>
  <c r="O437" i="12"/>
  <c r="M437" i="12" s="1"/>
  <c r="O444" i="12"/>
  <c r="M444" i="12" s="1"/>
  <c r="O438" i="12"/>
  <c r="M438" i="12" s="1"/>
  <c r="O445" i="12"/>
  <c r="M445" i="12" s="1"/>
  <c r="O442" i="12"/>
  <c r="M442" i="12" s="1"/>
  <c r="O440" i="12"/>
  <c r="M440" i="12" s="1"/>
  <c r="O441" i="12"/>
  <c r="M441" i="12" s="1"/>
  <c r="O439" i="12"/>
  <c r="M439" i="12" s="1"/>
  <c r="O435" i="12"/>
  <c r="M435" i="12" s="1"/>
  <c r="O443" i="12"/>
  <c r="M443" i="12" s="1"/>
  <c r="V488" i="12"/>
  <c r="T488" i="12" s="1"/>
  <c r="V492" i="12"/>
  <c r="T492" i="12" s="1"/>
  <c r="V491" i="12"/>
  <c r="T491" i="12" s="1"/>
  <c r="V486" i="12"/>
  <c r="T486" i="12" s="1"/>
  <c r="V446" i="12"/>
  <c r="T446" i="12" s="1"/>
  <c r="V493" i="12"/>
  <c r="T493" i="12" s="1"/>
  <c r="V485" i="12"/>
  <c r="T485" i="12" s="1"/>
  <c r="V487" i="12"/>
  <c r="T487" i="12" s="1"/>
  <c r="V447" i="12"/>
  <c r="T447" i="12" s="1"/>
  <c r="V484" i="12"/>
  <c r="T484" i="12" s="1"/>
  <c r="V490" i="12"/>
  <c r="T490" i="12" s="1"/>
  <c r="V489" i="12"/>
  <c r="T489" i="12" s="1"/>
  <c r="H496" i="12" l="1"/>
  <c r="F484" i="12"/>
  <c r="H497" i="12"/>
  <c r="F485" i="12"/>
  <c r="H505" i="12"/>
  <c r="F493" i="12"/>
  <c r="H503" i="12"/>
  <c r="F491" i="12"/>
  <c r="H498" i="12"/>
  <c r="F486" i="12"/>
  <c r="H501" i="12"/>
  <c r="F489" i="12"/>
  <c r="H494" i="12"/>
  <c r="F482" i="12"/>
  <c r="H502" i="12"/>
  <c r="F490" i="12"/>
  <c r="H499" i="12"/>
  <c r="F487" i="12"/>
  <c r="H495" i="12"/>
  <c r="F483" i="12"/>
  <c r="H504" i="12"/>
  <c r="F492" i="12"/>
  <c r="O455" i="12"/>
  <c r="M455" i="12" s="1"/>
  <c r="O451" i="12"/>
  <c r="M451" i="12" s="1"/>
  <c r="O452" i="12"/>
  <c r="M452" i="12" s="1"/>
  <c r="O457" i="12"/>
  <c r="M457" i="12" s="1"/>
  <c r="O456" i="12"/>
  <c r="M456" i="12" s="1"/>
  <c r="O458" i="12"/>
  <c r="M458" i="12" s="1"/>
  <c r="O447" i="12"/>
  <c r="M447" i="12" s="1"/>
  <c r="O453" i="12"/>
  <c r="M453" i="12" s="1"/>
  <c r="O454" i="12"/>
  <c r="M454" i="12" s="1"/>
  <c r="O450" i="12"/>
  <c r="M450" i="12" s="1"/>
  <c r="O449" i="12"/>
  <c r="M449" i="12" s="1"/>
  <c r="O448" i="12"/>
  <c r="M448" i="12" s="1"/>
  <c r="V501" i="12"/>
  <c r="T501" i="12" s="1"/>
  <c r="V496" i="12"/>
  <c r="T496" i="12" s="1"/>
  <c r="V499" i="12"/>
  <c r="T499" i="12" s="1"/>
  <c r="V505" i="12"/>
  <c r="T505" i="12" s="1"/>
  <c r="V498" i="12"/>
  <c r="T498" i="12" s="1"/>
  <c r="V504" i="12"/>
  <c r="T504" i="12" s="1"/>
  <c r="V502" i="12"/>
  <c r="T502" i="12" s="1"/>
  <c r="V459" i="12"/>
  <c r="T459" i="12" s="1"/>
  <c r="V497" i="12"/>
  <c r="T497" i="12" s="1"/>
  <c r="V458" i="12"/>
  <c r="T458" i="12" s="1"/>
  <c r="V503" i="12"/>
  <c r="T503" i="12" s="1"/>
  <c r="V500" i="12"/>
  <c r="T500" i="12" s="1"/>
  <c r="H507" i="12" l="1"/>
  <c r="F495" i="12"/>
  <c r="H514" i="12"/>
  <c r="F502" i="12"/>
  <c r="H513" i="12"/>
  <c r="F501" i="12"/>
  <c r="H515" i="12"/>
  <c r="F503" i="12"/>
  <c r="H509" i="12"/>
  <c r="F497" i="12"/>
  <c r="H516" i="12"/>
  <c r="F504" i="12"/>
  <c r="H511" i="12"/>
  <c r="F499" i="12"/>
  <c r="H506" i="12"/>
  <c r="F494" i="12"/>
  <c r="H510" i="12"/>
  <c r="F498" i="12"/>
  <c r="H517" i="12"/>
  <c r="F505" i="12"/>
  <c r="H508" i="12"/>
  <c r="F496" i="12"/>
  <c r="O460" i="12"/>
  <c r="M460" i="12" s="1"/>
  <c r="O462" i="12"/>
  <c r="M462" i="12" s="1"/>
  <c r="O469" i="12"/>
  <c r="M469" i="12" s="1"/>
  <c r="O465" i="12"/>
  <c r="M465" i="12" s="1"/>
  <c r="O470" i="12"/>
  <c r="M470" i="12" s="1"/>
  <c r="O463" i="12"/>
  <c r="M463" i="12" s="1"/>
  <c r="O461" i="12"/>
  <c r="M461" i="12" s="1"/>
  <c r="O466" i="12"/>
  <c r="M466" i="12" s="1"/>
  <c r="O459" i="12"/>
  <c r="M459" i="12" s="1"/>
  <c r="O468" i="12"/>
  <c r="M468" i="12" s="1"/>
  <c r="O464" i="12"/>
  <c r="M464" i="12" s="1"/>
  <c r="O467" i="12"/>
  <c r="M467" i="12" s="1"/>
  <c r="V470" i="12"/>
  <c r="T470" i="12" s="1"/>
  <c r="V516" i="12"/>
  <c r="T516" i="12" s="1"/>
  <c r="V512" i="12"/>
  <c r="T512" i="12" s="1"/>
  <c r="V471" i="12"/>
  <c r="T471" i="12" s="1"/>
  <c r="V517" i="12"/>
  <c r="T517" i="12" s="1"/>
  <c r="V508" i="12"/>
  <c r="T508" i="12" s="1"/>
  <c r="V515" i="12"/>
  <c r="T515" i="12" s="1"/>
  <c r="V509" i="12"/>
  <c r="T509" i="12" s="1"/>
  <c r="V514" i="12"/>
  <c r="T514" i="12" s="1"/>
  <c r="V510" i="12"/>
  <c r="T510" i="12" s="1"/>
  <c r="V511" i="12"/>
  <c r="T511" i="12" s="1"/>
  <c r="V513" i="12"/>
  <c r="T513" i="12" s="1"/>
  <c r="H529" i="12" l="1"/>
  <c r="F517" i="12"/>
  <c r="H518" i="12"/>
  <c r="F506" i="12"/>
  <c r="H528" i="12"/>
  <c r="F516" i="12"/>
  <c r="H527" i="12"/>
  <c r="F515" i="12"/>
  <c r="H526" i="12"/>
  <c r="F514" i="12"/>
  <c r="H520" i="12"/>
  <c r="F508" i="12"/>
  <c r="H522" i="12"/>
  <c r="F510" i="12"/>
  <c r="H523" i="12"/>
  <c r="F511" i="12"/>
  <c r="H521" i="12"/>
  <c r="F509" i="12"/>
  <c r="H525" i="12"/>
  <c r="F513" i="12"/>
  <c r="H519" i="12"/>
  <c r="F507" i="12"/>
  <c r="O479" i="12"/>
  <c r="M479" i="12" s="1"/>
  <c r="O480" i="12"/>
  <c r="M480" i="12" s="1"/>
  <c r="O478" i="12"/>
  <c r="M478" i="12" s="1"/>
  <c r="O477" i="12"/>
  <c r="M477" i="12" s="1"/>
  <c r="O474" i="12"/>
  <c r="M474" i="12" s="1"/>
  <c r="O475" i="12"/>
  <c r="M475" i="12" s="1"/>
  <c r="O476" i="12"/>
  <c r="M476" i="12" s="1"/>
  <c r="O471" i="12"/>
  <c r="M471" i="12" s="1"/>
  <c r="O473" i="12"/>
  <c r="M473" i="12" s="1"/>
  <c r="O482" i="12"/>
  <c r="M482" i="12" s="1"/>
  <c r="O481" i="12"/>
  <c r="M481" i="12" s="1"/>
  <c r="O472" i="12"/>
  <c r="M472" i="12" s="1"/>
  <c r="V525" i="12"/>
  <c r="T525" i="12" s="1"/>
  <c r="V521" i="12"/>
  <c r="T521" i="12" s="1"/>
  <c r="V528" i="12"/>
  <c r="T528" i="12" s="1"/>
  <c r="V522" i="12"/>
  <c r="T522" i="12" s="1"/>
  <c r="V520" i="12"/>
  <c r="T520" i="12" s="1"/>
  <c r="V483" i="12"/>
  <c r="T483" i="12" s="1"/>
  <c r="V523" i="12"/>
  <c r="T523" i="12" s="1"/>
  <c r="V526" i="12"/>
  <c r="T526" i="12" s="1"/>
  <c r="V527" i="12"/>
  <c r="T527" i="12" s="1"/>
  <c r="V529" i="12"/>
  <c r="T529" i="12" s="1"/>
  <c r="V524" i="12"/>
  <c r="T524" i="12" s="1"/>
  <c r="V482" i="12"/>
  <c r="T482" i="12" s="1"/>
  <c r="H537" i="12" l="1"/>
  <c r="F525" i="12"/>
  <c r="H535" i="12"/>
  <c r="F523" i="12"/>
  <c r="H532" i="12"/>
  <c r="F520" i="12"/>
  <c r="H539" i="12"/>
  <c r="F527" i="12"/>
  <c r="H530" i="12"/>
  <c r="F518" i="12"/>
  <c r="H531" i="12"/>
  <c r="F519" i="12"/>
  <c r="H533" i="12"/>
  <c r="F521" i="12"/>
  <c r="H534" i="12"/>
  <c r="F522" i="12"/>
  <c r="H538" i="12"/>
  <c r="F526" i="12"/>
  <c r="H540" i="12"/>
  <c r="F528" i="12"/>
  <c r="H541" i="12"/>
  <c r="F529" i="12"/>
  <c r="O484" i="12"/>
  <c r="M484" i="12" s="1"/>
  <c r="O494" i="12"/>
  <c r="M494" i="12" s="1"/>
  <c r="O483" i="12"/>
  <c r="M483" i="12" s="1"/>
  <c r="O489" i="12"/>
  <c r="M489" i="12" s="1"/>
  <c r="O492" i="12"/>
  <c r="M492" i="12" s="1"/>
  <c r="O487" i="12"/>
  <c r="M487" i="12" s="1"/>
  <c r="O493" i="12"/>
  <c r="M493" i="12" s="1"/>
  <c r="O485" i="12"/>
  <c r="M485" i="12" s="1"/>
  <c r="O488" i="12"/>
  <c r="M488" i="12" s="1"/>
  <c r="O486" i="12"/>
  <c r="M486" i="12" s="1"/>
  <c r="O490" i="12"/>
  <c r="M490" i="12" s="1"/>
  <c r="O491" i="12"/>
  <c r="M491" i="12" s="1"/>
  <c r="V541" i="12"/>
  <c r="T541" i="12" s="1"/>
  <c r="V534" i="12"/>
  <c r="T534" i="12" s="1"/>
  <c r="V494" i="12"/>
  <c r="T494" i="12" s="1"/>
  <c r="V538" i="12"/>
  <c r="T538" i="12" s="1"/>
  <c r="V495" i="12"/>
  <c r="T495" i="12" s="1"/>
  <c r="V533" i="12"/>
  <c r="T533" i="12" s="1"/>
  <c r="V536" i="12"/>
  <c r="T536" i="12" s="1"/>
  <c r="V539" i="12"/>
  <c r="T539" i="12" s="1"/>
  <c r="V535" i="12"/>
  <c r="T535" i="12" s="1"/>
  <c r="V532" i="12"/>
  <c r="T532" i="12" s="1"/>
  <c r="V540" i="12"/>
  <c r="T540" i="12" s="1"/>
  <c r="V537" i="12"/>
  <c r="T537" i="12" s="1"/>
  <c r="H552" i="12" l="1"/>
  <c r="F540" i="12"/>
  <c r="H546" i="12"/>
  <c r="F534" i="12"/>
  <c r="H543" i="12"/>
  <c r="F531" i="12"/>
  <c r="H551" i="12"/>
  <c r="F539" i="12"/>
  <c r="H547" i="12"/>
  <c r="F535" i="12"/>
  <c r="H553" i="12"/>
  <c r="F541" i="12"/>
  <c r="H550" i="12"/>
  <c r="F538" i="12"/>
  <c r="H545" i="12"/>
  <c r="F533" i="12"/>
  <c r="H542" i="12"/>
  <c r="F530" i="12"/>
  <c r="H544" i="12"/>
  <c r="F532" i="12"/>
  <c r="H549" i="12"/>
  <c r="F537" i="12"/>
  <c r="O503" i="12"/>
  <c r="M503" i="12" s="1"/>
  <c r="O498" i="12"/>
  <c r="M498" i="12" s="1"/>
  <c r="O501" i="12"/>
  <c r="M501" i="12" s="1"/>
  <c r="O497" i="12"/>
  <c r="M497" i="12" s="1"/>
  <c r="O499" i="12"/>
  <c r="M499" i="12" s="1"/>
  <c r="O506" i="12"/>
  <c r="M506" i="12" s="1"/>
  <c r="O502" i="12"/>
  <c r="M502" i="12" s="1"/>
  <c r="O500" i="12"/>
  <c r="M500" i="12" s="1"/>
  <c r="O505" i="12"/>
  <c r="M505" i="12" s="1"/>
  <c r="O504" i="12"/>
  <c r="M504" i="12" s="1"/>
  <c r="O495" i="12"/>
  <c r="M495" i="12" s="1"/>
  <c r="O496" i="12"/>
  <c r="M496" i="12" s="1"/>
  <c r="V551" i="12"/>
  <c r="T551" i="12" s="1"/>
  <c r="V549" i="12"/>
  <c r="T549" i="12" s="1"/>
  <c r="V544" i="12"/>
  <c r="T544" i="12" s="1"/>
  <c r="V545" i="12"/>
  <c r="T545" i="12" s="1"/>
  <c r="V550" i="12"/>
  <c r="T550" i="12" s="1"/>
  <c r="V546" i="12"/>
  <c r="T546" i="12" s="1"/>
  <c r="V552" i="12"/>
  <c r="T552" i="12" s="1"/>
  <c r="V547" i="12"/>
  <c r="T547" i="12" s="1"/>
  <c r="V548" i="12"/>
  <c r="T548" i="12" s="1"/>
  <c r="V507" i="12"/>
  <c r="T507" i="12" s="1"/>
  <c r="V506" i="12"/>
  <c r="T506" i="12" s="1"/>
  <c r="V553" i="12"/>
  <c r="T553" i="12" s="1"/>
  <c r="H556" i="12" l="1"/>
  <c r="F544" i="12"/>
  <c r="H557" i="12"/>
  <c r="F545" i="12"/>
  <c r="H565" i="12"/>
  <c r="F553" i="12"/>
  <c r="H563" i="12"/>
  <c r="F551" i="12"/>
  <c r="H558" i="12"/>
  <c r="F546" i="12"/>
  <c r="H561" i="12"/>
  <c r="F549" i="12"/>
  <c r="H554" i="12"/>
  <c r="F542" i="12"/>
  <c r="H562" i="12"/>
  <c r="F550" i="12"/>
  <c r="H559" i="12"/>
  <c r="F547" i="12"/>
  <c r="H555" i="12"/>
  <c r="F543" i="12"/>
  <c r="H564" i="12"/>
  <c r="F552" i="12"/>
  <c r="O508" i="12"/>
  <c r="M508" i="12" s="1"/>
  <c r="O516" i="12"/>
  <c r="M516" i="12" s="1"/>
  <c r="O512" i="12"/>
  <c r="M512" i="12" s="1"/>
  <c r="O518" i="12"/>
  <c r="M518" i="12" s="1"/>
  <c r="O509" i="12"/>
  <c r="M509" i="12" s="1"/>
  <c r="O510" i="12"/>
  <c r="M510" i="12" s="1"/>
  <c r="O507" i="12"/>
  <c r="M507" i="12" s="1"/>
  <c r="O517" i="12"/>
  <c r="M517" i="12" s="1"/>
  <c r="O514" i="12"/>
  <c r="M514" i="12" s="1"/>
  <c r="O511" i="12"/>
  <c r="M511" i="12" s="1"/>
  <c r="O513" i="12"/>
  <c r="M513" i="12" s="1"/>
  <c r="O515" i="12"/>
  <c r="M515" i="12" s="1"/>
  <c r="V565" i="12"/>
  <c r="T565" i="12" s="1"/>
  <c r="V559" i="12"/>
  <c r="T559" i="12" s="1"/>
  <c r="V561" i="12"/>
  <c r="T561" i="12" s="1"/>
  <c r="V519" i="12"/>
  <c r="T519" i="12" s="1"/>
  <c r="V558" i="12"/>
  <c r="T558" i="12" s="1"/>
  <c r="V557" i="12"/>
  <c r="T557" i="12" s="1"/>
  <c r="V518" i="12"/>
  <c r="T518" i="12" s="1"/>
  <c r="V560" i="12"/>
  <c r="T560" i="12" s="1"/>
  <c r="V564" i="12"/>
  <c r="T564" i="12" s="1"/>
  <c r="V562" i="12"/>
  <c r="T562" i="12" s="1"/>
  <c r="V556" i="12"/>
  <c r="T556" i="12" s="1"/>
  <c r="V563" i="12"/>
  <c r="T563" i="12" s="1"/>
  <c r="H567" i="12" l="1"/>
  <c r="F555" i="12"/>
  <c r="H574" i="12"/>
  <c r="F562" i="12"/>
  <c r="H573" i="12"/>
  <c r="F561" i="12"/>
  <c r="H575" i="12"/>
  <c r="F563" i="12"/>
  <c r="H569" i="12"/>
  <c r="F557" i="12"/>
  <c r="H576" i="12"/>
  <c r="F564" i="12"/>
  <c r="H571" i="12"/>
  <c r="F559" i="12"/>
  <c r="H566" i="12"/>
  <c r="F554" i="12"/>
  <c r="H570" i="12"/>
  <c r="F558" i="12"/>
  <c r="H577" i="12"/>
  <c r="F565" i="12"/>
  <c r="H568" i="12"/>
  <c r="F556" i="12"/>
  <c r="O527" i="12"/>
  <c r="M527" i="12" s="1"/>
  <c r="O523" i="12"/>
  <c r="M523" i="12" s="1"/>
  <c r="O529" i="12"/>
  <c r="M529" i="12" s="1"/>
  <c r="O522" i="12"/>
  <c r="M522" i="12" s="1"/>
  <c r="O530" i="12"/>
  <c r="M530" i="12" s="1"/>
  <c r="O528" i="12"/>
  <c r="M528" i="12" s="1"/>
  <c r="O525" i="12"/>
  <c r="M525" i="12" s="1"/>
  <c r="O526" i="12"/>
  <c r="M526" i="12" s="1"/>
  <c r="O519" i="12"/>
  <c r="M519" i="12" s="1"/>
  <c r="O521" i="12"/>
  <c r="M521" i="12" s="1"/>
  <c r="O524" i="12"/>
  <c r="M524" i="12" s="1"/>
  <c r="O520" i="12"/>
  <c r="M520" i="12" s="1"/>
  <c r="V575" i="12"/>
  <c r="T575" i="12" s="1"/>
  <c r="V574" i="12"/>
  <c r="T574" i="12" s="1"/>
  <c r="V572" i="12"/>
  <c r="T572" i="12" s="1"/>
  <c r="V569" i="12"/>
  <c r="T569" i="12" s="1"/>
  <c r="V531" i="12"/>
  <c r="T531" i="12" s="1"/>
  <c r="V571" i="12"/>
  <c r="T571" i="12" s="1"/>
  <c r="V568" i="12"/>
  <c r="T568" i="12" s="1"/>
  <c r="V576" i="12"/>
  <c r="T576" i="12" s="1"/>
  <c r="V530" i="12"/>
  <c r="T530" i="12" s="1"/>
  <c r="V570" i="12"/>
  <c r="T570" i="12" s="1"/>
  <c r="V573" i="12"/>
  <c r="T573" i="12" s="1"/>
  <c r="V577" i="12"/>
  <c r="T577" i="12" s="1"/>
  <c r="H589" i="12" l="1"/>
  <c r="F577" i="12"/>
  <c r="H578" i="12"/>
  <c r="F566" i="12"/>
  <c r="H588" i="12"/>
  <c r="F576" i="12"/>
  <c r="H587" i="12"/>
  <c r="F575" i="12"/>
  <c r="H586" i="12"/>
  <c r="F574" i="12"/>
  <c r="H580" i="12"/>
  <c r="F568" i="12"/>
  <c r="H582" i="12"/>
  <c r="F570" i="12"/>
  <c r="H583" i="12"/>
  <c r="F571" i="12"/>
  <c r="H581" i="12"/>
  <c r="F569" i="12"/>
  <c r="H585" i="12"/>
  <c r="F573" i="12"/>
  <c r="H579" i="12"/>
  <c r="F567" i="12"/>
  <c r="O532" i="12"/>
  <c r="M532" i="12" s="1"/>
  <c r="O533" i="12"/>
  <c r="M533" i="12" s="1"/>
  <c r="O538" i="12"/>
  <c r="M538" i="12" s="1"/>
  <c r="O540" i="12"/>
  <c r="M540" i="12" s="1"/>
  <c r="O534" i="12"/>
  <c r="M534" i="12" s="1"/>
  <c r="O535" i="12"/>
  <c r="M535" i="12" s="1"/>
  <c r="O536" i="12"/>
  <c r="M536" i="12" s="1"/>
  <c r="O531" i="12"/>
  <c r="M531" i="12" s="1"/>
  <c r="O537" i="12"/>
  <c r="M537" i="12" s="1"/>
  <c r="O542" i="12"/>
  <c r="M542" i="12" s="1"/>
  <c r="O541" i="12"/>
  <c r="M541" i="12" s="1"/>
  <c r="O539" i="12"/>
  <c r="M539" i="12" s="1"/>
  <c r="V582" i="12"/>
  <c r="T582" i="12" s="1"/>
  <c r="V588" i="12"/>
  <c r="T588" i="12" s="1"/>
  <c r="V583" i="12"/>
  <c r="T583" i="12" s="1"/>
  <c r="V581" i="12"/>
  <c r="T581" i="12" s="1"/>
  <c r="V586" i="12"/>
  <c r="T586" i="12" s="1"/>
  <c r="V589" i="12"/>
  <c r="T589" i="12" s="1"/>
  <c r="V585" i="12"/>
  <c r="T585" i="12" s="1"/>
  <c r="V542" i="12"/>
  <c r="T542" i="12" s="1"/>
  <c r="V580" i="12"/>
  <c r="T580" i="12" s="1"/>
  <c r="V543" i="12"/>
  <c r="T543" i="12" s="1"/>
  <c r="V584" i="12"/>
  <c r="T584" i="12" s="1"/>
  <c r="V587" i="12"/>
  <c r="T587" i="12" s="1"/>
  <c r="H597" i="12" l="1"/>
  <c r="F585" i="12"/>
  <c r="H595" i="12"/>
  <c r="F583" i="12"/>
  <c r="H592" i="12"/>
  <c r="F580" i="12"/>
  <c r="H599" i="12"/>
  <c r="F587" i="12"/>
  <c r="H590" i="12"/>
  <c r="F578" i="12"/>
  <c r="H591" i="12"/>
  <c r="F579" i="12"/>
  <c r="H593" i="12"/>
  <c r="F581" i="12"/>
  <c r="H594" i="12"/>
  <c r="F582" i="12"/>
  <c r="H598" i="12"/>
  <c r="F586" i="12"/>
  <c r="H600" i="12"/>
  <c r="F588" i="12"/>
  <c r="H601" i="12"/>
  <c r="F589" i="12"/>
  <c r="O551" i="12"/>
  <c r="M551" i="12" s="1"/>
  <c r="O554" i="12"/>
  <c r="M554" i="12" s="1"/>
  <c r="O543" i="12"/>
  <c r="M543" i="12" s="1"/>
  <c r="O547" i="12"/>
  <c r="M547" i="12" s="1"/>
  <c r="O552" i="12"/>
  <c r="M552" i="12" s="1"/>
  <c r="O545" i="12"/>
  <c r="M545" i="12" s="1"/>
  <c r="O553" i="12"/>
  <c r="M553" i="12" s="1"/>
  <c r="O549" i="12"/>
  <c r="M549" i="12" s="1"/>
  <c r="O548" i="12"/>
  <c r="M548" i="12" s="1"/>
  <c r="O546" i="12"/>
  <c r="M546" i="12" s="1"/>
  <c r="O550" i="12"/>
  <c r="M550" i="12" s="1"/>
  <c r="O544" i="12"/>
  <c r="M544" i="12" s="1"/>
  <c r="V599" i="12"/>
  <c r="T599" i="12" s="1"/>
  <c r="V555" i="12"/>
  <c r="T555" i="12" s="1"/>
  <c r="V554" i="12"/>
  <c r="T554" i="12" s="1"/>
  <c r="V601" i="12"/>
  <c r="T601" i="12" s="1"/>
  <c r="V593" i="12"/>
  <c r="T593" i="12" s="1"/>
  <c r="V600" i="12"/>
  <c r="T600" i="12" s="1"/>
  <c r="V596" i="12"/>
  <c r="T596" i="12" s="1"/>
  <c r="V592" i="12"/>
  <c r="T592" i="12" s="1"/>
  <c r="V597" i="12"/>
  <c r="T597" i="12" s="1"/>
  <c r="V598" i="12"/>
  <c r="T598" i="12" s="1"/>
  <c r="V595" i="12"/>
  <c r="T595" i="12" s="1"/>
  <c r="V594" i="12"/>
  <c r="T594" i="12" s="1"/>
  <c r="H612" i="12" l="1"/>
  <c r="F600" i="12"/>
  <c r="H606" i="12"/>
  <c r="F594" i="12"/>
  <c r="H603" i="12"/>
  <c r="F591" i="12"/>
  <c r="H611" i="12"/>
  <c r="F599" i="12"/>
  <c r="H607" i="12"/>
  <c r="F595" i="12"/>
  <c r="H613" i="12"/>
  <c r="F601" i="12"/>
  <c r="H610" i="12"/>
  <c r="F598" i="12"/>
  <c r="H605" i="12"/>
  <c r="F593" i="12"/>
  <c r="H602" i="12"/>
  <c r="F590" i="12"/>
  <c r="H604" i="12"/>
  <c r="F592" i="12"/>
  <c r="H609" i="12"/>
  <c r="F597" i="12"/>
  <c r="O556" i="12"/>
  <c r="M556" i="12" s="1"/>
  <c r="O558" i="12"/>
  <c r="M558" i="12" s="1"/>
  <c r="O561" i="12"/>
  <c r="M561" i="12" s="1"/>
  <c r="O557" i="12"/>
  <c r="M557" i="12" s="1"/>
  <c r="O559" i="12"/>
  <c r="M559" i="12" s="1"/>
  <c r="O566" i="12"/>
  <c r="M566" i="12" s="1"/>
  <c r="O562" i="12"/>
  <c r="M562" i="12" s="1"/>
  <c r="O560" i="12"/>
  <c r="M560" i="12" s="1"/>
  <c r="O565" i="12"/>
  <c r="M565" i="12" s="1"/>
  <c r="O564" i="12"/>
  <c r="M564" i="12" s="1"/>
  <c r="O555" i="12"/>
  <c r="M555" i="12" s="1"/>
  <c r="O563" i="12"/>
  <c r="M563" i="12" s="1"/>
  <c r="V606" i="12"/>
  <c r="T606" i="12" s="1"/>
  <c r="V610" i="12"/>
  <c r="T610" i="12" s="1"/>
  <c r="V604" i="12"/>
  <c r="T604" i="12" s="1"/>
  <c r="V612" i="12"/>
  <c r="T612" i="12" s="1"/>
  <c r="V613" i="12"/>
  <c r="T613" i="12" s="1"/>
  <c r="V567" i="12"/>
  <c r="T567" i="12" s="1"/>
  <c r="V607" i="12"/>
  <c r="T607" i="12" s="1"/>
  <c r="V609" i="12"/>
  <c r="T609" i="12" s="1"/>
  <c r="V608" i="12"/>
  <c r="T608" i="12" s="1"/>
  <c r="V605" i="12"/>
  <c r="T605" i="12" s="1"/>
  <c r="V566" i="12"/>
  <c r="T566" i="12" s="1"/>
  <c r="V611" i="12"/>
  <c r="T611" i="12" s="1"/>
  <c r="H616" i="12" l="1"/>
  <c r="F604" i="12"/>
  <c r="H617" i="12"/>
  <c r="F605" i="12"/>
  <c r="H625" i="12"/>
  <c r="F613" i="12"/>
  <c r="H623" i="12"/>
  <c r="F611" i="12"/>
  <c r="H618" i="12"/>
  <c r="F606" i="12"/>
  <c r="H621" i="12"/>
  <c r="F609" i="12"/>
  <c r="H614" i="12"/>
  <c r="F602" i="12"/>
  <c r="H622" i="12"/>
  <c r="F610" i="12"/>
  <c r="H619" i="12"/>
  <c r="F607" i="12"/>
  <c r="H615" i="12"/>
  <c r="F603" i="12"/>
  <c r="H624" i="12"/>
  <c r="F612" i="12"/>
  <c r="O575" i="12"/>
  <c r="M575" i="12" s="1"/>
  <c r="O576" i="12"/>
  <c r="M576" i="12" s="1"/>
  <c r="O572" i="12"/>
  <c r="M572" i="12" s="1"/>
  <c r="O578" i="12"/>
  <c r="M578" i="12" s="1"/>
  <c r="O569" i="12"/>
  <c r="M569" i="12" s="1"/>
  <c r="O570" i="12"/>
  <c r="M570" i="12" s="1"/>
  <c r="O567" i="12"/>
  <c r="M567" i="12" s="1"/>
  <c r="O577" i="12"/>
  <c r="M577" i="12" s="1"/>
  <c r="O574" i="12"/>
  <c r="M574" i="12" s="1"/>
  <c r="O571" i="12"/>
  <c r="M571" i="12" s="1"/>
  <c r="O573" i="12"/>
  <c r="M573" i="12" s="1"/>
  <c r="O568" i="12"/>
  <c r="M568" i="12" s="1"/>
  <c r="V621" i="12"/>
  <c r="T621" i="12" s="1"/>
  <c r="V623" i="12"/>
  <c r="T623" i="12" s="1"/>
  <c r="V617" i="12"/>
  <c r="T617" i="12" s="1"/>
  <c r="V579" i="12"/>
  <c r="T579" i="12" s="1"/>
  <c r="V624" i="12"/>
  <c r="T624" i="12" s="1"/>
  <c r="V622" i="12"/>
  <c r="T622" i="12" s="1"/>
  <c r="V578" i="12"/>
  <c r="T578" i="12" s="1"/>
  <c r="V620" i="12"/>
  <c r="T620" i="12" s="1"/>
  <c r="V619" i="12"/>
  <c r="T619" i="12" s="1"/>
  <c r="V625" i="12"/>
  <c r="T625" i="12" s="1"/>
  <c r="V616" i="12"/>
  <c r="T616" i="12" s="1"/>
  <c r="V618" i="12"/>
  <c r="T618" i="12" s="1"/>
  <c r="H627" i="12" l="1"/>
  <c r="F615" i="12"/>
  <c r="H634" i="12"/>
  <c r="F622" i="12"/>
  <c r="H633" i="12"/>
  <c r="F621" i="12"/>
  <c r="H635" i="12"/>
  <c r="F623" i="12"/>
  <c r="H629" i="12"/>
  <c r="F617" i="12"/>
  <c r="H636" i="12"/>
  <c r="F624" i="12"/>
  <c r="H631" i="12"/>
  <c r="F619" i="12"/>
  <c r="H626" i="12"/>
  <c r="F614" i="12"/>
  <c r="H630" i="12"/>
  <c r="F618" i="12"/>
  <c r="H637" i="12"/>
  <c r="F625" i="12"/>
  <c r="H628" i="12"/>
  <c r="F616" i="12"/>
  <c r="O580" i="12"/>
  <c r="M580" i="12" s="1"/>
  <c r="O583" i="12"/>
  <c r="M583" i="12" s="1"/>
  <c r="O589" i="12"/>
  <c r="M589" i="12" s="1"/>
  <c r="O582" i="12"/>
  <c r="M582" i="12" s="1"/>
  <c r="O590" i="12"/>
  <c r="M590" i="12" s="1"/>
  <c r="O588" i="12"/>
  <c r="M588" i="12" s="1"/>
  <c r="O585" i="12"/>
  <c r="M585" i="12" s="1"/>
  <c r="O586" i="12"/>
  <c r="M586" i="12" s="1"/>
  <c r="O579" i="12"/>
  <c r="M579" i="12" s="1"/>
  <c r="O581" i="12"/>
  <c r="M581" i="12" s="1"/>
  <c r="O584" i="12"/>
  <c r="M584" i="12" s="1"/>
  <c r="O587" i="12"/>
  <c r="M587" i="12" s="1"/>
  <c r="V630" i="12"/>
  <c r="T630" i="12" s="1"/>
  <c r="V632" i="12"/>
  <c r="T632" i="12" s="1"/>
  <c r="V591" i="12"/>
  <c r="T591" i="12" s="1"/>
  <c r="V637" i="12"/>
  <c r="T637" i="12" s="1"/>
  <c r="V634" i="12"/>
  <c r="T634" i="12" s="1"/>
  <c r="V635" i="12"/>
  <c r="T635" i="12" s="1"/>
  <c r="V628" i="12"/>
  <c r="T628" i="12" s="1"/>
  <c r="V631" i="12"/>
  <c r="T631" i="12" s="1"/>
  <c r="V590" i="12"/>
  <c r="T590" i="12" s="1"/>
  <c r="V636" i="12"/>
  <c r="T636" i="12" s="1"/>
  <c r="V629" i="12"/>
  <c r="T629" i="12" s="1"/>
  <c r="V633" i="12"/>
  <c r="T633" i="12" s="1"/>
  <c r="H649" i="12" l="1"/>
  <c r="F649" i="12" s="1"/>
  <c r="F637" i="12"/>
  <c r="H638" i="12"/>
  <c r="F638" i="12" s="1"/>
  <c r="F626" i="12"/>
  <c r="H648" i="12"/>
  <c r="F648" i="12" s="1"/>
  <c r="F636" i="12"/>
  <c r="H647" i="12"/>
  <c r="F647" i="12" s="1"/>
  <c r="F635" i="12"/>
  <c r="H646" i="12"/>
  <c r="F646" i="12" s="1"/>
  <c r="F634" i="12"/>
  <c r="H640" i="12"/>
  <c r="F640" i="12" s="1"/>
  <c r="F628" i="12"/>
  <c r="H642" i="12"/>
  <c r="F642" i="12" s="1"/>
  <c r="F630" i="12"/>
  <c r="H643" i="12"/>
  <c r="F643" i="12" s="1"/>
  <c r="F631" i="12"/>
  <c r="H641" i="12"/>
  <c r="F641" i="12" s="1"/>
  <c r="F629" i="12"/>
  <c r="H645" i="12"/>
  <c r="F645" i="12" s="1"/>
  <c r="F633" i="12"/>
  <c r="H639" i="12"/>
  <c r="F639" i="12" s="1"/>
  <c r="F627" i="12"/>
  <c r="O600" i="12"/>
  <c r="M600" i="12" s="1"/>
  <c r="O599" i="12"/>
  <c r="M599" i="12" s="1"/>
  <c r="O593" i="12"/>
  <c r="M593" i="12" s="1"/>
  <c r="O598" i="12"/>
  <c r="M598" i="12" s="1"/>
  <c r="O595" i="12"/>
  <c r="M595" i="12" s="1"/>
  <c r="O594" i="12"/>
  <c r="M594" i="12" s="1"/>
  <c r="O596" i="12"/>
  <c r="M596" i="12" s="1"/>
  <c r="O591" i="12"/>
  <c r="M591" i="12" s="1"/>
  <c r="O597" i="12"/>
  <c r="M597" i="12" s="1"/>
  <c r="O602" i="12"/>
  <c r="M602" i="12" s="1"/>
  <c r="O601" i="12"/>
  <c r="M601" i="12" s="1"/>
  <c r="O592" i="12"/>
  <c r="M592" i="12" s="1"/>
  <c r="V648" i="12"/>
  <c r="T648" i="12" s="1"/>
  <c r="V647" i="12"/>
  <c r="T647" i="12" s="1"/>
  <c r="V645" i="12"/>
  <c r="T645" i="12" s="1"/>
  <c r="V643" i="12"/>
  <c r="T643" i="12" s="1"/>
  <c r="V649" i="12"/>
  <c r="T649" i="12" s="1"/>
  <c r="V644" i="12"/>
  <c r="T644" i="12" s="1"/>
  <c r="V641" i="12"/>
  <c r="T641" i="12" s="1"/>
  <c r="V602" i="12"/>
  <c r="T602" i="12" s="1"/>
  <c r="V640" i="12"/>
  <c r="T640" i="12" s="1"/>
  <c r="V646" i="12"/>
  <c r="T646" i="12" s="1"/>
  <c r="V603" i="12"/>
  <c r="T603" i="12" s="1"/>
  <c r="V642" i="12"/>
  <c r="T642" i="12" s="1"/>
  <c r="O604" i="12" l="1"/>
  <c r="M604" i="12" s="1"/>
  <c r="O603" i="12"/>
  <c r="M603" i="12" s="1"/>
  <c r="O606" i="12"/>
  <c r="M606" i="12" s="1"/>
  <c r="O611" i="12"/>
  <c r="M611" i="12" s="1"/>
  <c r="O614" i="12"/>
  <c r="M614" i="12" s="1"/>
  <c r="O610" i="12"/>
  <c r="M610" i="12" s="1"/>
  <c r="O613" i="12"/>
  <c r="M613" i="12" s="1"/>
  <c r="O609" i="12"/>
  <c r="M609" i="12" s="1"/>
  <c r="O608" i="12"/>
  <c r="M608" i="12" s="1"/>
  <c r="O607" i="12"/>
  <c r="M607" i="12" s="1"/>
  <c r="O605" i="12"/>
  <c r="M605" i="12" s="1"/>
  <c r="O612" i="12"/>
  <c r="M612" i="12" s="1"/>
  <c r="V614" i="12"/>
  <c r="T614" i="12" s="1"/>
  <c r="V615" i="12"/>
  <c r="T615" i="12" s="1"/>
  <c r="O619" i="12" l="1"/>
  <c r="M619" i="12" s="1"/>
  <c r="O622" i="12"/>
  <c r="M622" i="12" s="1"/>
  <c r="O615" i="12"/>
  <c r="M615" i="12" s="1"/>
  <c r="O624" i="12"/>
  <c r="M624" i="12" s="1"/>
  <c r="O621" i="12"/>
  <c r="M621" i="12" s="1"/>
  <c r="O623" i="12"/>
  <c r="M623" i="12" s="1"/>
  <c r="O617" i="12"/>
  <c r="M617" i="12" s="1"/>
  <c r="O620" i="12"/>
  <c r="M620" i="12" s="1"/>
  <c r="O625" i="12"/>
  <c r="M625" i="12" s="1"/>
  <c r="O626" i="12"/>
  <c r="M626" i="12" s="1"/>
  <c r="O618" i="12"/>
  <c r="M618" i="12" s="1"/>
  <c r="O616" i="12"/>
  <c r="M616" i="12" s="1"/>
  <c r="V627" i="12"/>
  <c r="T627" i="12" s="1"/>
  <c r="V626" i="12"/>
  <c r="T626" i="12" s="1"/>
  <c r="O628" i="12" l="1"/>
  <c r="M628" i="12" s="1"/>
  <c r="O632" i="12"/>
  <c r="M632" i="12" s="1"/>
  <c r="O636" i="12"/>
  <c r="M636" i="12" s="1"/>
  <c r="O638" i="12"/>
  <c r="M638" i="12" s="1"/>
  <c r="O635" i="12"/>
  <c r="M635" i="12" s="1"/>
  <c r="O634" i="12"/>
  <c r="M634" i="12" s="1"/>
  <c r="O630" i="12"/>
  <c r="M630" i="12" s="1"/>
  <c r="O637" i="12"/>
  <c r="M637" i="12" s="1"/>
  <c r="O629" i="12"/>
  <c r="M629" i="12" s="1"/>
  <c r="O633" i="12"/>
  <c r="M633" i="12" s="1"/>
  <c r="O627" i="12"/>
  <c r="M627" i="12" s="1"/>
  <c r="O631" i="12"/>
  <c r="M631" i="12" s="1"/>
  <c r="V638" i="12"/>
  <c r="T638" i="12" s="1"/>
  <c r="V639" i="12"/>
  <c r="T639" i="12" s="1"/>
  <c r="O643" i="12" l="1"/>
  <c r="M643" i="12" s="1"/>
  <c r="O645" i="12"/>
  <c r="M645" i="12" s="1"/>
  <c r="O649" i="12"/>
  <c r="M649" i="12" s="1"/>
  <c r="O646" i="12"/>
  <c r="M646" i="12" s="1"/>
  <c r="O644" i="12"/>
  <c r="M644" i="12" s="1"/>
  <c r="O639" i="12"/>
  <c r="M639" i="12" s="1"/>
  <c r="O641" i="12"/>
  <c r="M641" i="12" s="1"/>
  <c r="O642" i="12"/>
  <c r="M642" i="12" s="1"/>
  <c r="O647" i="12"/>
  <c r="M647" i="12" s="1"/>
  <c r="O648" i="12"/>
  <c r="M648" i="12" s="1"/>
  <c r="O640" i="12"/>
  <c r="M640" i="12" s="1"/>
</calcChain>
</file>

<file path=xl/sharedStrings.xml><?xml version="1.0" encoding="utf-8"?>
<sst xmlns="http://schemas.openxmlformats.org/spreadsheetml/2006/main" count="8515" uniqueCount="302">
  <si>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</si>
  <si>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</si>
  <si>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</si>
  <si>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</si>
  <si>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</si>
  <si>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</si>
  <si>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</si>
  <si>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</si>
  <si>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</si>
  <si>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</si>
  <si>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</si>
  <si>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</si>
  <si>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</si>
  <si>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</si>
  <si>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</si>
  <si>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</si>
  <si>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</si>
  <si>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</si>
  <si>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</si>
  <si>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</si>
  <si>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</si>
  <si>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</si>
  <si>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</si>
  <si>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</si>
  <si>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</si>
  <si>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</si>
  <si>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</si>
  <si>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</si>
  <si>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</si>
  <si>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</si>
  <si>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</si>
  <si>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</si>
  <si>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</si>
  <si>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</si>
  <si>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</si>
  <si>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</si>
  <si>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</si>
  <si>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</si>
  <si>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</si>
  <si>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</si>
  <si>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</si>
  <si>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</si>
  <si>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</si>
  <si>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</si>
  <si>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</si>
  <si>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</si>
  <si>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</si>
  <si>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</si>
  <si>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</si>
  <si>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</si>
  <si>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</si>
  <si>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</si>
  <si>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</si>
  <si>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</si>
  <si>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</si>
  <si>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</si>
  <si>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</si>
  <si>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</si>
  <si>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</si>
  <si>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</si>
  <si>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</si>
  <si>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</si>
  <si>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</si>
  <si>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</si>
  <si>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</si>
  <si>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</si>
  <si>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</si>
  <si>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</si>
  <si>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</si>
  <si>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</si>
  <si>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</si>
  <si>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</si>
  <si>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</si>
  <si>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</si>
  <si>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</si>
  <si>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</si>
  <si>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</si>
  <si>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</si>
  <si>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</si>
  <si>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</si>
  <si>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</si>
  <si>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</si>
  <si>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</si>
  <si>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</si>
  <si>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</si>
  <si>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</si>
  <si>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</si>
  <si>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</si>
  <si>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</si>
  <si>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</si>
  <si>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</si>
  <si>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</si>
  <si>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</si>
  <si>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</si>
  <si>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</si>
  <si>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</si>
  <si>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</si>
  <si>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</si>
  <si>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</si>
  <si>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</si>
  <si>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</si>
  <si>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</si>
  <si>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</si>
  <si>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</si>
  <si>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</si>
  <si>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</si>
  <si>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</si>
  <si>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</si>
  <si>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</si>
  <si>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</si>
  <si>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</si>
  <si>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</si>
  <si>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</si>
  <si>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</si>
  <si>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</si>
  <si>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</si>
  <si>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</si>
  <si>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</si>
  <si>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</si>
  <si>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</si>
  <si>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</si>
  <si>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</si>
  <si>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</si>
  <si>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</si>
  <si>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</si>
  <si>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</si>
  <si>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</si>
  <si>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</si>
  <si>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</si>
  <si>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</si>
  <si>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</si>
  <si>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</si>
  <si>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</si>
  <si>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</si>
  <si>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</si>
  <si>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</si>
  <si>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</si>
  <si>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</si>
  <si>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</si>
  <si>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</si>
  <si>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</si>
  <si>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</si>
  <si>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</si>
  <si>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</si>
  <si>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</si>
  <si>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</si>
  <si>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</si>
  <si>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</si>
  <si>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</si>
  <si>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</si>
  <si>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</si>
  <si>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</si>
  <si>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</si>
  <si>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</si>
  <si>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</si>
  <si>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</si>
  <si>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</si>
  <si>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</si>
  <si>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</si>
  <si>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</si>
  <si>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</si>
  <si>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</si>
  <si>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</si>
  <si>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</si>
  <si>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</si>
  <si>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</si>
  <si>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</si>
  <si>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</si>
  <si>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</si>
  <si>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</si>
  <si>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</si>
  <si>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</si>
  <si>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</si>
  <si>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</si>
  <si>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</si>
  <si>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</si>
  <si>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</si>
  <si>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</si>
  <si>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</si>
  <si>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</si>
  <si>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</si>
  <si>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</si>
  <si>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</si>
  <si>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</si>
  <si>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</si>
  <si>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</si>
  <si>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</si>
  <si>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</si>
  <si>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</si>
  <si>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</si>
  <si>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</si>
  <si>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</si>
  <si>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</si>
  <si>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</si>
  <si>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</si>
  <si>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</si>
  <si>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</si>
  <si>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</si>
  <si>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</si>
  <si>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</si>
  <si>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</si>
  <si>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</si>
  <si>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</si>
  <si>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</si>
  <si>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</si>
  <si>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</si>
  <si>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</si>
  <si>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</si>
  <si>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</si>
  <si>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</si>
  <si>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</si>
  <si>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</si>
  <si>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</si>
  <si>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</si>
  <si>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</si>
  <si>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</si>
  <si>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</si>
  <si>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</si>
  <si>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</si>
  <si>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</si>
  <si>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</si>
  <si>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</si>
  <si>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</si>
  <si>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</si>
  <si>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</si>
  <si>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</si>
  <si>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</si>
  <si>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</si>
  <si>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</si>
  <si>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</si>
  <si>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</si>
  <si>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</si>
  <si>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</si>
  <si>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</si>
  <si>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</si>
  <si>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</si>
  <si>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</si>
  <si>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</si>
  <si>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</si>
  <si>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</si>
  <si>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Execussão de Projetos</t>
  </si>
  <si>
    <t>Desempenho Farol</t>
  </si>
  <si>
    <t>NPS 0-1000</t>
  </si>
  <si>
    <t>NPS 1000-2500</t>
  </si>
  <si>
    <t>NPS 2500-5000</t>
  </si>
  <si>
    <t>NPS 5000+</t>
  </si>
  <si>
    <t>Média</t>
  </si>
  <si>
    <t>Lacuna para Farol Verde</t>
  </si>
  <si>
    <t>MÊS</t>
  </si>
  <si>
    <t>índice mês</t>
  </si>
  <si>
    <t>Grupeira de Janeiro</t>
  </si>
  <si>
    <t>Grupeira de Março</t>
  </si>
  <si>
    <t>Empodera</t>
  </si>
  <si>
    <t>Lidera ll</t>
  </si>
  <si>
    <t>Prêmio FEJERS</t>
  </si>
  <si>
    <t>Público</t>
  </si>
  <si>
    <t>Rede Gaúcha</t>
  </si>
  <si>
    <t>Diretorias</t>
  </si>
  <si>
    <t>Rede</t>
  </si>
  <si>
    <t>Lidera I</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</si>
  <si>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</si>
  <si>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</si>
  <si>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</si>
  <si>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</si>
  <si>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</si>
  <si>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</si>
  <si>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</si>
  <si>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</si>
  <si>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</si>
  <si>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</si>
  <si>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</si>
  <si>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</si>
  <si>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</si>
  <si>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</si>
  <si>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</si>
  <si>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</si>
  <si>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</si>
  <si>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</si>
  <si>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</si>
  <si>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</si>
  <si>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</si>
  <si>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</si>
  <si>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</si>
  <si>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</si>
  <si>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</si>
  <si>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</si>
  <si>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</si>
  <si>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</si>
  <si>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Gramado</t>
  </si>
  <si>
    <t>Xangri-lá</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</si>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</sst>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17"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s>
  <fills count="19">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s>
  <borders count="7">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cellStyleXfs>
  <cellXfs count="85">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3" borderId="0" xfId="0" applyFont="1" applyFill="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166" fontId="0" fillId="0" borderId="0" xfId="0" applyNumberFormat="1"/>
    <xf numFmtId="166" fontId="16" fillId="0" borderId="0" xfId="0" applyNumberFormat="1" applyFont="1"/>
    <xf numFmtId="166" fontId="13" fillId="0" borderId="0" xfId="0" applyNumberFormat="1" applyFont="1"/>
    <xf numFmtId="0" fontId="0" fillId="5" borderId="0" xfId="0" applyFill="1"/>
    <xf numFmtId="0" fontId="3" fillId="0" borderId="0" xfId="0" applyFont="1" applyAlignment="1" applyProtection="1">
      <alignment horizontal="left" vertical="top"/>
    </xf>
    <xf numFmtId="0" fontId="0" fillId="17" borderId="0" xfId="0" applyFill="1"/>
    <xf numFmtId="0" fontId="3" fillId="17" borderId="3" xfId="0" applyFont="1" applyFill="1" applyBorder="1" applyAlignment="1">
      <alignment horizontal="left" vertical="top"/>
    </xf>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3" fillId="17" borderId="0" xfId="0" applyFont="1" applyFill="1" applyAlignment="1" applyProtection="1">
      <alignment vertical="top"/>
      <protection locked="0"/>
    </xf>
    <xf numFmtId="0" fontId="3" fillId="18"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0" fontId="3" fillId="17" borderId="4" xfId="0" applyFont="1" applyFill="1" applyBorder="1" applyAlignment="1" applyProtection="1">
      <alignment horizontal="left" vertical="top"/>
      <protection locked="0"/>
    </xf>
    <xf numFmtId="2" fontId="3" fillId="17" borderId="3" xfId="0" applyNumberFormat="1" applyFont="1" applyFill="1" applyBorder="1" applyAlignment="1" applyProtection="1">
      <alignment horizontal="left" vertical="top"/>
      <protection locked="0"/>
    </xf>
  </cellXfs>
  <cellStyles count="6">
    <cellStyle name="Bom" xfId="1" builtinId="26"/>
    <cellStyle name="Hiperlink" xfId="5" builtinId="8"/>
    <cellStyle name="Normal" xfId="0" builtinId="0"/>
    <cellStyle name="Normal 2" xfId="2" xr:uid="{918334E3-C445-480C-BEC9-8F81830728B7}"/>
    <cellStyle name="Normal 3" xfId="3" xr:uid="{8A5DC99F-E6CF-4AFF-84A3-54247267BE49}"/>
    <cellStyle name="Vírgula" xfId="4" builtinId="3"/>
  </cellStyles>
  <dxfs count="18">
    <dxf>
      <font>
        <strike val="0"/>
        <outline val="0"/>
        <shadow val="0"/>
        <u val="none"/>
        <vertAlign val="baseline"/>
        <sz val="11"/>
        <color theme="0"/>
        <name val="Arial"/>
        <family val="1"/>
        <scheme val="none"/>
      </font>
      <fill>
        <patternFill patternType="solid">
          <fgColor indexed="64"/>
          <bgColor theme="1"/>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family val="2"/>
        <scheme val="none"/>
      </font>
      <fill>
        <patternFill patternType="solid">
          <fgColor indexed="64"/>
          <bgColor rgb="FFFFFFCC"/>
        </patternFill>
      </fill>
    </dxf>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B42671F-7C57-445A-A858-129ABE338A65}" name="Calendário_Eventos7" displayName="Calendário_Eventos7" ref="A1:E7" totalsRowShown="0" headerRowDxfId="0" dataDxfId="1">
  <autoFilter ref="A1:E7" xr:uid="{8ADF5D94-A33C-4535-A58E-7CBF63EDCCEF}"/>
  <tableColumns count="5">
    <tableColumn id="1" xr3:uid="{B87CB1F0-46A4-4B0A-941C-5E5122F8D155}" name="Evento" dataDxfId="6"/>
    <tableColumn id="2" xr3:uid="{EA83B678-D464-430C-A8BD-C82FA2CD7EC0}" name="Mês" dataDxfId="5"/>
    <tableColumn id="3" xr3:uid="{90E7CB73-CB88-48BE-917F-71F4F85E581B}" name="Ano" dataDxfId="4"/>
    <tableColumn id="4" xr3:uid="{821DDF45-2176-4529-BEB0-BFF0EF2D056F}" name="Público" dataDxfId="3"/>
    <tableColumn id="5" xr3:uid="{0D3D9A1C-49F3-4EF6-927C-AEAEEB58BD62}" name="Cidade" dataDxfId="2"/>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FDF8D-0CCE-49CA-A7A6-FF7ED59FAB4A}" name="Tabela4" displayName="Tabela4" ref="A1:G891" totalsRowShown="0" headerRowDxfId="17" dataDxfId="16" tableBorderDxfId="15">
  <autoFilter ref="A1:G891" xr:uid="{51F36121-56BC-4261-A1E8-3AFC07494F8C}"/>
  <tableColumns count="7">
    <tableColumn id="1" xr3:uid="{F5BD123D-094B-4489-B765-C743FC5178E8}" name="EMPRESA JÚNIOR" dataDxfId="14"/>
    <tableColumn id="2" xr3:uid="{7E0C0D96-7EE2-4B45-AEA0-83AAECF3AD30}" name="FATURAMENTO" dataDxfId="13"/>
    <tableColumn id="3" xr3:uid="{D85BCC31-F68C-4734-93A6-DC5BCAF3AE85}" name="NPS" dataDxfId="12"/>
    <tableColumn id="4" xr3:uid="{177F0116-2E2B-42A4-8AF1-3A1E0E614A55}" name="NPS 0-1000" dataDxfId="11">
      <calculatedColumnFormula>IF(AND(B2&gt;0,B2&lt;1000),C2,"")</calculatedColumnFormula>
    </tableColumn>
    <tableColumn id="5" xr3:uid="{CDE26274-32DB-47CB-8DFF-07091307F6CB}" name="NPS 1000-2500" dataDxfId="10">
      <calculatedColumnFormula>IF(AND(B2&gt;1000,B2&lt;2500),C2,"")</calculatedColumnFormula>
    </tableColumn>
    <tableColumn id="6" xr3:uid="{F6B020AA-86C7-48DA-B6AA-C31B04BB9060}" name="NPS 2500-5000" dataDxfId="9">
      <calculatedColumnFormula>IF(AND(B2&gt;2500,B2&lt;5000),C2,"")</calculatedColumnFormula>
    </tableColumn>
    <tableColumn id="7" xr3:uid="{A43BE809-AD4B-4F2F-AEF1-3329964DD2A0}" name="NPS 5000+" dataDxfId="8">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54B2A0-0A8F-413F-9C0C-E93D26CA71B7}" name="Tabela_NPS_Fat" displayName="Tabela_NPS_Fat" ref="I1:J5" totalsRowShown="0">
  <autoFilter ref="I1:J5" xr:uid="{3295375D-F74C-426B-8C55-C3AC2C53854C}"/>
  <tableColumns count="2">
    <tableColumn id="1" xr3:uid="{2A60F375-7158-4FC8-B530-695259CC172D}" name="Faturamento" dataDxfId="7"/>
    <tableColumn id="2" xr3:uid="{9978CF76-3949-42B0-8A2C-7F6E9B74E374}"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4.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193EA-6FAC-4558-B730-8FA5DD9018F1}">
  <dimension ref="A1:S649"/>
  <sheetViews>
    <sheetView workbookViewId="0">
      <pane xSplit="3" ySplit="1" topLeftCell="D2" activePane="bottomRight" state="frozen"/>
      <selection pane="topRight" activeCell="D1" sqref="D1"/>
      <selection pane="bottomLeft" activeCell="A2" sqref="A2"/>
      <selection pane="bottomRight" activeCell="Q11" sqref="Q11"/>
    </sheetView>
  </sheetViews>
  <sheetFormatPr defaultRowHeight="13.8" x14ac:dyDescent="0.25"/>
  <cols>
    <col min="1" max="1" width="43" style="5" customWidth="1"/>
    <col min="2" max="2" width="12.3984375" style="5" customWidth="1"/>
    <col min="3" max="3" width="10.296875" style="5" customWidth="1"/>
    <col min="4" max="4" width="21" customWidth="1"/>
    <col min="5" max="5" width="21.796875" customWidth="1"/>
    <col min="6" max="6" width="29.796875" customWidth="1"/>
    <col min="7" max="7" width="34.796875" customWidth="1"/>
    <col min="8" max="8" width="16.69921875" customWidth="1"/>
    <col min="9" max="9" width="19.8984375" customWidth="1"/>
    <col min="10" max="10" width="31.59765625" customWidth="1"/>
    <col min="11" max="11" width="31.796875" customWidth="1"/>
    <col min="12" max="12" width="18.296875" style="5" customWidth="1"/>
    <col min="13" max="13" width="23.69921875" style="5" customWidth="1"/>
    <col min="14" max="14" width="30.5" style="5" customWidth="1"/>
    <col min="15" max="15" width="32.19921875" style="5" customWidth="1"/>
    <col min="16" max="16" width="16.8984375" bestFit="1" customWidth="1"/>
    <col min="17" max="17" width="21.3984375" bestFit="1" customWidth="1"/>
    <col min="18" max="18" width="27.8984375" bestFit="1" customWidth="1"/>
    <col min="19" max="19" width="32.09765625" bestFit="1" customWidth="1"/>
  </cols>
  <sheetData>
    <row r="1" spans="1:19" s="64" customFormat="1" ht="15.6" x14ac:dyDescent="0.25">
      <c r="A1" s="59" t="s">
        <v>0</v>
      </c>
      <c r="B1" s="59" t="s">
        <v>248</v>
      </c>
      <c r="C1" s="59" t="s">
        <v>274</v>
      </c>
      <c r="D1" s="60" t="s">
        <v>275</v>
      </c>
      <c r="E1" s="60" t="s">
        <v>276</v>
      </c>
      <c r="F1" s="60" t="s">
        <v>277</v>
      </c>
      <c r="G1" s="60" t="s">
        <v>278</v>
      </c>
      <c r="H1" s="60" t="s">
        <v>279</v>
      </c>
      <c r="I1" s="60" t="s">
        <v>280</v>
      </c>
      <c r="J1" s="60" t="s">
        <v>281</v>
      </c>
      <c r="K1" s="60" t="s">
        <v>282</v>
      </c>
      <c r="L1" s="59" t="s">
        <v>283</v>
      </c>
      <c r="M1" s="59" t="s">
        <v>284</v>
      </c>
      <c r="N1" s="57" t="s">
        <v>286</v>
      </c>
      <c r="O1" s="57" t="s">
        <v>285</v>
      </c>
      <c r="P1" s="59" t="s">
        <v>298</v>
      </c>
      <c r="Q1" s="59" t="s">
        <v>299</v>
      </c>
      <c r="R1" s="57" t="s">
        <v>300</v>
      </c>
      <c r="S1" s="57" t="s">
        <v>301</v>
      </c>
    </row>
    <row r="2" spans="1:19" x14ac:dyDescent="0.25">
      <c r="A2" s="6" t="s">
        <v>87</v>
      </c>
      <c r="B2" s="6" t="s">
        <v>158</v>
      </c>
      <c r="C2" s="6">
        <v>1</v>
      </c>
      <c r="D2" s="62">
        <v>0</v>
      </c>
      <c r="E2" s="62">
        <v>0</v>
      </c>
      <c r="F2" s="62">
        <f>D2</f>
        <v>0</v>
      </c>
      <c r="G2" s="62">
        <f>E2</f>
        <v>0</v>
      </c>
      <c r="H2" s="61">
        <v>0</v>
      </c>
      <c r="I2" s="61">
        <v>0</v>
      </c>
      <c r="J2" s="61">
        <f>H2</f>
        <v>0</v>
      </c>
      <c r="K2" s="61">
        <f>I2</f>
        <v>0</v>
      </c>
      <c r="L2" s="6">
        <v>2</v>
      </c>
      <c r="M2" s="6">
        <v>4050</v>
      </c>
      <c r="N2" s="62">
        <f>L2</f>
        <v>2</v>
      </c>
      <c r="O2" s="62">
        <f>M2</f>
        <v>4050</v>
      </c>
    </row>
    <row r="3" spans="1:19" x14ac:dyDescent="0.25">
      <c r="A3" s="6" t="s">
        <v>87</v>
      </c>
      <c r="B3" s="6" t="s">
        <v>159</v>
      </c>
      <c r="C3" s="6">
        <v>2</v>
      </c>
      <c r="D3" s="62">
        <v>0</v>
      </c>
      <c r="E3" s="62">
        <v>0</v>
      </c>
      <c r="F3" s="62">
        <f t="shared" ref="F3:G13" si="0">F2+D3</f>
        <v>0</v>
      </c>
      <c r="G3" s="62">
        <f t="shared" si="0"/>
        <v>0</v>
      </c>
      <c r="H3" s="61">
        <v>0</v>
      </c>
      <c r="I3" s="61">
        <v>0</v>
      </c>
      <c r="J3" s="61">
        <f t="shared" ref="J3:K13" si="1">J2+H3</f>
        <v>0</v>
      </c>
      <c r="K3" s="61">
        <f t="shared" si="1"/>
        <v>0</v>
      </c>
      <c r="L3" s="6">
        <v>1</v>
      </c>
      <c r="M3" s="6">
        <v>400</v>
      </c>
      <c r="N3" s="62">
        <f t="shared" ref="N3:N13" si="2">N2+L3</f>
        <v>3</v>
      </c>
      <c r="O3" s="62">
        <f t="shared" ref="O3:O13" si="3">O2+M3</f>
        <v>4450</v>
      </c>
    </row>
    <row r="4" spans="1:19" x14ac:dyDescent="0.25">
      <c r="A4" s="6" t="s">
        <v>87</v>
      </c>
      <c r="B4" s="6" t="s">
        <v>160</v>
      </c>
      <c r="C4" s="6">
        <v>3</v>
      </c>
      <c r="D4" s="62">
        <v>0</v>
      </c>
      <c r="E4" s="62">
        <v>0</v>
      </c>
      <c r="F4" s="62">
        <f t="shared" si="0"/>
        <v>0</v>
      </c>
      <c r="G4" s="62">
        <f t="shared" si="0"/>
        <v>0</v>
      </c>
      <c r="H4" s="61">
        <v>0</v>
      </c>
      <c r="I4" s="61">
        <v>0</v>
      </c>
      <c r="J4" s="61">
        <f t="shared" si="1"/>
        <v>0</v>
      </c>
      <c r="K4" s="61">
        <f t="shared" si="1"/>
        <v>0</v>
      </c>
      <c r="L4" s="6">
        <v>0</v>
      </c>
      <c r="M4" s="6">
        <v>0</v>
      </c>
      <c r="N4" s="62">
        <f t="shared" si="2"/>
        <v>3</v>
      </c>
      <c r="O4" s="62">
        <f t="shared" si="3"/>
        <v>4450</v>
      </c>
    </row>
    <row r="5" spans="1:19" x14ac:dyDescent="0.25">
      <c r="A5" s="6" t="s">
        <v>87</v>
      </c>
      <c r="B5" s="6" t="s">
        <v>161</v>
      </c>
      <c r="C5" s="6">
        <v>4</v>
      </c>
      <c r="D5" s="62">
        <v>0</v>
      </c>
      <c r="E5" s="62">
        <v>0</v>
      </c>
      <c r="F5" s="62">
        <f t="shared" si="0"/>
        <v>0</v>
      </c>
      <c r="G5" s="62">
        <f t="shared" si="0"/>
        <v>0</v>
      </c>
      <c r="H5" s="61">
        <v>0</v>
      </c>
      <c r="I5" s="61">
        <v>0</v>
      </c>
      <c r="J5" s="61">
        <f t="shared" si="1"/>
        <v>0</v>
      </c>
      <c r="K5" s="61">
        <f t="shared" si="1"/>
        <v>0</v>
      </c>
      <c r="L5" s="6">
        <v>1</v>
      </c>
      <c r="M5" s="6">
        <v>180</v>
      </c>
      <c r="N5" s="62">
        <f t="shared" si="2"/>
        <v>4</v>
      </c>
      <c r="O5" s="62">
        <f t="shared" si="3"/>
        <v>4630</v>
      </c>
    </row>
    <row r="6" spans="1:19" x14ac:dyDescent="0.25">
      <c r="A6" s="6" t="s">
        <v>87</v>
      </c>
      <c r="B6" s="6" t="s">
        <v>162</v>
      </c>
      <c r="C6" s="6">
        <v>5</v>
      </c>
      <c r="D6" s="62">
        <v>0</v>
      </c>
      <c r="E6" s="62">
        <v>0</v>
      </c>
      <c r="F6" s="62">
        <f t="shared" si="0"/>
        <v>0</v>
      </c>
      <c r="G6" s="62">
        <f t="shared" si="0"/>
        <v>0</v>
      </c>
      <c r="H6" s="61">
        <v>0</v>
      </c>
      <c r="I6" s="61">
        <v>0</v>
      </c>
      <c r="J6" s="61">
        <f t="shared" si="1"/>
        <v>0</v>
      </c>
      <c r="K6" s="61">
        <f t="shared" si="1"/>
        <v>0</v>
      </c>
      <c r="L6" s="6">
        <v>2</v>
      </c>
      <c r="M6" s="6">
        <v>1890</v>
      </c>
      <c r="N6" s="62">
        <f t="shared" si="2"/>
        <v>6</v>
      </c>
      <c r="O6" s="62">
        <f t="shared" si="3"/>
        <v>6520</v>
      </c>
    </row>
    <row r="7" spans="1:19" x14ac:dyDescent="0.25">
      <c r="A7" s="6" t="s">
        <v>87</v>
      </c>
      <c r="B7" s="6" t="s">
        <v>163</v>
      </c>
      <c r="C7" s="6">
        <v>6</v>
      </c>
      <c r="D7" s="62">
        <v>0</v>
      </c>
      <c r="E7" s="62">
        <v>0</v>
      </c>
      <c r="F7" s="62">
        <f t="shared" si="0"/>
        <v>0</v>
      </c>
      <c r="G7" s="62">
        <f t="shared" si="0"/>
        <v>0</v>
      </c>
      <c r="H7" s="61">
        <v>0</v>
      </c>
      <c r="I7" s="61">
        <v>0</v>
      </c>
      <c r="J7" s="61">
        <f t="shared" si="1"/>
        <v>0</v>
      </c>
      <c r="K7" s="61">
        <f t="shared" si="1"/>
        <v>0</v>
      </c>
      <c r="L7" s="6">
        <v>2</v>
      </c>
      <c r="M7" s="6">
        <v>1656</v>
      </c>
      <c r="N7" s="62">
        <f t="shared" si="2"/>
        <v>8</v>
      </c>
      <c r="O7" s="62">
        <f t="shared" si="3"/>
        <v>8176</v>
      </c>
    </row>
    <row r="8" spans="1:19" x14ac:dyDescent="0.25">
      <c r="A8" s="6" t="s">
        <v>87</v>
      </c>
      <c r="B8" s="6" t="s">
        <v>164</v>
      </c>
      <c r="C8" s="6">
        <v>7</v>
      </c>
      <c r="D8" s="62">
        <v>0</v>
      </c>
      <c r="E8" s="62">
        <v>0</v>
      </c>
      <c r="F8" s="62">
        <f t="shared" si="0"/>
        <v>0</v>
      </c>
      <c r="G8" s="62">
        <f t="shared" si="0"/>
        <v>0</v>
      </c>
      <c r="H8" s="61">
        <v>1</v>
      </c>
      <c r="I8" s="61">
        <v>220</v>
      </c>
      <c r="J8" s="61">
        <f t="shared" si="1"/>
        <v>1</v>
      </c>
      <c r="K8" s="61">
        <f t="shared" si="1"/>
        <v>220</v>
      </c>
      <c r="L8" s="6">
        <v>0</v>
      </c>
      <c r="M8" s="6">
        <v>0</v>
      </c>
      <c r="N8" s="62">
        <f t="shared" si="2"/>
        <v>8</v>
      </c>
      <c r="O8" s="62">
        <f t="shared" si="3"/>
        <v>8176</v>
      </c>
    </row>
    <row r="9" spans="1:19" x14ac:dyDescent="0.25">
      <c r="A9" s="6" t="s">
        <v>87</v>
      </c>
      <c r="B9" s="6" t="s">
        <v>165</v>
      </c>
      <c r="C9" s="6">
        <v>8</v>
      </c>
      <c r="D9" s="62">
        <v>0</v>
      </c>
      <c r="E9" s="62">
        <v>0</v>
      </c>
      <c r="F9" s="62">
        <f t="shared" si="0"/>
        <v>0</v>
      </c>
      <c r="G9" s="62">
        <f t="shared" si="0"/>
        <v>0</v>
      </c>
      <c r="H9" s="61">
        <v>1</v>
      </c>
      <c r="I9" s="61">
        <v>1119.6199999999999</v>
      </c>
      <c r="J9" s="61">
        <f t="shared" si="1"/>
        <v>2</v>
      </c>
      <c r="K9" s="61">
        <f t="shared" si="1"/>
        <v>1339.62</v>
      </c>
      <c r="L9" s="6">
        <v>1</v>
      </c>
      <c r="M9" s="6">
        <v>310</v>
      </c>
      <c r="N9" s="62">
        <f t="shared" si="2"/>
        <v>9</v>
      </c>
      <c r="O9" s="62">
        <f t="shared" si="3"/>
        <v>8486</v>
      </c>
    </row>
    <row r="10" spans="1:19" x14ac:dyDescent="0.25">
      <c r="A10" s="6" t="s">
        <v>87</v>
      </c>
      <c r="B10" s="6" t="s">
        <v>166</v>
      </c>
      <c r="C10" s="6">
        <v>9</v>
      </c>
      <c r="D10" s="62">
        <v>0</v>
      </c>
      <c r="E10" s="62">
        <v>0</v>
      </c>
      <c r="F10" s="62">
        <f t="shared" si="0"/>
        <v>0</v>
      </c>
      <c r="G10" s="62">
        <f t="shared" si="0"/>
        <v>0</v>
      </c>
      <c r="H10" s="61">
        <v>0</v>
      </c>
      <c r="I10" s="61">
        <v>0</v>
      </c>
      <c r="J10" s="61">
        <f t="shared" si="1"/>
        <v>2</v>
      </c>
      <c r="K10" s="61">
        <f t="shared" si="1"/>
        <v>1339.62</v>
      </c>
      <c r="L10" s="6">
        <v>2</v>
      </c>
      <c r="M10" s="6">
        <v>1490</v>
      </c>
      <c r="N10" s="62">
        <f t="shared" si="2"/>
        <v>11</v>
      </c>
      <c r="O10" s="62">
        <f t="shared" si="3"/>
        <v>9976</v>
      </c>
    </row>
    <row r="11" spans="1:19" x14ac:dyDescent="0.25">
      <c r="A11" s="6" t="s">
        <v>87</v>
      </c>
      <c r="B11" s="6" t="s">
        <v>167</v>
      </c>
      <c r="C11" s="6">
        <v>10</v>
      </c>
      <c r="D11" s="62">
        <v>0</v>
      </c>
      <c r="E11" s="62">
        <v>0</v>
      </c>
      <c r="F11" s="62">
        <f t="shared" si="0"/>
        <v>0</v>
      </c>
      <c r="G11" s="62">
        <f t="shared" si="0"/>
        <v>0</v>
      </c>
      <c r="H11" s="61">
        <v>1</v>
      </c>
      <c r="I11" s="61">
        <v>420</v>
      </c>
      <c r="J11" s="61">
        <f t="shared" si="1"/>
        <v>3</v>
      </c>
      <c r="K11" s="61">
        <f t="shared" si="1"/>
        <v>1759.62</v>
      </c>
      <c r="L11" s="6">
        <v>2</v>
      </c>
      <c r="M11" s="6">
        <v>1180</v>
      </c>
      <c r="N11" s="62">
        <f t="shared" si="2"/>
        <v>13</v>
      </c>
      <c r="O11" s="62">
        <f t="shared" si="3"/>
        <v>11156</v>
      </c>
    </row>
    <row r="12" spans="1:19" x14ac:dyDescent="0.25">
      <c r="A12" s="6" t="s">
        <v>87</v>
      </c>
      <c r="B12" s="6" t="s">
        <v>168</v>
      </c>
      <c r="C12" s="6">
        <v>11</v>
      </c>
      <c r="D12" s="62">
        <v>0</v>
      </c>
      <c r="E12" s="62">
        <v>0</v>
      </c>
      <c r="F12" s="62">
        <f t="shared" si="0"/>
        <v>0</v>
      </c>
      <c r="G12" s="62">
        <f t="shared" si="0"/>
        <v>0</v>
      </c>
      <c r="H12" s="61">
        <v>1</v>
      </c>
      <c r="I12" s="61">
        <v>1940</v>
      </c>
      <c r="J12" s="61">
        <f t="shared" si="1"/>
        <v>4</v>
      </c>
      <c r="K12" s="61">
        <f t="shared" si="1"/>
        <v>3699.62</v>
      </c>
      <c r="L12" s="6">
        <v>3</v>
      </c>
      <c r="M12" s="6">
        <v>2740</v>
      </c>
      <c r="N12" s="62">
        <f t="shared" si="2"/>
        <v>16</v>
      </c>
      <c r="O12" s="62">
        <f t="shared" si="3"/>
        <v>13896</v>
      </c>
    </row>
    <row r="13" spans="1:19" x14ac:dyDescent="0.25">
      <c r="A13" s="6" t="s">
        <v>87</v>
      </c>
      <c r="B13" s="6" t="s">
        <v>169</v>
      </c>
      <c r="C13" s="6">
        <v>12</v>
      </c>
      <c r="D13" s="62">
        <v>0</v>
      </c>
      <c r="E13" s="62">
        <v>0</v>
      </c>
      <c r="F13" s="62">
        <f t="shared" si="0"/>
        <v>0</v>
      </c>
      <c r="G13" s="62">
        <f t="shared" si="0"/>
        <v>0</v>
      </c>
      <c r="H13" s="61">
        <v>0</v>
      </c>
      <c r="I13" s="61">
        <v>0</v>
      </c>
      <c r="J13" s="61">
        <f t="shared" si="1"/>
        <v>4</v>
      </c>
      <c r="K13" s="61">
        <f t="shared" si="1"/>
        <v>3699.62</v>
      </c>
      <c r="L13" s="6">
        <v>1</v>
      </c>
      <c r="M13" s="6">
        <v>1500</v>
      </c>
      <c r="N13" s="62">
        <f t="shared" si="2"/>
        <v>17</v>
      </c>
      <c r="O13" s="62">
        <f t="shared" si="3"/>
        <v>15396</v>
      </c>
    </row>
    <row r="14" spans="1:19" x14ac:dyDescent="0.25">
      <c r="A14" s="6" t="s">
        <v>98</v>
      </c>
      <c r="B14" s="6" t="s">
        <v>158</v>
      </c>
      <c r="C14" s="6">
        <v>1</v>
      </c>
      <c r="D14" s="62">
        <v>0</v>
      </c>
      <c r="E14" s="62">
        <v>0</v>
      </c>
      <c r="F14" s="62">
        <f>D14</f>
        <v>0</v>
      </c>
      <c r="G14" s="62">
        <f>E14</f>
        <v>0</v>
      </c>
      <c r="H14" s="62">
        <v>0</v>
      </c>
      <c r="I14" s="62">
        <v>0</v>
      </c>
      <c r="J14" s="62">
        <f>H14</f>
        <v>0</v>
      </c>
      <c r="K14" s="62">
        <f>I14</f>
        <v>0</v>
      </c>
      <c r="L14" s="6">
        <v>0</v>
      </c>
      <c r="M14" s="6">
        <v>0</v>
      </c>
      <c r="N14" s="62">
        <f>L14</f>
        <v>0</v>
      </c>
      <c r="O14" s="62">
        <f>M14</f>
        <v>0</v>
      </c>
    </row>
    <row r="15" spans="1:19" x14ac:dyDescent="0.25">
      <c r="A15" s="6" t="s">
        <v>98</v>
      </c>
      <c r="B15" s="6" t="s">
        <v>159</v>
      </c>
      <c r="C15" s="6">
        <v>2</v>
      </c>
      <c r="D15" s="62">
        <v>0</v>
      </c>
      <c r="E15" s="62">
        <v>0</v>
      </c>
      <c r="F15" s="62">
        <f t="shared" ref="F15:G25" si="4">F14+D15</f>
        <v>0</v>
      </c>
      <c r="G15" s="62">
        <f t="shared" si="4"/>
        <v>0</v>
      </c>
      <c r="H15" s="62">
        <v>0</v>
      </c>
      <c r="I15" s="62">
        <v>0</v>
      </c>
      <c r="J15" s="62">
        <f t="shared" ref="J15:J25" si="5">J14+H15</f>
        <v>0</v>
      </c>
      <c r="K15" s="62">
        <f t="shared" ref="K15:K25" si="6">K14+I15</f>
        <v>0</v>
      </c>
      <c r="L15" s="6">
        <v>0</v>
      </c>
      <c r="M15" s="6">
        <v>0</v>
      </c>
      <c r="N15" s="62">
        <f t="shared" ref="N15:N25" si="7">N14+L15</f>
        <v>0</v>
      </c>
      <c r="O15" s="62">
        <f t="shared" ref="O15:O25" si="8">O14+M15</f>
        <v>0</v>
      </c>
    </row>
    <row r="16" spans="1:19" x14ac:dyDescent="0.25">
      <c r="A16" s="6" t="s">
        <v>98</v>
      </c>
      <c r="B16" s="6" t="s">
        <v>160</v>
      </c>
      <c r="C16" s="6">
        <v>3</v>
      </c>
      <c r="D16" s="62">
        <v>0</v>
      </c>
      <c r="E16" s="62">
        <v>0</v>
      </c>
      <c r="F16" s="62">
        <f t="shared" si="4"/>
        <v>0</v>
      </c>
      <c r="G16" s="62">
        <f t="shared" si="4"/>
        <v>0</v>
      </c>
      <c r="H16" s="62">
        <v>0</v>
      </c>
      <c r="I16" s="62">
        <v>0</v>
      </c>
      <c r="J16" s="62">
        <f t="shared" si="5"/>
        <v>0</v>
      </c>
      <c r="K16" s="62">
        <f t="shared" si="6"/>
        <v>0</v>
      </c>
      <c r="L16" s="6">
        <v>0</v>
      </c>
      <c r="M16" s="6">
        <v>0</v>
      </c>
      <c r="N16" s="62">
        <f t="shared" si="7"/>
        <v>0</v>
      </c>
      <c r="O16" s="62">
        <f t="shared" si="8"/>
        <v>0</v>
      </c>
    </row>
    <row r="17" spans="1:15" x14ac:dyDescent="0.25">
      <c r="A17" s="6" t="s">
        <v>98</v>
      </c>
      <c r="B17" s="6" t="s">
        <v>161</v>
      </c>
      <c r="C17" s="6">
        <v>4</v>
      </c>
      <c r="D17" s="62">
        <v>0</v>
      </c>
      <c r="E17" s="62">
        <v>0</v>
      </c>
      <c r="F17" s="62">
        <f t="shared" si="4"/>
        <v>0</v>
      </c>
      <c r="G17" s="62">
        <f t="shared" si="4"/>
        <v>0</v>
      </c>
      <c r="H17" s="62">
        <v>0</v>
      </c>
      <c r="I17" s="62">
        <v>0</v>
      </c>
      <c r="J17" s="62">
        <f t="shared" si="5"/>
        <v>0</v>
      </c>
      <c r="K17" s="62">
        <f t="shared" si="6"/>
        <v>0</v>
      </c>
      <c r="L17" s="6">
        <v>0</v>
      </c>
      <c r="M17" s="6">
        <v>0</v>
      </c>
      <c r="N17" s="62">
        <f t="shared" si="7"/>
        <v>0</v>
      </c>
      <c r="O17" s="62">
        <f t="shared" si="8"/>
        <v>0</v>
      </c>
    </row>
    <row r="18" spans="1:15" x14ac:dyDescent="0.25">
      <c r="A18" s="6" t="s">
        <v>98</v>
      </c>
      <c r="B18" s="6" t="s">
        <v>162</v>
      </c>
      <c r="C18" s="6">
        <v>5</v>
      </c>
      <c r="D18" s="62">
        <v>0</v>
      </c>
      <c r="E18" s="62">
        <v>0</v>
      </c>
      <c r="F18" s="62">
        <f t="shared" si="4"/>
        <v>0</v>
      </c>
      <c r="G18" s="62">
        <f t="shared" si="4"/>
        <v>0</v>
      </c>
      <c r="H18" s="62">
        <v>0</v>
      </c>
      <c r="I18" s="62">
        <v>0</v>
      </c>
      <c r="J18" s="62">
        <f t="shared" si="5"/>
        <v>0</v>
      </c>
      <c r="K18" s="62">
        <f t="shared" si="6"/>
        <v>0</v>
      </c>
      <c r="L18" s="6">
        <v>0</v>
      </c>
      <c r="M18" s="6">
        <v>0</v>
      </c>
      <c r="N18" s="62">
        <f t="shared" si="7"/>
        <v>0</v>
      </c>
      <c r="O18" s="62">
        <f t="shared" si="8"/>
        <v>0</v>
      </c>
    </row>
    <row r="19" spans="1:15" x14ac:dyDescent="0.25">
      <c r="A19" s="6" t="s">
        <v>98</v>
      </c>
      <c r="B19" s="6" t="s">
        <v>163</v>
      </c>
      <c r="C19" s="6">
        <v>6</v>
      </c>
      <c r="D19" s="62">
        <v>0</v>
      </c>
      <c r="E19" s="62">
        <v>0</v>
      </c>
      <c r="F19" s="62">
        <f t="shared" si="4"/>
        <v>0</v>
      </c>
      <c r="G19" s="62">
        <f t="shared" si="4"/>
        <v>0</v>
      </c>
      <c r="H19" s="62">
        <v>0</v>
      </c>
      <c r="I19" s="62">
        <v>0</v>
      </c>
      <c r="J19" s="62">
        <f t="shared" si="5"/>
        <v>0</v>
      </c>
      <c r="K19" s="62">
        <f t="shared" si="6"/>
        <v>0</v>
      </c>
      <c r="L19" s="6">
        <v>0</v>
      </c>
      <c r="M19" s="6">
        <v>0</v>
      </c>
      <c r="N19" s="62">
        <f t="shared" si="7"/>
        <v>0</v>
      </c>
      <c r="O19" s="62">
        <f t="shared" si="8"/>
        <v>0</v>
      </c>
    </row>
    <row r="20" spans="1:15" x14ac:dyDescent="0.25">
      <c r="A20" s="6" t="s">
        <v>98</v>
      </c>
      <c r="B20" s="6" t="s">
        <v>164</v>
      </c>
      <c r="C20" s="6">
        <v>7</v>
      </c>
      <c r="D20" s="62">
        <v>0</v>
      </c>
      <c r="E20" s="62">
        <v>0</v>
      </c>
      <c r="F20" s="62">
        <f t="shared" si="4"/>
        <v>0</v>
      </c>
      <c r="G20" s="62">
        <f t="shared" si="4"/>
        <v>0</v>
      </c>
      <c r="H20" s="62">
        <v>0</v>
      </c>
      <c r="I20" s="62">
        <v>0</v>
      </c>
      <c r="J20" s="62">
        <f t="shared" si="5"/>
        <v>0</v>
      </c>
      <c r="K20" s="62">
        <f t="shared" si="6"/>
        <v>0</v>
      </c>
      <c r="L20" s="6">
        <v>0</v>
      </c>
      <c r="M20" s="6">
        <v>0</v>
      </c>
      <c r="N20" s="62">
        <f t="shared" si="7"/>
        <v>0</v>
      </c>
      <c r="O20" s="62">
        <f t="shared" si="8"/>
        <v>0</v>
      </c>
    </row>
    <row r="21" spans="1:15" x14ac:dyDescent="0.25">
      <c r="A21" s="6" t="s">
        <v>98</v>
      </c>
      <c r="B21" s="6" t="s">
        <v>165</v>
      </c>
      <c r="C21" s="6">
        <v>8</v>
      </c>
      <c r="D21" s="62">
        <v>0</v>
      </c>
      <c r="E21" s="62">
        <v>0</v>
      </c>
      <c r="F21" s="62">
        <f t="shared" si="4"/>
        <v>0</v>
      </c>
      <c r="G21" s="62">
        <f t="shared" si="4"/>
        <v>0</v>
      </c>
      <c r="H21" s="62">
        <v>0</v>
      </c>
      <c r="I21" s="62">
        <v>0</v>
      </c>
      <c r="J21" s="62">
        <f t="shared" si="5"/>
        <v>0</v>
      </c>
      <c r="K21" s="62">
        <f t="shared" si="6"/>
        <v>0</v>
      </c>
      <c r="L21" s="6">
        <v>0</v>
      </c>
      <c r="M21" s="6">
        <v>0</v>
      </c>
      <c r="N21" s="62">
        <f t="shared" si="7"/>
        <v>0</v>
      </c>
      <c r="O21" s="62">
        <f t="shared" si="8"/>
        <v>0</v>
      </c>
    </row>
    <row r="22" spans="1:15" x14ac:dyDescent="0.25">
      <c r="A22" s="6" t="s">
        <v>98</v>
      </c>
      <c r="B22" s="6" t="s">
        <v>166</v>
      </c>
      <c r="C22" s="6">
        <v>9</v>
      </c>
      <c r="D22" s="62">
        <v>0</v>
      </c>
      <c r="E22" s="62">
        <v>0</v>
      </c>
      <c r="F22" s="62">
        <f t="shared" si="4"/>
        <v>0</v>
      </c>
      <c r="G22" s="62">
        <f t="shared" si="4"/>
        <v>0</v>
      </c>
      <c r="H22" s="62">
        <v>0</v>
      </c>
      <c r="I22" s="62">
        <v>0</v>
      </c>
      <c r="J22" s="62">
        <f t="shared" si="5"/>
        <v>0</v>
      </c>
      <c r="K22" s="62">
        <f t="shared" si="6"/>
        <v>0</v>
      </c>
      <c r="L22" s="6">
        <v>0</v>
      </c>
      <c r="M22" s="6">
        <v>0</v>
      </c>
      <c r="N22" s="62">
        <f t="shared" si="7"/>
        <v>0</v>
      </c>
      <c r="O22" s="62">
        <f t="shared" si="8"/>
        <v>0</v>
      </c>
    </row>
    <row r="23" spans="1:15" x14ac:dyDescent="0.25">
      <c r="A23" s="6" t="s">
        <v>98</v>
      </c>
      <c r="B23" s="6" t="s">
        <v>167</v>
      </c>
      <c r="C23" s="6">
        <v>10</v>
      </c>
      <c r="D23" s="62">
        <v>0</v>
      </c>
      <c r="E23" s="62">
        <v>0</v>
      </c>
      <c r="F23" s="62">
        <f t="shared" si="4"/>
        <v>0</v>
      </c>
      <c r="G23" s="62">
        <f t="shared" si="4"/>
        <v>0</v>
      </c>
      <c r="H23" s="62">
        <v>0</v>
      </c>
      <c r="I23" s="62">
        <v>0</v>
      </c>
      <c r="J23" s="62">
        <f t="shared" si="5"/>
        <v>0</v>
      </c>
      <c r="K23" s="62">
        <f t="shared" si="6"/>
        <v>0</v>
      </c>
      <c r="L23" s="6">
        <v>0</v>
      </c>
      <c r="M23" s="6">
        <v>0</v>
      </c>
      <c r="N23" s="62">
        <f t="shared" si="7"/>
        <v>0</v>
      </c>
      <c r="O23" s="62">
        <f t="shared" si="8"/>
        <v>0</v>
      </c>
    </row>
    <row r="24" spans="1:15" x14ac:dyDescent="0.25">
      <c r="A24" s="6" t="s">
        <v>98</v>
      </c>
      <c r="B24" s="6" t="s">
        <v>168</v>
      </c>
      <c r="C24" s="6">
        <v>11</v>
      </c>
      <c r="D24" s="62">
        <v>0</v>
      </c>
      <c r="E24" s="62">
        <v>0</v>
      </c>
      <c r="F24" s="62">
        <f t="shared" si="4"/>
        <v>0</v>
      </c>
      <c r="G24" s="62">
        <f t="shared" si="4"/>
        <v>0</v>
      </c>
      <c r="H24" s="62">
        <v>0</v>
      </c>
      <c r="I24" s="62">
        <v>0</v>
      </c>
      <c r="J24" s="62">
        <f t="shared" si="5"/>
        <v>0</v>
      </c>
      <c r="K24" s="62">
        <f t="shared" si="6"/>
        <v>0</v>
      </c>
      <c r="L24" s="6">
        <v>0</v>
      </c>
      <c r="M24" s="6">
        <v>0</v>
      </c>
      <c r="N24" s="62">
        <f t="shared" si="7"/>
        <v>0</v>
      </c>
      <c r="O24" s="62">
        <f t="shared" si="8"/>
        <v>0</v>
      </c>
    </row>
    <row r="25" spans="1:15" x14ac:dyDescent="0.25">
      <c r="A25" s="6" t="s">
        <v>98</v>
      </c>
      <c r="B25" s="6" t="s">
        <v>169</v>
      </c>
      <c r="C25" s="6">
        <v>12</v>
      </c>
      <c r="D25" s="62">
        <v>0</v>
      </c>
      <c r="E25" s="62">
        <v>0</v>
      </c>
      <c r="F25" s="62">
        <f t="shared" si="4"/>
        <v>0</v>
      </c>
      <c r="G25" s="62">
        <f t="shared" si="4"/>
        <v>0</v>
      </c>
      <c r="H25" s="62">
        <v>0</v>
      </c>
      <c r="I25" s="62">
        <v>0</v>
      </c>
      <c r="J25" s="62">
        <f t="shared" si="5"/>
        <v>0</v>
      </c>
      <c r="K25" s="62">
        <f t="shared" si="6"/>
        <v>0</v>
      </c>
      <c r="L25" s="6">
        <v>0</v>
      </c>
      <c r="M25" s="6">
        <v>0</v>
      </c>
      <c r="N25" s="62">
        <f t="shared" si="7"/>
        <v>0</v>
      </c>
      <c r="O25" s="62">
        <f t="shared" si="8"/>
        <v>0</v>
      </c>
    </row>
    <row r="26" spans="1:15" x14ac:dyDescent="0.25">
      <c r="A26" s="6" t="s">
        <v>56</v>
      </c>
      <c r="B26" s="6" t="s">
        <v>158</v>
      </c>
      <c r="C26" s="6">
        <v>1</v>
      </c>
      <c r="D26" s="62">
        <v>0</v>
      </c>
      <c r="E26" s="62">
        <v>0</v>
      </c>
      <c r="F26" s="62">
        <f>D26</f>
        <v>0</v>
      </c>
      <c r="G26" s="62">
        <f>E26</f>
        <v>0</v>
      </c>
      <c r="H26" s="61">
        <v>0</v>
      </c>
      <c r="I26" s="61">
        <v>0</v>
      </c>
      <c r="J26" s="61">
        <f>H26</f>
        <v>0</v>
      </c>
      <c r="K26" s="61">
        <f>I26</f>
        <v>0</v>
      </c>
      <c r="L26" s="6">
        <v>0</v>
      </c>
      <c r="M26" s="6">
        <v>0</v>
      </c>
      <c r="N26" s="62">
        <f>L26</f>
        <v>0</v>
      </c>
      <c r="O26" s="62">
        <f>M26</f>
        <v>0</v>
      </c>
    </row>
    <row r="27" spans="1:15" x14ac:dyDescent="0.25">
      <c r="A27" s="6" t="s">
        <v>56</v>
      </c>
      <c r="B27" s="6" t="s">
        <v>159</v>
      </c>
      <c r="C27" s="6">
        <v>2</v>
      </c>
      <c r="D27" s="62">
        <v>0</v>
      </c>
      <c r="E27" s="62">
        <v>0</v>
      </c>
      <c r="F27" s="62">
        <f t="shared" ref="F27:G37" si="9">F26+D27</f>
        <v>0</v>
      </c>
      <c r="G27" s="62">
        <f t="shared" si="9"/>
        <v>0</v>
      </c>
      <c r="H27" s="61">
        <v>0</v>
      </c>
      <c r="I27" s="61">
        <v>0</v>
      </c>
      <c r="J27" s="61">
        <f t="shared" ref="J27:K37" si="10">J26+H27</f>
        <v>0</v>
      </c>
      <c r="K27" s="61">
        <f t="shared" si="10"/>
        <v>0</v>
      </c>
      <c r="L27" s="6">
        <v>0</v>
      </c>
      <c r="M27" s="6">
        <v>0</v>
      </c>
      <c r="N27" s="62">
        <f t="shared" ref="N27:N37" si="11">N26+L27</f>
        <v>0</v>
      </c>
      <c r="O27" s="62">
        <f t="shared" ref="O27:O37" si="12">O26+M27</f>
        <v>0</v>
      </c>
    </row>
    <row r="28" spans="1:15" x14ac:dyDescent="0.25">
      <c r="A28" s="6" t="s">
        <v>56</v>
      </c>
      <c r="B28" s="6" t="s">
        <v>160</v>
      </c>
      <c r="C28" s="6">
        <v>3</v>
      </c>
      <c r="D28" s="62">
        <v>0</v>
      </c>
      <c r="E28" s="62">
        <v>0</v>
      </c>
      <c r="F28" s="62">
        <f t="shared" si="9"/>
        <v>0</v>
      </c>
      <c r="G28" s="62">
        <f t="shared" si="9"/>
        <v>0</v>
      </c>
      <c r="H28" s="61">
        <v>0</v>
      </c>
      <c r="I28" s="61">
        <v>0</v>
      </c>
      <c r="J28" s="61">
        <f t="shared" si="10"/>
        <v>0</v>
      </c>
      <c r="K28" s="61">
        <f t="shared" si="10"/>
        <v>0</v>
      </c>
      <c r="L28" s="6">
        <v>0</v>
      </c>
      <c r="M28" s="6">
        <v>0</v>
      </c>
      <c r="N28" s="62">
        <f t="shared" si="11"/>
        <v>0</v>
      </c>
      <c r="O28" s="62">
        <f t="shared" si="12"/>
        <v>0</v>
      </c>
    </row>
    <row r="29" spans="1:15" x14ac:dyDescent="0.25">
      <c r="A29" s="6" t="s">
        <v>56</v>
      </c>
      <c r="B29" s="6" t="s">
        <v>161</v>
      </c>
      <c r="C29" s="6">
        <v>4</v>
      </c>
      <c r="D29" s="62">
        <v>0</v>
      </c>
      <c r="E29" s="62">
        <v>0</v>
      </c>
      <c r="F29" s="62">
        <f t="shared" si="9"/>
        <v>0</v>
      </c>
      <c r="G29" s="62">
        <f t="shared" si="9"/>
        <v>0</v>
      </c>
      <c r="H29" s="61">
        <v>0</v>
      </c>
      <c r="I29" s="61">
        <v>0</v>
      </c>
      <c r="J29" s="61">
        <f t="shared" si="10"/>
        <v>0</v>
      </c>
      <c r="K29" s="61">
        <f t="shared" si="10"/>
        <v>0</v>
      </c>
      <c r="L29" s="6">
        <v>0</v>
      </c>
      <c r="M29" s="6">
        <v>0</v>
      </c>
      <c r="N29" s="62">
        <f t="shared" si="11"/>
        <v>0</v>
      </c>
      <c r="O29" s="62">
        <f t="shared" si="12"/>
        <v>0</v>
      </c>
    </row>
    <row r="30" spans="1:15" x14ac:dyDescent="0.25">
      <c r="A30" s="6" t="s">
        <v>56</v>
      </c>
      <c r="B30" s="6" t="s">
        <v>162</v>
      </c>
      <c r="C30" s="6">
        <v>5</v>
      </c>
      <c r="D30" s="62">
        <v>0</v>
      </c>
      <c r="E30" s="62">
        <v>0</v>
      </c>
      <c r="F30" s="62">
        <f t="shared" si="9"/>
        <v>0</v>
      </c>
      <c r="G30" s="62">
        <f t="shared" si="9"/>
        <v>0</v>
      </c>
      <c r="H30" s="61">
        <v>1</v>
      </c>
      <c r="I30" s="61">
        <v>20600</v>
      </c>
      <c r="J30" s="61">
        <f t="shared" si="10"/>
        <v>1</v>
      </c>
      <c r="K30" s="61">
        <f t="shared" si="10"/>
        <v>20600</v>
      </c>
      <c r="L30" s="6">
        <v>5</v>
      </c>
      <c r="M30" s="6">
        <v>4641.3999999999996</v>
      </c>
      <c r="N30" s="62">
        <f t="shared" si="11"/>
        <v>5</v>
      </c>
      <c r="O30" s="62">
        <f t="shared" si="12"/>
        <v>4641.3999999999996</v>
      </c>
    </row>
    <row r="31" spans="1:15" x14ac:dyDescent="0.25">
      <c r="A31" s="6" t="s">
        <v>56</v>
      </c>
      <c r="B31" s="6" t="s">
        <v>163</v>
      </c>
      <c r="C31" s="6">
        <v>6</v>
      </c>
      <c r="D31" s="62">
        <v>0</v>
      </c>
      <c r="E31" s="62">
        <v>0</v>
      </c>
      <c r="F31" s="62">
        <f t="shared" si="9"/>
        <v>0</v>
      </c>
      <c r="G31" s="62">
        <f t="shared" si="9"/>
        <v>0</v>
      </c>
      <c r="H31" s="61">
        <v>0</v>
      </c>
      <c r="I31" s="61">
        <v>0</v>
      </c>
      <c r="J31" s="61">
        <f t="shared" si="10"/>
        <v>1</v>
      </c>
      <c r="K31" s="61">
        <f t="shared" si="10"/>
        <v>20600</v>
      </c>
      <c r="L31" s="6">
        <v>0</v>
      </c>
      <c r="M31" s="6">
        <v>0</v>
      </c>
      <c r="N31" s="62">
        <f t="shared" si="11"/>
        <v>5</v>
      </c>
      <c r="O31" s="62">
        <f t="shared" si="12"/>
        <v>4641.3999999999996</v>
      </c>
    </row>
    <row r="32" spans="1:15" x14ac:dyDescent="0.25">
      <c r="A32" s="6" t="s">
        <v>56</v>
      </c>
      <c r="B32" s="6" t="s">
        <v>164</v>
      </c>
      <c r="C32" s="6">
        <v>7</v>
      </c>
      <c r="D32" s="62">
        <v>0</v>
      </c>
      <c r="E32" s="62">
        <v>0</v>
      </c>
      <c r="F32" s="62">
        <f t="shared" si="9"/>
        <v>0</v>
      </c>
      <c r="G32" s="62">
        <f t="shared" si="9"/>
        <v>0</v>
      </c>
      <c r="H32" s="61">
        <v>0</v>
      </c>
      <c r="I32" s="61">
        <v>0</v>
      </c>
      <c r="J32" s="61">
        <f t="shared" si="10"/>
        <v>1</v>
      </c>
      <c r="K32" s="61">
        <f t="shared" si="10"/>
        <v>20600</v>
      </c>
      <c r="L32" s="6">
        <v>0</v>
      </c>
      <c r="M32" s="6">
        <v>0</v>
      </c>
      <c r="N32" s="62">
        <f t="shared" si="11"/>
        <v>5</v>
      </c>
      <c r="O32" s="62">
        <f t="shared" si="12"/>
        <v>4641.3999999999996</v>
      </c>
    </row>
    <row r="33" spans="1:15" x14ac:dyDescent="0.25">
      <c r="A33" s="6" t="s">
        <v>56</v>
      </c>
      <c r="B33" s="6" t="s">
        <v>165</v>
      </c>
      <c r="C33" s="6">
        <v>8</v>
      </c>
      <c r="D33" s="62">
        <v>0</v>
      </c>
      <c r="E33" s="62">
        <v>0</v>
      </c>
      <c r="F33" s="62">
        <f t="shared" si="9"/>
        <v>0</v>
      </c>
      <c r="G33" s="62">
        <f t="shared" si="9"/>
        <v>0</v>
      </c>
      <c r="H33" s="61">
        <v>0</v>
      </c>
      <c r="I33" s="61">
        <v>0</v>
      </c>
      <c r="J33" s="61">
        <f t="shared" si="10"/>
        <v>1</v>
      </c>
      <c r="K33" s="61">
        <f t="shared" si="10"/>
        <v>20600</v>
      </c>
      <c r="L33" s="6">
        <v>0</v>
      </c>
      <c r="M33" s="6">
        <v>0</v>
      </c>
      <c r="N33" s="62">
        <f t="shared" si="11"/>
        <v>5</v>
      </c>
      <c r="O33" s="62">
        <f t="shared" si="12"/>
        <v>4641.3999999999996</v>
      </c>
    </row>
    <row r="34" spans="1:15" x14ac:dyDescent="0.25">
      <c r="A34" s="6" t="s">
        <v>56</v>
      </c>
      <c r="B34" s="6" t="s">
        <v>166</v>
      </c>
      <c r="C34" s="6">
        <v>9</v>
      </c>
      <c r="D34" s="62">
        <v>0</v>
      </c>
      <c r="E34" s="62">
        <v>0</v>
      </c>
      <c r="F34" s="62">
        <f t="shared" si="9"/>
        <v>0</v>
      </c>
      <c r="G34" s="62">
        <f t="shared" si="9"/>
        <v>0</v>
      </c>
      <c r="H34" s="61">
        <v>0</v>
      </c>
      <c r="I34" s="61">
        <v>0</v>
      </c>
      <c r="J34" s="61">
        <f t="shared" si="10"/>
        <v>1</v>
      </c>
      <c r="K34" s="61">
        <f t="shared" si="10"/>
        <v>20600</v>
      </c>
      <c r="L34" s="6">
        <v>0</v>
      </c>
      <c r="M34" s="6">
        <v>0</v>
      </c>
      <c r="N34" s="62">
        <f t="shared" si="11"/>
        <v>5</v>
      </c>
      <c r="O34" s="62">
        <f t="shared" si="12"/>
        <v>4641.3999999999996</v>
      </c>
    </row>
    <row r="35" spans="1:15" x14ac:dyDescent="0.25">
      <c r="A35" s="6" t="s">
        <v>56</v>
      </c>
      <c r="B35" s="6" t="s">
        <v>167</v>
      </c>
      <c r="C35" s="6">
        <v>10</v>
      </c>
      <c r="D35" s="62">
        <v>0</v>
      </c>
      <c r="E35" s="62">
        <v>0</v>
      </c>
      <c r="F35" s="62">
        <f t="shared" si="9"/>
        <v>0</v>
      </c>
      <c r="G35" s="62">
        <f t="shared" si="9"/>
        <v>0</v>
      </c>
      <c r="H35" s="61">
        <v>2</v>
      </c>
      <c r="I35" s="61">
        <v>526.9</v>
      </c>
      <c r="J35" s="61">
        <f t="shared" si="10"/>
        <v>3</v>
      </c>
      <c r="K35" s="61">
        <f t="shared" si="10"/>
        <v>21126.9</v>
      </c>
      <c r="L35" s="6">
        <v>3</v>
      </c>
      <c r="M35" s="6">
        <v>2764</v>
      </c>
      <c r="N35" s="62">
        <f t="shared" si="11"/>
        <v>8</v>
      </c>
      <c r="O35" s="62">
        <f t="shared" si="12"/>
        <v>7405.4</v>
      </c>
    </row>
    <row r="36" spans="1:15" x14ac:dyDescent="0.25">
      <c r="A36" s="6" t="s">
        <v>56</v>
      </c>
      <c r="B36" s="6" t="s">
        <v>168</v>
      </c>
      <c r="C36" s="6">
        <v>11</v>
      </c>
      <c r="D36" s="62">
        <v>0</v>
      </c>
      <c r="E36" s="62">
        <v>0</v>
      </c>
      <c r="F36" s="62">
        <f t="shared" si="9"/>
        <v>0</v>
      </c>
      <c r="G36" s="62">
        <f t="shared" si="9"/>
        <v>0</v>
      </c>
      <c r="H36" s="61">
        <v>1</v>
      </c>
      <c r="I36" s="61">
        <v>530</v>
      </c>
      <c r="J36" s="61">
        <f t="shared" si="10"/>
        <v>4</v>
      </c>
      <c r="K36" s="61">
        <f t="shared" si="10"/>
        <v>21656.9</v>
      </c>
      <c r="L36" s="6">
        <v>5</v>
      </c>
      <c r="M36" s="6">
        <v>4679</v>
      </c>
      <c r="N36" s="62">
        <f t="shared" si="11"/>
        <v>13</v>
      </c>
      <c r="O36" s="62">
        <f t="shared" si="12"/>
        <v>12084.4</v>
      </c>
    </row>
    <row r="37" spans="1:15" x14ac:dyDescent="0.25">
      <c r="A37" s="6" t="s">
        <v>56</v>
      </c>
      <c r="B37" s="6" t="s">
        <v>169</v>
      </c>
      <c r="C37" s="6">
        <v>12</v>
      </c>
      <c r="D37" s="62">
        <v>0</v>
      </c>
      <c r="E37" s="62">
        <v>0</v>
      </c>
      <c r="F37" s="62">
        <f t="shared" si="9"/>
        <v>0</v>
      </c>
      <c r="G37" s="62">
        <f t="shared" si="9"/>
        <v>0</v>
      </c>
      <c r="H37" s="61">
        <v>1</v>
      </c>
      <c r="I37" s="61">
        <v>576.14</v>
      </c>
      <c r="J37" s="61">
        <f t="shared" si="10"/>
        <v>5</v>
      </c>
      <c r="K37" s="61">
        <f t="shared" si="10"/>
        <v>22233.040000000001</v>
      </c>
      <c r="L37" s="6">
        <v>7</v>
      </c>
      <c r="M37" s="6">
        <v>17274.490000000002</v>
      </c>
      <c r="N37" s="62">
        <f t="shared" si="11"/>
        <v>20</v>
      </c>
      <c r="O37" s="62">
        <f t="shared" si="12"/>
        <v>29358.89</v>
      </c>
    </row>
    <row r="38" spans="1:15" x14ac:dyDescent="0.25">
      <c r="A38" s="6" t="s">
        <v>149</v>
      </c>
      <c r="B38" s="6" t="s">
        <v>158</v>
      </c>
      <c r="C38" s="6">
        <v>1</v>
      </c>
      <c r="D38" s="63">
        <v>1</v>
      </c>
      <c r="E38" s="63">
        <v>350</v>
      </c>
      <c r="F38" s="62">
        <f>D38</f>
        <v>1</v>
      </c>
      <c r="G38" s="62">
        <f>E38</f>
        <v>350</v>
      </c>
      <c r="H38" s="61">
        <v>0</v>
      </c>
      <c r="I38" s="61">
        <v>0</v>
      </c>
      <c r="J38" s="61">
        <f>H38</f>
        <v>0</v>
      </c>
      <c r="K38" s="61">
        <f>I38</f>
        <v>0</v>
      </c>
      <c r="L38" s="6">
        <v>0</v>
      </c>
      <c r="M38" s="6">
        <v>0</v>
      </c>
      <c r="N38" s="62">
        <f>L38</f>
        <v>0</v>
      </c>
      <c r="O38" s="62">
        <f>M38</f>
        <v>0</v>
      </c>
    </row>
    <row r="39" spans="1:15" x14ac:dyDescent="0.25">
      <c r="A39" s="6" t="s">
        <v>149</v>
      </c>
      <c r="B39" s="6" t="s">
        <v>159</v>
      </c>
      <c r="C39" s="6">
        <v>2</v>
      </c>
      <c r="D39" s="63">
        <v>4</v>
      </c>
      <c r="E39" s="63">
        <v>7000</v>
      </c>
      <c r="F39" s="62">
        <f t="shared" ref="F39:G49" si="13">F38+D39</f>
        <v>5</v>
      </c>
      <c r="G39" s="62">
        <f t="shared" si="13"/>
        <v>7350</v>
      </c>
      <c r="H39" s="61">
        <v>0</v>
      </c>
      <c r="I39" s="61">
        <v>0</v>
      </c>
      <c r="J39" s="61">
        <f t="shared" ref="J39:K49" si="14">J38+H39</f>
        <v>0</v>
      </c>
      <c r="K39" s="61">
        <f t="shared" si="14"/>
        <v>0</v>
      </c>
      <c r="L39" s="6">
        <v>2</v>
      </c>
      <c r="M39" s="6">
        <v>1700</v>
      </c>
      <c r="N39" s="62">
        <f t="shared" ref="N39:N49" si="15">N38+L39</f>
        <v>2</v>
      </c>
      <c r="O39" s="62">
        <f t="shared" ref="O39:O49" si="16">O38+M39</f>
        <v>1700</v>
      </c>
    </row>
    <row r="40" spans="1:15" x14ac:dyDescent="0.25">
      <c r="A40" s="6" t="s">
        <v>149</v>
      </c>
      <c r="B40" s="6" t="s">
        <v>160</v>
      </c>
      <c r="C40" s="6">
        <v>3</v>
      </c>
      <c r="D40" s="63">
        <v>1</v>
      </c>
      <c r="E40" s="63">
        <v>1000</v>
      </c>
      <c r="F40" s="62">
        <f t="shared" si="13"/>
        <v>6</v>
      </c>
      <c r="G40" s="62">
        <f t="shared" si="13"/>
        <v>8350</v>
      </c>
      <c r="H40" s="61">
        <v>7</v>
      </c>
      <c r="I40" s="61">
        <v>13250</v>
      </c>
      <c r="J40" s="61">
        <f t="shared" si="14"/>
        <v>7</v>
      </c>
      <c r="K40" s="61">
        <f t="shared" si="14"/>
        <v>13250</v>
      </c>
      <c r="L40" s="6">
        <v>2</v>
      </c>
      <c r="M40" s="6">
        <v>4846</v>
      </c>
      <c r="N40" s="62">
        <f t="shared" si="15"/>
        <v>4</v>
      </c>
      <c r="O40" s="62">
        <f t="shared" si="16"/>
        <v>6546</v>
      </c>
    </row>
    <row r="41" spans="1:15" x14ac:dyDescent="0.25">
      <c r="A41" s="6" t="s">
        <v>149</v>
      </c>
      <c r="B41" s="6" t="s">
        <v>161</v>
      </c>
      <c r="C41" s="6">
        <v>4</v>
      </c>
      <c r="D41" s="63">
        <v>0</v>
      </c>
      <c r="E41" s="63">
        <v>0</v>
      </c>
      <c r="F41" s="62">
        <f t="shared" si="13"/>
        <v>6</v>
      </c>
      <c r="G41" s="62">
        <f t="shared" si="13"/>
        <v>8350</v>
      </c>
      <c r="H41" s="61">
        <v>2</v>
      </c>
      <c r="I41" s="61">
        <v>2577.6999999999998</v>
      </c>
      <c r="J41" s="61">
        <f t="shared" si="14"/>
        <v>9</v>
      </c>
      <c r="K41" s="61">
        <f t="shared" si="14"/>
        <v>15827.7</v>
      </c>
      <c r="L41" s="6">
        <v>1</v>
      </c>
      <c r="M41" s="6">
        <v>900</v>
      </c>
      <c r="N41" s="62">
        <f t="shared" si="15"/>
        <v>5</v>
      </c>
      <c r="O41" s="62">
        <f t="shared" si="16"/>
        <v>7446</v>
      </c>
    </row>
    <row r="42" spans="1:15" x14ac:dyDescent="0.25">
      <c r="A42" s="6" t="s">
        <v>149</v>
      </c>
      <c r="B42" s="6" t="s">
        <v>162</v>
      </c>
      <c r="C42" s="6">
        <v>5</v>
      </c>
      <c r="D42" s="63">
        <v>2</v>
      </c>
      <c r="E42" s="63">
        <v>503.5</v>
      </c>
      <c r="F42" s="62">
        <f t="shared" si="13"/>
        <v>8</v>
      </c>
      <c r="G42" s="62">
        <f t="shared" si="13"/>
        <v>8853.5</v>
      </c>
      <c r="H42" s="61">
        <v>9</v>
      </c>
      <c r="I42" s="61">
        <v>20148</v>
      </c>
      <c r="J42" s="61">
        <f t="shared" si="14"/>
        <v>18</v>
      </c>
      <c r="K42" s="61">
        <f t="shared" si="14"/>
        <v>35975.699999999997</v>
      </c>
      <c r="L42" s="6">
        <v>2</v>
      </c>
      <c r="M42" s="6">
        <v>7610</v>
      </c>
      <c r="N42" s="62">
        <f t="shared" si="15"/>
        <v>7</v>
      </c>
      <c r="O42" s="62">
        <f t="shared" si="16"/>
        <v>15056</v>
      </c>
    </row>
    <row r="43" spans="1:15" x14ac:dyDescent="0.25">
      <c r="A43" s="6" t="s">
        <v>149</v>
      </c>
      <c r="B43" s="6" t="s">
        <v>163</v>
      </c>
      <c r="C43" s="6">
        <v>6</v>
      </c>
      <c r="D43" s="63">
        <v>2</v>
      </c>
      <c r="E43" s="62">
        <v>1256</v>
      </c>
      <c r="F43" s="62">
        <f t="shared" si="13"/>
        <v>10</v>
      </c>
      <c r="G43" s="62">
        <f t="shared" si="13"/>
        <v>10109.5</v>
      </c>
      <c r="H43" s="61">
        <v>2</v>
      </c>
      <c r="I43" s="61">
        <v>2900</v>
      </c>
      <c r="J43" s="61">
        <f t="shared" si="14"/>
        <v>20</v>
      </c>
      <c r="K43" s="61">
        <f t="shared" si="14"/>
        <v>38875.699999999997</v>
      </c>
      <c r="L43" s="6">
        <v>0</v>
      </c>
      <c r="M43" s="6">
        <v>0</v>
      </c>
      <c r="N43" s="62">
        <f t="shared" si="15"/>
        <v>7</v>
      </c>
      <c r="O43" s="62">
        <f t="shared" si="16"/>
        <v>15056</v>
      </c>
    </row>
    <row r="44" spans="1:15" x14ac:dyDescent="0.25">
      <c r="A44" s="6" t="s">
        <v>149</v>
      </c>
      <c r="B44" s="6" t="s">
        <v>164</v>
      </c>
      <c r="C44" s="6">
        <v>7</v>
      </c>
      <c r="D44" s="63">
        <v>1</v>
      </c>
      <c r="E44" s="63">
        <v>250</v>
      </c>
      <c r="F44" s="62">
        <f t="shared" si="13"/>
        <v>11</v>
      </c>
      <c r="G44" s="62">
        <f t="shared" si="13"/>
        <v>10359.5</v>
      </c>
      <c r="H44" s="61">
        <v>2</v>
      </c>
      <c r="I44" s="61">
        <v>1005</v>
      </c>
      <c r="J44" s="61">
        <f t="shared" si="14"/>
        <v>22</v>
      </c>
      <c r="K44" s="61">
        <f t="shared" si="14"/>
        <v>39880.699999999997</v>
      </c>
      <c r="L44" s="6">
        <v>3</v>
      </c>
      <c r="M44" s="6">
        <v>5750</v>
      </c>
      <c r="N44" s="62">
        <f t="shared" si="15"/>
        <v>10</v>
      </c>
      <c r="O44" s="62">
        <f t="shared" si="16"/>
        <v>20806</v>
      </c>
    </row>
    <row r="45" spans="1:15" x14ac:dyDescent="0.25">
      <c r="A45" s="6" t="s">
        <v>149</v>
      </c>
      <c r="B45" s="6" t="s">
        <v>165</v>
      </c>
      <c r="C45" s="6">
        <v>8</v>
      </c>
      <c r="D45" s="63">
        <v>5</v>
      </c>
      <c r="E45" s="62">
        <v>4012.5</v>
      </c>
      <c r="F45" s="62">
        <f t="shared" si="13"/>
        <v>16</v>
      </c>
      <c r="G45" s="62">
        <f t="shared" si="13"/>
        <v>14372</v>
      </c>
      <c r="H45" s="61">
        <v>2</v>
      </c>
      <c r="I45" s="61">
        <v>1317.6</v>
      </c>
      <c r="J45" s="61">
        <f t="shared" si="14"/>
        <v>24</v>
      </c>
      <c r="K45" s="61">
        <f t="shared" si="14"/>
        <v>41198.299999999996</v>
      </c>
      <c r="L45" s="6">
        <v>4</v>
      </c>
      <c r="M45" s="6">
        <v>9190</v>
      </c>
      <c r="N45" s="62">
        <f t="shared" si="15"/>
        <v>14</v>
      </c>
      <c r="O45" s="62">
        <f t="shared" si="16"/>
        <v>29996</v>
      </c>
    </row>
    <row r="46" spans="1:15" x14ac:dyDescent="0.25">
      <c r="A46" s="6" t="s">
        <v>149</v>
      </c>
      <c r="B46" s="6" t="s">
        <v>166</v>
      </c>
      <c r="C46" s="6">
        <v>9</v>
      </c>
      <c r="D46" s="63">
        <v>3</v>
      </c>
      <c r="E46" s="62">
        <v>3047.5</v>
      </c>
      <c r="F46" s="62">
        <f t="shared" si="13"/>
        <v>19</v>
      </c>
      <c r="G46" s="62">
        <f t="shared" si="13"/>
        <v>17419.5</v>
      </c>
      <c r="H46" s="61">
        <v>12</v>
      </c>
      <c r="I46" s="61">
        <v>14796.75</v>
      </c>
      <c r="J46" s="61">
        <f t="shared" si="14"/>
        <v>36</v>
      </c>
      <c r="K46" s="61">
        <f t="shared" si="14"/>
        <v>55995.049999999996</v>
      </c>
      <c r="L46" s="6">
        <v>6</v>
      </c>
      <c r="M46" s="6">
        <v>15310</v>
      </c>
      <c r="N46" s="62">
        <f t="shared" si="15"/>
        <v>20</v>
      </c>
      <c r="O46" s="62">
        <f t="shared" si="16"/>
        <v>45306</v>
      </c>
    </row>
    <row r="47" spans="1:15" x14ac:dyDescent="0.25">
      <c r="A47" s="6" t="s">
        <v>149</v>
      </c>
      <c r="B47" s="6" t="s">
        <v>167</v>
      </c>
      <c r="C47" s="6">
        <v>10</v>
      </c>
      <c r="D47" s="62">
        <v>1</v>
      </c>
      <c r="E47" s="62">
        <v>1420</v>
      </c>
      <c r="F47" s="62">
        <f t="shared" si="13"/>
        <v>20</v>
      </c>
      <c r="G47" s="62">
        <f t="shared" si="13"/>
        <v>18839.5</v>
      </c>
      <c r="H47" s="61">
        <v>10</v>
      </c>
      <c r="I47" s="61">
        <v>6660</v>
      </c>
      <c r="J47" s="61">
        <f t="shared" si="14"/>
        <v>46</v>
      </c>
      <c r="K47" s="61">
        <f t="shared" si="14"/>
        <v>62655.049999999996</v>
      </c>
      <c r="L47" s="6">
        <v>3</v>
      </c>
      <c r="M47" s="6">
        <v>9790</v>
      </c>
      <c r="N47" s="62">
        <f t="shared" si="15"/>
        <v>23</v>
      </c>
      <c r="O47" s="62">
        <f t="shared" si="16"/>
        <v>55096</v>
      </c>
    </row>
    <row r="48" spans="1:15" x14ac:dyDescent="0.25">
      <c r="A48" s="6" t="s">
        <v>149</v>
      </c>
      <c r="B48" s="6" t="s">
        <v>168</v>
      </c>
      <c r="C48" s="6">
        <v>11</v>
      </c>
      <c r="D48" s="62">
        <v>16</v>
      </c>
      <c r="E48" s="62">
        <v>36994.86</v>
      </c>
      <c r="F48" s="62">
        <f t="shared" si="13"/>
        <v>36</v>
      </c>
      <c r="G48" s="62">
        <f t="shared" si="13"/>
        <v>55834.36</v>
      </c>
      <c r="H48" s="61">
        <v>0</v>
      </c>
      <c r="I48" s="61">
        <v>0</v>
      </c>
      <c r="J48" s="61">
        <f t="shared" si="14"/>
        <v>46</v>
      </c>
      <c r="K48" s="61">
        <f t="shared" si="14"/>
        <v>62655.049999999996</v>
      </c>
      <c r="L48" s="6">
        <v>5</v>
      </c>
      <c r="M48" s="6">
        <v>11800</v>
      </c>
      <c r="N48" s="62">
        <f t="shared" si="15"/>
        <v>28</v>
      </c>
      <c r="O48" s="62">
        <f t="shared" si="16"/>
        <v>66896</v>
      </c>
    </row>
    <row r="49" spans="1:15" x14ac:dyDescent="0.25">
      <c r="A49" s="6" t="s">
        <v>149</v>
      </c>
      <c r="B49" s="6" t="s">
        <v>169</v>
      </c>
      <c r="C49" s="6">
        <v>12</v>
      </c>
      <c r="D49" s="63">
        <v>2</v>
      </c>
      <c r="E49" s="62">
        <v>1957</v>
      </c>
      <c r="F49" s="62">
        <f t="shared" si="13"/>
        <v>38</v>
      </c>
      <c r="G49" s="62">
        <f t="shared" si="13"/>
        <v>57791.360000000001</v>
      </c>
      <c r="H49" s="61">
        <v>0</v>
      </c>
      <c r="I49" s="61">
        <v>0</v>
      </c>
      <c r="J49" s="61">
        <f t="shared" si="14"/>
        <v>46</v>
      </c>
      <c r="K49" s="61">
        <f t="shared" si="14"/>
        <v>62655.049999999996</v>
      </c>
      <c r="L49" s="6">
        <v>0</v>
      </c>
      <c r="M49" s="6">
        <v>0</v>
      </c>
      <c r="N49" s="62">
        <f t="shared" si="15"/>
        <v>28</v>
      </c>
      <c r="O49" s="62">
        <f t="shared" si="16"/>
        <v>66896</v>
      </c>
    </row>
    <row r="50" spans="1:15" x14ac:dyDescent="0.25">
      <c r="A50" s="6" t="s">
        <v>66</v>
      </c>
      <c r="B50" s="6" t="s">
        <v>158</v>
      </c>
      <c r="C50" s="6">
        <v>1</v>
      </c>
      <c r="D50" s="62">
        <v>0</v>
      </c>
      <c r="E50" s="62">
        <v>0</v>
      </c>
      <c r="F50" s="62">
        <f>D50</f>
        <v>0</v>
      </c>
      <c r="G50" s="62">
        <f>E50</f>
        <v>0</v>
      </c>
      <c r="H50" s="62">
        <v>0</v>
      </c>
      <c r="I50" s="62">
        <v>0</v>
      </c>
      <c r="J50" s="62">
        <f>H50</f>
        <v>0</v>
      </c>
      <c r="K50" s="62">
        <f>I50</f>
        <v>0</v>
      </c>
      <c r="L50" s="6">
        <v>0</v>
      </c>
      <c r="M50" s="6">
        <v>0</v>
      </c>
      <c r="N50" s="62">
        <f>L50</f>
        <v>0</v>
      </c>
      <c r="O50" s="62">
        <f>M50</f>
        <v>0</v>
      </c>
    </row>
    <row r="51" spans="1:15" x14ac:dyDescent="0.25">
      <c r="A51" s="6" t="s">
        <v>66</v>
      </c>
      <c r="B51" s="6" t="s">
        <v>159</v>
      </c>
      <c r="C51" s="6">
        <v>2</v>
      </c>
      <c r="D51" s="62">
        <v>0</v>
      </c>
      <c r="E51" s="62">
        <v>0</v>
      </c>
      <c r="F51" s="62">
        <f t="shared" ref="F51:F61" si="17">F50+D51</f>
        <v>0</v>
      </c>
      <c r="G51" s="62">
        <f t="shared" ref="G51:G61" si="18">G50+E51</f>
        <v>0</v>
      </c>
      <c r="H51" s="62">
        <v>0</v>
      </c>
      <c r="I51" s="62">
        <v>0</v>
      </c>
      <c r="J51" s="62">
        <f t="shared" ref="J51:J61" si="19">J50+H51</f>
        <v>0</v>
      </c>
      <c r="K51" s="62">
        <f t="shared" ref="K51:K61" si="20">K50+I51</f>
        <v>0</v>
      </c>
      <c r="L51" s="6">
        <v>0</v>
      </c>
      <c r="M51" s="6">
        <v>0</v>
      </c>
      <c r="N51" s="62">
        <f t="shared" ref="N51:N61" si="21">N50+L51</f>
        <v>0</v>
      </c>
      <c r="O51" s="62">
        <f t="shared" ref="O51:O61" si="22">O50+M51</f>
        <v>0</v>
      </c>
    </row>
    <row r="52" spans="1:15" x14ac:dyDescent="0.25">
      <c r="A52" s="6" t="s">
        <v>66</v>
      </c>
      <c r="B52" s="6" t="s">
        <v>160</v>
      </c>
      <c r="C52" s="6">
        <v>3</v>
      </c>
      <c r="D52" s="62">
        <v>0</v>
      </c>
      <c r="E52" s="62">
        <v>0</v>
      </c>
      <c r="F52" s="62">
        <f t="shared" si="17"/>
        <v>0</v>
      </c>
      <c r="G52" s="62">
        <f t="shared" si="18"/>
        <v>0</v>
      </c>
      <c r="H52" s="62">
        <v>0</v>
      </c>
      <c r="I52" s="62">
        <v>0</v>
      </c>
      <c r="J52" s="62">
        <f t="shared" si="19"/>
        <v>0</v>
      </c>
      <c r="K52" s="62">
        <f t="shared" si="20"/>
        <v>0</v>
      </c>
      <c r="L52" s="6">
        <v>0</v>
      </c>
      <c r="M52" s="6">
        <v>0</v>
      </c>
      <c r="N52" s="62">
        <f t="shared" si="21"/>
        <v>0</v>
      </c>
      <c r="O52" s="62">
        <f t="shared" si="22"/>
        <v>0</v>
      </c>
    </row>
    <row r="53" spans="1:15" x14ac:dyDescent="0.25">
      <c r="A53" s="6" t="s">
        <v>66</v>
      </c>
      <c r="B53" s="6" t="s">
        <v>161</v>
      </c>
      <c r="C53" s="6">
        <v>4</v>
      </c>
      <c r="D53" s="62">
        <v>0</v>
      </c>
      <c r="E53" s="62">
        <v>0</v>
      </c>
      <c r="F53" s="62">
        <f t="shared" si="17"/>
        <v>0</v>
      </c>
      <c r="G53" s="62">
        <f t="shared" si="18"/>
        <v>0</v>
      </c>
      <c r="H53" s="62">
        <v>0</v>
      </c>
      <c r="I53" s="62">
        <v>0</v>
      </c>
      <c r="J53" s="62">
        <f t="shared" si="19"/>
        <v>0</v>
      </c>
      <c r="K53" s="62">
        <f t="shared" si="20"/>
        <v>0</v>
      </c>
      <c r="L53" s="6">
        <v>0</v>
      </c>
      <c r="M53" s="6">
        <v>0</v>
      </c>
      <c r="N53" s="62">
        <f t="shared" si="21"/>
        <v>0</v>
      </c>
      <c r="O53" s="62">
        <f t="shared" si="22"/>
        <v>0</v>
      </c>
    </row>
    <row r="54" spans="1:15" x14ac:dyDescent="0.25">
      <c r="A54" s="6" t="s">
        <v>66</v>
      </c>
      <c r="B54" s="6" t="s">
        <v>162</v>
      </c>
      <c r="C54" s="6">
        <v>5</v>
      </c>
      <c r="D54" s="62">
        <v>0</v>
      </c>
      <c r="E54" s="62">
        <v>0</v>
      </c>
      <c r="F54" s="62">
        <f t="shared" si="17"/>
        <v>0</v>
      </c>
      <c r="G54" s="62">
        <f t="shared" si="18"/>
        <v>0</v>
      </c>
      <c r="H54" s="62">
        <v>0</v>
      </c>
      <c r="I54" s="62">
        <v>0</v>
      </c>
      <c r="J54" s="62">
        <f t="shared" si="19"/>
        <v>0</v>
      </c>
      <c r="K54" s="62">
        <f t="shared" si="20"/>
        <v>0</v>
      </c>
      <c r="L54" s="6">
        <v>1</v>
      </c>
      <c r="M54" s="6">
        <v>300</v>
      </c>
      <c r="N54" s="62">
        <f t="shared" si="21"/>
        <v>1</v>
      </c>
      <c r="O54" s="62">
        <f t="shared" si="22"/>
        <v>300</v>
      </c>
    </row>
    <row r="55" spans="1:15" x14ac:dyDescent="0.25">
      <c r="A55" s="6" t="s">
        <v>66</v>
      </c>
      <c r="B55" s="6" t="s">
        <v>163</v>
      </c>
      <c r="C55" s="6">
        <v>6</v>
      </c>
      <c r="D55" s="62">
        <v>0</v>
      </c>
      <c r="E55" s="62">
        <v>0</v>
      </c>
      <c r="F55" s="62">
        <f t="shared" si="17"/>
        <v>0</v>
      </c>
      <c r="G55" s="62">
        <f t="shared" si="18"/>
        <v>0</v>
      </c>
      <c r="H55" s="62">
        <v>0</v>
      </c>
      <c r="I55" s="62">
        <v>0</v>
      </c>
      <c r="J55" s="62">
        <f t="shared" si="19"/>
        <v>0</v>
      </c>
      <c r="K55" s="62">
        <f t="shared" si="20"/>
        <v>0</v>
      </c>
      <c r="L55" s="6">
        <v>0</v>
      </c>
      <c r="M55" s="6">
        <v>0</v>
      </c>
      <c r="N55" s="62">
        <f t="shared" si="21"/>
        <v>1</v>
      </c>
      <c r="O55" s="62">
        <f t="shared" si="22"/>
        <v>300</v>
      </c>
    </row>
    <row r="56" spans="1:15" x14ac:dyDescent="0.25">
      <c r="A56" s="6" t="s">
        <v>66</v>
      </c>
      <c r="B56" s="6" t="s">
        <v>164</v>
      </c>
      <c r="C56" s="6">
        <v>7</v>
      </c>
      <c r="D56" s="62">
        <v>0</v>
      </c>
      <c r="E56" s="62">
        <v>0</v>
      </c>
      <c r="F56" s="62">
        <f t="shared" si="17"/>
        <v>0</v>
      </c>
      <c r="G56" s="62">
        <f t="shared" si="18"/>
        <v>0</v>
      </c>
      <c r="H56" s="62">
        <v>0</v>
      </c>
      <c r="I56" s="62">
        <v>0</v>
      </c>
      <c r="J56" s="62">
        <f t="shared" si="19"/>
        <v>0</v>
      </c>
      <c r="K56" s="62">
        <f t="shared" si="20"/>
        <v>0</v>
      </c>
      <c r="L56" s="6">
        <v>2</v>
      </c>
      <c r="M56" s="6">
        <v>3900</v>
      </c>
      <c r="N56" s="62">
        <f t="shared" si="21"/>
        <v>3</v>
      </c>
      <c r="O56" s="62">
        <f t="shared" si="22"/>
        <v>4200</v>
      </c>
    </row>
    <row r="57" spans="1:15" x14ac:dyDescent="0.25">
      <c r="A57" s="6" t="s">
        <v>66</v>
      </c>
      <c r="B57" s="6" t="s">
        <v>165</v>
      </c>
      <c r="C57" s="6">
        <v>8</v>
      </c>
      <c r="D57" s="62">
        <v>0</v>
      </c>
      <c r="E57" s="62">
        <v>0</v>
      </c>
      <c r="F57" s="62">
        <f t="shared" si="17"/>
        <v>0</v>
      </c>
      <c r="G57" s="62">
        <f t="shared" si="18"/>
        <v>0</v>
      </c>
      <c r="H57" s="62">
        <v>0</v>
      </c>
      <c r="I57" s="62">
        <v>0</v>
      </c>
      <c r="J57" s="62">
        <f t="shared" si="19"/>
        <v>0</v>
      </c>
      <c r="K57" s="62">
        <f t="shared" si="20"/>
        <v>0</v>
      </c>
      <c r="L57" s="6">
        <v>1</v>
      </c>
      <c r="M57" s="6">
        <v>700</v>
      </c>
      <c r="N57" s="62">
        <f t="shared" si="21"/>
        <v>4</v>
      </c>
      <c r="O57" s="62">
        <f t="shared" si="22"/>
        <v>4900</v>
      </c>
    </row>
    <row r="58" spans="1:15" x14ac:dyDescent="0.25">
      <c r="A58" s="6" t="s">
        <v>66</v>
      </c>
      <c r="B58" s="6" t="s">
        <v>166</v>
      </c>
      <c r="C58" s="6">
        <v>9</v>
      </c>
      <c r="D58" s="62">
        <v>0</v>
      </c>
      <c r="E58" s="62">
        <v>0</v>
      </c>
      <c r="F58" s="62">
        <f t="shared" si="17"/>
        <v>0</v>
      </c>
      <c r="G58" s="62">
        <f t="shared" si="18"/>
        <v>0</v>
      </c>
      <c r="H58" s="62">
        <v>0</v>
      </c>
      <c r="I58" s="62">
        <v>0</v>
      </c>
      <c r="J58" s="62">
        <f t="shared" si="19"/>
        <v>0</v>
      </c>
      <c r="K58" s="62">
        <f t="shared" si="20"/>
        <v>0</v>
      </c>
      <c r="L58" s="6">
        <v>0</v>
      </c>
      <c r="M58" s="6">
        <v>0</v>
      </c>
      <c r="N58" s="62">
        <f t="shared" si="21"/>
        <v>4</v>
      </c>
      <c r="O58" s="62">
        <f t="shared" si="22"/>
        <v>4900</v>
      </c>
    </row>
    <row r="59" spans="1:15" x14ac:dyDescent="0.25">
      <c r="A59" s="6" t="s">
        <v>66</v>
      </c>
      <c r="B59" s="6" t="s">
        <v>167</v>
      </c>
      <c r="C59" s="6">
        <v>10</v>
      </c>
      <c r="D59" s="62">
        <v>0</v>
      </c>
      <c r="E59" s="62">
        <v>0</v>
      </c>
      <c r="F59" s="62">
        <f t="shared" si="17"/>
        <v>0</v>
      </c>
      <c r="G59" s="62">
        <f t="shared" si="18"/>
        <v>0</v>
      </c>
      <c r="H59" s="62">
        <v>0</v>
      </c>
      <c r="I59" s="62">
        <v>0</v>
      </c>
      <c r="J59" s="62">
        <f t="shared" si="19"/>
        <v>0</v>
      </c>
      <c r="K59" s="62">
        <f t="shared" si="20"/>
        <v>0</v>
      </c>
      <c r="L59" s="6">
        <v>0</v>
      </c>
      <c r="M59" s="6">
        <v>0</v>
      </c>
      <c r="N59" s="62">
        <f t="shared" si="21"/>
        <v>4</v>
      </c>
      <c r="O59" s="62">
        <f t="shared" si="22"/>
        <v>4900</v>
      </c>
    </row>
    <row r="60" spans="1:15" x14ac:dyDescent="0.25">
      <c r="A60" s="6" t="s">
        <v>66</v>
      </c>
      <c r="B60" s="6" t="s">
        <v>168</v>
      </c>
      <c r="C60" s="6">
        <v>11</v>
      </c>
      <c r="D60" s="62">
        <v>0</v>
      </c>
      <c r="E60" s="62">
        <v>0</v>
      </c>
      <c r="F60" s="62">
        <f t="shared" si="17"/>
        <v>0</v>
      </c>
      <c r="G60" s="62">
        <f t="shared" si="18"/>
        <v>0</v>
      </c>
      <c r="H60" s="62">
        <v>0</v>
      </c>
      <c r="I60" s="62">
        <v>0</v>
      </c>
      <c r="J60" s="62">
        <f t="shared" si="19"/>
        <v>0</v>
      </c>
      <c r="K60" s="62">
        <f t="shared" si="20"/>
        <v>0</v>
      </c>
      <c r="L60" s="6">
        <v>0</v>
      </c>
      <c r="M60" s="6">
        <v>0</v>
      </c>
      <c r="N60" s="62">
        <f t="shared" si="21"/>
        <v>4</v>
      </c>
      <c r="O60" s="62">
        <f t="shared" si="22"/>
        <v>4900</v>
      </c>
    </row>
    <row r="61" spans="1:15" x14ac:dyDescent="0.25">
      <c r="A61" s="6" t="s">
        <v>66</v>
      </c>
      <c r="B61" s="6" t="s">
        <v>169</v>
      </c>
      <c r="C61" s="6">
        <v>12</v>
      </c>
      <c r="D61" s="62">
        <v>0</v>
      </c>
      <c r="E61" s="62">
        <v>0</v>
      </c>
      <c r="F61" s="62">
        <f t="shared" si="17"/>
        <v>0</v>
      </c>
      <c r="G61" s="62">
        <f t="shared" si="18"/>
        <v>0</v>
      </c>
      <c r="H61" s="62">
        <v>0</v>
      </c>
      <c r="I61" s="62">
        <v>0</v>
      </c>
      <c r="J61" s="62">
        <f t="shared" si="19"/>
        <v>0</v>
      </c>
      <c r="K61" s="62">
        <f t="shared" si="20"/>
        <v>0</v>
      </c>
      <c r="L61" s="6">
        <v>2</v>
      </c>
      <c r="M61" s="6">
        <v>3900</v>
      </c>
      <c r="N61" s="62">
        <f t="shared" si="21"/>
        <v>6</v>
      </c>
      <c r="O61" s="62">
        <f t="shared" si="22"/>
        <v>8800</v>
      </c>
    </row>
    <row r="62" spans="1:15" x14ac:dyDescent="0.25">
      <c r="A62" s="6" t="s">
        <v>42</v>
      </c>
      <c r="B62" s="6" t="s">
        <v>158</v>
      </c>
      <c r="C62" s="6">
        <v>1</v>
      </c>
      <c r="D62" s="62">
        <v>65</v>
      </c>
      <c r="E62" s="62">
        <v>7710</v>
      </c>
      <c r="F62" s="62">
        <f>D62</f>
        <v>65</v>
      </c>
      <c r="G62" s="62">
        <f>E62</f>
        <v>7710</v>
      </c>
      <c r="H62" s="61">
        <v>480</v>
      </c>
      <c r="I62" s="61">
        <v>8350</v>
      </c>
      <c r="J62" s="61">
        <f>H62</f>
        <v>480</v>
      </c>
      <c r="K62" s="61">
        <f>I62</f>
        <v>8350</v>
      </c>
      <c r="L62" s="6">
        <v>426</v>
      </c>
      <c r="M62" s="6">
        <v>9430</v>
      </c>
      <c r="N62" s="62">
        <f>L62</f>
        <v>426</v>
      </c>
      <c r="O62" s="62">
        <f>M62</f>
        <v>9430</v>
      </c>
    </row>
    <row r="63" spans="1:15" x14ac:dyDescent="0.25">
      <c r="A63" s="6" t="s">
        <v>42</v>
      </c>
      <c r="B63" s="6" t="s">
        <v>159</v>
      </c>
      <c r="C63" s="6">
        <v>2</v>
      </c>
      <c r="D63" s="62">
        <v>103</v>
      </c>
      <c r="E63" s="62">
        <v>3852</v>
      </c>
      <c r="F63" s="62">
        <f t="shared" ref="F63:G73" si="23">F62+D63</f>
        <v>168</v>
      </c>
      <c r="G63" s="62">
        <f t="shared" si="23"/>
        <v>11562</v>
      </c>
      <c r="H63" s="61">
        <v>334</v>
      </c>
      <c r="I63" s="61">
        <v>5945</v>
      </c>
      <c r="J63" s="61">
        <f t="shared" ref="J63:K73" si="24">J62+H63</f>
        <v>814</v>
      </c>
      <c r="K63" s="61">
        <f t="shared" si="24"/>
        <v>14295</v>
      </c>
      <c r="L63" s="6">
        <v>341</v>
      </c>
      <c r="M63" s="6">
        <v>11085</v>
      </c>
      <c r="N63" s="62">
        <f t="shared" ref="N63:N73" si="25">N62+L63</f>
        <v>767</v>
      </c>
      <c r="O63" s="62">
        <f t="shared" ref="O63:O73" si="26">O62+M63</f>
        <v>20515</v>
      </c>
    </row>
    <row r="64" spans="1:15" x14ac:dyDescent="0.25">
      <c r="A64" s="6" t="s">
        <v>42</v>
      </c>
      <c r="B64" s="6" t="s">
        <v>160</v>
      </c>
      <c r="C64" s="6">
        <v>3</v>
      </c>
      <c r="D64" s="62">
        <v>76</v>
      </c>
      <c r="E64" s="62">
        <v>2385</v>
      </c>
      <c r="F64" s="62">
        <f t="shared" si="23"/>
        <v>244</v>
      </c>
      <c r="G64" s="62">
        <f t="shared" si="23"/>
        <v>13947</v>
      </c>
      <c r="H64" s="61">
        <v>192</v>
      </c>
      <c r="I64" s="61">
        <v>4525</v>
      </c>
      <c r="J64" s="61">
        <f t="shared" si="24"/>
        <v>1006</v>
      </c>
      <c r="K64" s="61">
        <f t="shared" si="24"/>
        <v>18820</v>
      </c>
      <c r="L64" s="6">
        <v>105</v>
      </c>
      <c r="M64" s="6">
        <v>3415</v>
      </c>
      <c r="N64" s="62">
        <f t="shared" si="25"/>
        <v>872</v>
      </c>
      <c r="O64" s="62">
        <f t="shared" si="26"/>
        <v>23930</v>
      </c>
    </row>
    <row r="65" spans="1:15" x14ac:dyDescent="0.25">
      <c r="A65" s="6" t="s">
        <v>42</v>
      </c>
      <c r="B65" s="6" t="s">
        <v>161</v>
      </c>
      <c r="C65" s="6">
        <v>4</v>
      </c>
      <c r="D65" s="62">
        <v>105</v>
      </c>
      <c r="E65" s="62">
        <v>3700</v>
      </c>
      <c r="F65" s="62">
        <f t="shared" si="23"/>
        <v>349</v>
      </c>
      <c r="G65" s="62">
        <f t="shared" si="23"/>
        <v>17647</v>
      </c>
      <c r="H65" s="61">
        <v>193</v>
      </c>
      <c r="I65" s="61">
        <v>4952</v>
      </c>
      <c r="J65" s="61">
        <f t="shared" si="24"/>
        <v>1199</v>
      </c>
      <c r="K65" s="61">
        <f t="shared" si="24"/>
        <v>23772</v>
      </c>
      <c r="L65" s="6">
        <v>132</v>
      </c>
      <c r="M65" s="6">
        <v>6285</v>
      </c>
      <c r="N65" s="62">
        <f t="shared" si="25"/>
        <v>1004</v>
      </c>
      <c r="O65" s="62">
        <f t="shared" si="26"/>
        <v>30215</v>
      </c>
    </row>
    <row r="66" spans="1:15" x14ac:dyDescent="0.25">
      <c r="A66" s="6" t="s">
        <v>42</v>
      </c>
      <c r="B66" s="6" t="s">
        <v>162</v>
      </c>
      <c r="C66" s="6">
        <v>5</v>
      </c>
      <c r="D66" s="62">
        <v>70</v>
      </c>
      <c r="E66" s="62">
        <v>2010</v>
      </c>
      <c r="F66" s="62">
        <f t="shared" si="23"/>
        <v>419</v>
      </c>
      <c r="G66" s="62">
        <f t="shared" si="23"/>
        <v>19657</v>
      </c>
      <c r="H66" s="61">
        <v>115</v>
      </c>
      <c r="I66" s="61">
        <v>2995</v>
      </c>
      <c r="J66" s="61">
        <f t="shared" si="24"/>
        <v>1314</v>
      </c>
      <c r="K66" s="61">
        <f t="shared" si="24"/>
        <v>26767</v>
      </c>
      <c r="L66" s="6">
        <v>38</v>
      </c>
      <c r="M66" s="6">
        <v>7095</v>
      </c>
      <c r="N66" s="62">
        <f t="shared" si="25"/>
        <v>1042</v>
      </c>
      <c r="O66" s="62">
        <f t="shared" si="26"/>
        <v>37310</v>
      </c>
    </row>
    <row r="67" spans="1:15" x14ac:dyDescent="0.25">
      <c r="A67" s="6" t="s">
        <v>42</v>
      </c>
      <c r="B67" s="6" t="s">
        <v>163</v>
      </c>
      <c r="C67" s="6">
        <v>6</v>
      </c>
      <c r="D67" s="62">
        <v>33</v>
      </c>
      <c r="E67" s="62">
        <v>3380</v>
      </c>
      <c r="F67" s="62">
        <f t="shared" si="23"/>
        <v>452</v>
      </c>
      <c r="G67" s="62">
        <f t="shared" si="23"/>
        <v>23037</v>
      </c>
      <c r="H67" s="61">
        <v>68</v>
      </c>
      <c r="I67" s="61">
        <v>3342</v>
      </c>
      <c r="J67" s="61">
        <f t="shared" si="24"/>
        <v>1382</v>
      </c>
      <c r="K67" s="61">
        <f t="shared" si="24"/>
        <v>30109</v>
      </c>
      <c r="L67" s="6">
        <v>22</v>
      </c>
      <c r="M67" s="6">
        <v>715</v>
      </c>
      <c r="N67" s="62">
        <f t="shared" si="25"/>
        <v>1064</v>
      </c>
      <c r="O67" s="62">
        <f t="shared" si="26"/>
        <v>38025</v>
      </c>
    </row>
    <row r="68" spans="1:15" x14ac:dyDescent="0.25">
      <c r="A68" s="6" t="s">
        <v>42</v>
      </c>
      <c r="B68" s="6" t="s">
        <v>164</v>
      </c>
      <c r="C68" s="6">
        <v>7</v>
      </c>
      <c r="D68" s="62">
        <v>36</v>
      </c>
      <c r="E68" s="62">
        <v>1180</v>
      </c>
      <c r="F68" s="62">
        <f t="shared" si="23"/>
        <v>488</v>
      </c>
      <c r="G68" s="62">
        <f t="shared" si="23"/>
        <v>24217</v>
      </c>
      <c r="H68" s="61">
        <v>67</v>
      </c>
      <c r="I68" s="61">
        <v>1485</v>
      </c>
      <c r="J68" s="61">
        <f t="shared" si="24"/>
        <v>1449</v>
      </c>
      <c r="K68" s="61">
        <f t="shared" si="24"/>
        <v>31594</v>
      </c>
      <c r="L68" s="6">
        <v>29</v>
      </c>
      <c r="M68" s="6">
        <v>3950</v>
      </c>
      <c r="N68" s="62">
        <f t="shared" si="25"/>
        <v>1093</v>
      </c>
      <c r="O68" s="62">
        <f t="shared" si="26"/>
        <v>41975</v>
      </c>
    </row>
    <row r="69" spans="1:15" x14ac:dyDescent="0.25">
      <c r="A69" s="6" t="s">
        <v>42</v>
      </c>
      <c r="B69" s="6" t="s">
        <v>165</v>
      </c>
      <c r="C69" s="6">
        <v>8</v>
      </c>
      <c r="D69" s="62">
        <v>48</v>
      </c>
      <c r="E69" s="62">
        <v>1295</v>
      </c>
      <c r="F69" s="62">
        <f t="shared" si="23"/>
        <v>536</v>
      </c>
      <c r="G69" s="62">
        <f t="shared" si="23"/>
        <v>25512</v>
      </c>
      <c r="H69" s="61">
        <v>33</v>
      </c>
      <c r="I69" s="61">
        <v>21823</v>
      </c>
      <c r="J69" s="61">
        <f t="shared" si="24"/>
        <v>1482</v>
      </c>
      <c r="K69" s="61">
        <f t="shared" si="24"/>
        <v>53417</v>
      </c>
      <c r="L69" s="6">
        <v>33</v>
      </c>
      <c r="M69" s="6">
        <v>5589</v>
      </c>
      <c r="N69" s="62">
        <f t="shared" si="25"/>
        <v>1126</v>
      </c>
      <c r="O69" s="62">
        <f t="shared" si="26"/>
        <v>47564</v>
      </c>
    </row>
    <row r="70" spans="1:15" x14ac:dyDescent="0.25">
      <c r="A70" s="6" t="s">
        <v>42</v>
      </c>
      <c r="B70" s="6" t="s">
        <v>166</v>
      </c>
      <c r="C70" s="6">
        <v>9</v>
      </c>
      <c r="D70" s="62">
        <v>64</v>
      </c>
      <c r="E70" s="62">
        <v>1760</v>
      </c>
      <c r="F70" s="62">
        <f t="shared" si="23"/>
        <v>600</v>
      </c>
      <c r="G70" s="62">
        <f t="shared" si="23"/>
        <v>27272</v>
      </c>
      <c r="H70" s="61">
        <v>41</v>
      </c>
      <c r="I70" s="61">
        <v>5909</v>
      </c>
      <c r="J70" s="61">
        <f t="shared" si="24"/>
        <v>1523</v>
      </c>
      <c r="K70" s="61">
        <f t="shared" si="24"/>
        <v>59326</v>
      </c>
      <c r="L70" s="6">
        <v>46</v>
      </c>
      <c r="M70" s="6">
        <v>2105</v>
      </c>
      <c r="N70" s="62">
        <f t="shared" si="25"/>
        <v>1172</v>
      </c>
      <c r="O70" s="62">
        <f t="shared" si="26"/>
        <v>49669</v>
      </c>
    </row>
    <row r="71" spans="1:15" x14ac:dyDescent="0.25">
      <c r="A71" s="6" t="s">
        <v>42</v>
      </c>
      <c r="B71" s="6" t="s">
        <v>167</v>
      </c>
      <c r="C71" s="6">
        <v>10</v>
      </c>
      <c r="D71" s="62">
        <v>29</v>
      </c>
      <c r="E71" s="62">
        <v>775</v>
      </c>
      <c r="F71" s="62">
        <f t="shared" si="23"/>
        <v>629</v>
      </c>
      <c r="G71" s="62">
        <f t="shared" si="23"/>
        <v>28047</v>
      </c>
      <c r="H71" s="61">
        <v>22</v>
      </c>
      <c r="I71" s="61">
        <v>495</v>
      </c>
      <c r="J71" s="61">
        <f t="shared" si="24"/>
        <v>1545</v>
      </c>
      <c r="K71" s="61">
        <f t="shared" si="24"/>
        <v>59821</v>
      </c>
      <c r="L71" s="6">
        <v>21</v>
      </c>
      <c r="M71" s="6">
        <v>785</v>
      </c>
      <c r="N71" s="62">
        <f t="shared" si="25"/>
        <v>1193</v>
      </c>
      <c r="O71" s="62">
        <f t="shared" si="26"/>
        <v>50454</v>
      </c>
    </row>
    <row r="72" spans="1:15" x14ac:dyDescent="0.25">
      <c r="A72" s="6" t="s">
        <v>42</v>
      </c>
      <c r="B72" s="6" t="s">
        <v>168</v>
      </c>
      <c r="C72" s="6">
        <v>11</v>
      </c>
      <c r="D72" s="62">
        <v>24</v>
      </c>
      <c r="E72" s="62">
        <v>625</v>
      </c>
      <c r="F72" s="62">
        <f t="shared" si="23"/>
        <v>653</v>
      </c>
      <c r="G72" s="62">
        <f t="shared" si="23"/>
        <v>28672</v>
      </c>
      <c r="H72" s="61">
        <v>19</v>
      </c>
      <c r="I72" s="61">
        <v>670</v>
      </c>
      <c r="J72" s="61">
        <f t="shared" si="24"/>
        <v>1564</v>
      </c>
      <c r="K72" s="61">
        <f t="shared" si="24"/>
        <v>60491</v>
      </c>
      <c r="L72" s="6">
        <v>19</v>
      </c>
      <c r="M72" s="6">
        <v>8390</v>
      </c>
      <c r="N72" s="62">
        <f t="shared" si="25"/>
        <v>1212</v>
      </c>
      <c r="O72" s="62">
        <f t="shared" si="26"/>
        <v>58844</v>
      </c>
    </row>
    <row r="73" spans="1:15" x14ac:dyDescent="0.25">
      <c r="A73" s="6" t="s">
        <v>42</v>
      </c>
      <c r="B73" s="6" t="s">
        <v>169</v>
      </c>
      <c r="C73" s="6">
        <v>12</v>
      </c>
      <c r="D73" s="62">
        <v>30</v>
      </c>
      <c r="E73" s="62">
        <v>750</v>
      </c>
      <c r="F73" s="62">
        <f t="shared" si="23"/>
        <v>683</v>
      </c>
      <c r="G73" s="62">
        <f t="shared" si="23"/>
        <v>29422</v>
      </c>
      <c r="H73" s="61">
        <v>15</v>
      </c>
      <c r="I73" s="61">
        <v>470</v>
      </c>
      <c r="J73" s="61">
        <f t="shared" si="24"/>
        <v>1579</v>
      </c>
      <c r="K73" s="61">
        <f t="shared" si="24"/>
        <v>60961</v>
      </c>
      <c r="L73" s="6">
        <v>17</v>
      </c>
      <c r="M73" s="6">
        <v>11295</v>
      </c>
      <c r="N73" s="62">
        <f t="shared" si="25"/>
        <v>1229</v>
      </c>
      <c r="O73" s="62">
        <f t="shared" si="26"/>
        <v>70139</v>
      </c>
    </row>
    <row r="74" spans="1:15" x14ac:dyDescent="0.25">
      <c r="A74" s="6" t="s">
        <v>63</v>
      </c>
      <c r="B74" s="6" t="s">
        <v>158</v>
      </c>
      <c r="C74" s="6">
        <v>1</v>
      </c>
      <c r="D74" s="62">
        <v>0</v>
      </c>
      <c r="E74" s="62">
        <v>0</v>
      </c>
      <c r="F74" s="62">
        <f>D74</f>
        <v>0</v>
      </c>
      <c r="G74" s="62">
        <f>E74</f>
        <v>0</v>
      </c>
      <c r="H74" s="62">
        <v>0</v>
      </c>
      <c r="I74" s="62">
        <v>0</v>
      </c>
      <c r="J74" s="62">
        <f>H74</f>
        <v>0</v>
      </c>
      <c r="K74" s="62">
        <f>I74</f>
        <v>0</v>
      </c>
      <c r="L74" s="6">
        <v>0</v>
      </c>
      <c r="M74" s="6">
        <v>0</v>
      </c>
      <c r="N74" s="62">
        <f>L74</f>
        <v>0</v>
      </c>
      <c r="O74" s="62">
        <f>M74</f>
        <v>0</v>
      </c>
    </row>
    <row r="75" spans="1:15" x14ac:dyDescent="0.25">
      <c r="A75" s="6" t="s">
        <v>63</v>
      </c>
      <c r="B75" s="6" t="s">
        <v>159</v>
      </c>
      <c r="C75" s="6">
        <v>2</v>
      </c>
      <c r="D75" s="62">
        <v>0</v>
      </c>
      <c r="E75" s="62">
        <v>0</v>
      </c>
      <c r="F75" s="62">
        <f t="shared" ref="F75:F85" si="27">F74+D75</f>
        <v>0</v>
      </c>
      <c r="G75" s="62">
        <f t="shared" ref="G75:G85" si="28">G74+E75</f>
        <v>0</v>
      </c>
      <c r="H75" s="62">
        <v>0</v>
      </c>
      <c r="I75" s="62">
        <v>0</v>
      </c>
      <c r="J75" s="62">
        <f t="shared" ref="J75:J85" si="29">J74+H75</f>
        <v>0</v>
      </c>
      <c r="K75" s="62">
        <f t="shared" ref="K75:K85" si="30">K74+I75</f>
        <v>0</v>
      </c>
      <c r="L75" s="6">
        <v>0</v>
      </c>
      <c r="M75" s="6">
        <v>0</v>
      </c>
      <c r="N75" s="62">
        <f t="shared" ref="N75:N85" si="31">N74+L75</f>
        <v>0</v>
      </c>
      <c r="O75" s="62">
        <f t="shared" ref="O75:O85" si="32">O74+M75</f>
        <v>0</v>
      </c>
    </row>
    <row r="76" spans="1:15" x14ac:dyDescent="0.25">
      <c r="A76" s="6" t="s">
        <v>63</v>
      </c>
      <c r="B76" s="6" t="s">
        <v>160</v>
      </c>
      <c r="C76" s="6">
        <v>3</v>
      </c>
      <c r="D76" s="62">
        <v>0</v>
      </c>
      <c r="E76" s="62">
        <v>0</v>
      </c>
      <c r="F76" s="62">
        <f t="shared" si="27"/>
        <v>0</v>
      </c>
      <c r="G76" s="62">
        <f t="shared" si="28"/>
        <v>0</v>
      </c>
      <c r="H76" s="62">
        <v>0</v>
      </c>
      <c r="I76" s="62">
        <v>0</v>
      </c>
      <c r="J76" s="62">
        <f t="shared" si="29"/>
        <v>0</v>
      </c>
      <c r="K76" s="62">
        <f t="shared" si="30"/>
        <v>0</v>
      </c>
      <c r="L76" s="6">
        <v>0</v>
      </c>
      <c r="M76" s="6">
        <v>0</v>
      </c>
      <c r="N76" s="62">
        <f t="shared" si="31"/>
        <v>0</v>
      </c>
      <c r="O76" s="62">
        <f t="shared" si="32"/>
        <v>0</v>
      </c>
    </row>
    <row r="77" spans="1:15" x14ac:dyDescent="0.25">
      <c r="A77" s="6" t="s">
        <v>63</v>
      </c>
      <c r="B77" s="6" t="s">
        <v>161</v>
      </c>
      <c r="C77" s="6">
        <v>4</v>
      </c>
      <c r="D77" s="62">
        <v>0</v>
      </c>
      <c r="E77" s="62">
        <v>0</v>
      </c>
      <c r="F77" s="62">
        <f t="shared" si="27"/>
        <v>0</v>
      </c>
      <c r="G77" s="62">
        <f t="shared" si="28"/>
        <v>0</v>
      </c>
      <c r="H77" s="62">
        <v>0</v>
      </c>
      <c r="I77" s="62">
        <v>0</v>
      </c>
      <c r="J77" s="62">
        <f t="shared" si="29"/>
        <v>0</v>
      </c>
      <c r="K77" s="62">
        <f t="shared" si="30"/>
        <v>0</v>
      </c>
      <c r="L77" s="6">
        <v>0</v>
      </c>
      <c r="M77" s="6">
        <v>0</v>
      </c>
      <c r="N77" s="62">
        <f t="shared" si="31"/>
        <v>0</v>
      </c>
      <c r="O77" s="62">
        <f t="shared" si="32"/>
        <v>0</v>
      </c>
    </row>
    <row r="78" spans="1:15" x14ac:dyDescent="0.25">
      <c r="A78" s="6" t="s">
        <v>63</v>
      </c>
      <c r="B78" s="6" t="s">
        <v>162</v>
      </c>
      <c r="C78" s="6">
        <v>5</v>
      </c>
      <c r="D78" s="62">
        <v>0</v>
      </c>
      <c r="E78" s="62">
        <v>0</v>
      </c>
      <c r="F78" s="62">
        <f t="shared" si="27"/>
        <v>0</v>
      </c>
      <c r="G78" s="62">
        <f t="shared" si="28"/>
        <v>0</v>
      </c>
      <c r="H78" s="62">
        <v>0</v>
      </c>
      <c r="I78" s="62">
        <v>0</v>
      </c>
      <c r="J78" s="62">
        <f t="shared" si="29"/>
        <v>0</v>
      </c>
      <c r="K78" s="62">
        <f t="shared" si="30"/>
        <v>0</v>
      </c>
      <c r="L78" s="6">
        <v>0</v>
      </c>
      <c r="M78" s="6">
        <v>0</v>
      </c>
      <c r="N78" s="62">
        <f t="shared" si="31"/>
        <v>0</v>
      </c>
      <c r="O78" s="62">
        <f t="shared" si="32"/>
        <v>0</v>
      </c>
    </row>
    <row r="79" spans="1:15" x14ac:dyDescent="0.25">
      <c r="A79" s="6" t="s">
        <v>63</v>
      </c>
      <c r="B79" s="6" t="s">
        <v>163</v>
      </c>
      <c r="C79" s="6">
        <v>6</v>
      </c>
      <c r="D79" s="62">
        <v>0</v>
      </c>
      <c r="E79" s="62">
        <v>0</v>
      </c>
      <c r="F79" s="62">
        <f t="shared" si="27"/>
        <v>0</v>
      </c>
      <c r="G79" s="62">
        <f t="shared" si="28"/>
        <v>0</v>
      </c>
      <c r="H79" s="62">
        <v>0</v>
      </c>
      <c r="I79" s="62">
        <v>0</v>
      </c>
      <c r="J79" s="62">
        <f t="shared" si="29"/>
        <v>0</v>
      </c>
      <c r="K79" s="62">
        <f t="shared" si="30"/>
        <v>0</v>
      </c>
      <c r="L79" s="6">
        <v>1</v>
      </c>
      <c r="M79" s="6">
        <v>1578.8</v>
      </c>
      <c r="N79" s="62">
        <f t="shared" si="31"/>
        <v>1</v>
      </c>
      <c r="O79" s="62">
        <f t="shared" si="32"/>
        <v>1578.8</v>
      </c>
    </row>
    <row r="80" spans="1:15" x14ac:dyDescent="0.25">
      <c r="A80" s="6" t="s">
        <v>63</v>
      </c>
      <c r="B80" s="6" t="s">
        <v>164</v>
      </c>
      <c r="C80" s="6">
        <v>7</v>
      </c>
      <c r="D80" s="62">
        <v>0</v>
      </c>
      <c r="E80" s="62">
        <v>0</v>
      </c>
      <c r="F80" s="62">
        <f t="shared" si="27"/>
        <v>0</v>
      </c>
      <c r="G80" s="62">
        <f t="shared" si="28"/>
        <v>0</v>
      </c>
      <c r="H80" s="62">
        <v>0</v>
      </c>
      <c r="I80" s="62">
        <v>0</v>
      </c>
      <c r="J80" s="62">
        <f t="shared" si="29"/>
        <v>0</v>
      </c>
      <c r="K80" s="62">
        <f t="shared" si="30"/>
        <v>0</v>
      </c>
      <c r="L80" s="6">
        <v>0</v>
      </c>
      <c r="M80" s="6">
        <v>0</v>
      </c>
      <c r="N80" s="62">
        <f t="shared" si="31"/>
        <v>1</v>
      </c>
      <c r="O80" s="62">
        <f t="shared" si="32"/>
        <v>1578.8</v>
      </c>
    </row>
    <row r="81" spans="1:15" x14ac:dyDescent="0.25">
      <c r="A81" s="6" t="s">
        <v>63</v>
      </c>
      <c r="B81" s="6" t="s">
        <v>165</v>
      </c>
      <c r="C81" s="6">
        <v>8</v>
      </c>
      <c r="D81" s="62">
        <v>0</v>
      </c>
      <c r="E81" s="62">
        <v>0</v>
      </c>
      <c r="F81" s="62">
        <f t="shared" si="27"/>
        <v>0</v>
      </c>
      <c r="G81" s="62">
        <f t="shared" si="28"/>
        <v>0</v>
      </c>
      <c r="H81" s="62">
        <v>0</v>
      </c>
      <c r="I81" s="62">
        <v>0</v>
      </c>
      <c r="J81" s="62">
        <f t="shared" si="29"/>
        <v>0</v>
      </c>
      <c r="K81" s="62">
        <f t="shared" si="30"/>
        <v>0</v>
      </c>
      <c r="L81" s="6">
        <v>0</v>
      </c>
      <c r="M81" s="6">
        <v>0</v>
      </c>
      <c r="N81" s="62">
        <f t="shared" si="31"/>
        <v>1</v>
      </c>
      <c r="O81" s="62">
        <f t="shared" si="32"/>
        <v>1578.8</v>
      </c>
    </row>
    <row r="82" spans="1:15" x14ac:dyDescent="0.25">
      <c r="A82" s="6" t="s">
        <v>63</v>
      </c>
      <c r="B82" s="6" t="s">
        <v>166</v>
      </c>
      <c r="C82" s="6">
        <v>9</v>
      </c>
      <c r="D82" s="62">
        <v>0</v>
      </c>
      <c r="E82" s="62">
        <v>0</v>
      </c>
      <c r="F82" s="62">
        <f t="shared" si="27"/>
        <v>0</v>
      </c>
      <c r="G82" s="62">
        <f t="shared" si="28"/>
        <v>0</v>
      </c>
      <c r="H82" s="62">
        <v>0</v>
      </c>
      <c r="I82" s="62">
        <v>0</v>
      </c>
      <c r="J82" s="62">
        <f t="shared" si="29"/>
        <v>0</v>
      </c>
      <c r="K82" s="62">
        <f t="shared" si="30"/>
        <v>0</v>
      </c>
      <c r="L82" s="6">
        <v>0</v>
      </c>
      <c r="M82" s="6">
        <v>0</v>
      </c>
      <c r="N82" s="62">
        <f t="shared" si="31"/>
        <v>1</v>
      </c>
      <c r="O82" s="62">
        <f t="shared" si="32"/>
        <v>1578.8</v>
      </c>
    </row>
    <row r="83" spans="1:15" x14ac:dyDescent="0.25">
      <c r="A83" s="6" t="s">
        <v>63</v>
      </c>
      <c r="B83" s="6" t="s">
        <v>167</v>
      </c>
      <c r="C83" s="6">
        <v>10</v>
      </c>
      <c r="D83" s="62">
        <v>0</v>
      </c>
      <c r="E83" s="62">
        <v>0</v>
      </c>
      <c r="F83" s="62">
        <f t="shared" si="27"/>
        <v>0</v>
      </c>
      <c r="G83" s="62">
        <f t="shared" si="28"/>
        <v>0</v>
      </c>
      <c r="H83" s="62">
        <v>0</v>
      </c>
      <c r="I83" s="62">
        <v>0</v>
      </c>
      <c r="J83" s="62">
        <f t="shared" si="29"/>
        <v>0</v>
      </c>
      <c r="K83" s="62">
        <f t="shared" si="30"/>
        <v>0</v>
      </c>
      <c r="L83" s="6">
        <v>0</v>
      </c>
      <c r="M83" s="6">
        <v>0</v>
      </c>
      <c r="N83" s="62">
        <f t="shared" si="31"/>
        <v>1</v>
      </c>
      <c r="O83" s="62">
        <f t="shared" si="32"/>
        <v>1578.8</v>
      </c>
    </row>
    <row r="84" spans="1:15" x14ac:dyDescent="0.25">
      <c r="A84" s="6" t="s">
        <v>63</v>
      </c>
      <c r="B84" s="6" t="s">
        <v>168</v>
      </c>
      <c r="C84" s="6">
        <v>11</v>
      </c>
      <c r="D84" s="62">
        <v>0</v>
      </c>
      <c r="E84" s="62">
        <v>0</v>
      </c>
      <c r="F84" s="62">
        <f t="shared" si="27"/>
        <v>0</v>
      </c>
      <c r="G84" s="62">
        <f t="shared" si="28"/>
        <v>0</v>
      </c>
      <c r="H84" s="62">
        <v>0</v>
      </c>
      <c r="I84" s="62">
        <v>0</v>
      </c>
      <c r="J84" s="62">
        <f t="shared" si="29"/>
        <v>0</v>
      </c>
      <c r="K84" s="62">
        <f t="shared" si="30"/>
        <v>0</v>
      </c>
      <c r="L84" s="6">
        <v>0</v>
      </c>
      <c r="M84" s="6">
        <v>0</v>
      </c>
      <c r="N84" s="62">
        <f t="shared" si="31"/>
        <v>1</v>
      </c>
      <c r="O84" s="62">
        <f t="shared" si="32"/>
        <v>1578.8</v>
      </c>
    </row>
    <row r="85" spans="1:15" x14ac:dyDescent="0.25">
      <c r="A85" s="6" t="s">
        <v>63</v>
      </c>
      <c r="B85" s="6" t="s">
        <v>169</v>
      </c>
      <c r="C85" s="6">
        <v>12</v>
      </c>
      <c r="D85" s="62">
        <v>0</v>
      </c>
      <c r="E85" s="62">
        <v>0</v>
      </c>
      <c r="F85" s="62">
        <f t="shared" si="27"/>
        <v>0</v>
      </c>
      <c r="G85" s="62">
        <f t="shared" si="28"/>
        <v>0</v>
      </c>
      <c r="H85" s="62">
        <v>0</v>
      </c>
      <c r="I85" s="62">
        <v>0</v>
      </c>
      <c r="J85" s="62">
        <f t="shared" si="29"/>
        <v>0</v>
      </c>
      <c r="K85" s="62">
        <f t="shared" si="30"/>
        <v>0</v>
      </c>
      <c r="L85" s="6">
        <v>0</v>
      </c>
      <c r="M85" s="6">
        <v>0</v>
      </c>
      <c r="N85" s="62">
        <f t="shared" si="31"/>
        <v>1</v>
      </c>
      <c r="O85" s="62">
        <f t="shared" si="32"/>
        <v>1578.8</v>
      </c>
    </row>
    <row r="86" spans="1:15" x14ac:dyDescent="0.25">
      <c r="A86" s="6" t="s">
        <v>120</v>
      </c>
      <c r="B86" s="6" t="s">
        <v>158</v>
      </c>
      <c r="C86" s="6">
        <v>1</v>
      </c>
      <c r="D86" s="62">
        <v>0</v>
      </c>
      <c r="E86" s="62">
        <v>0</v>
      </c>
      <c r="F86" s="62">
        <f>D86</f>
        <v>0</v>
      </c>
      <c r="G86" s="62">
        <f>E86</f>
        <v>0</v>
      </c>
      <c r="H86" s="61">
        <v>3</v>
      </c>
      <c r="I86" s="61">
        <v>2666.7</v>
      </c>
      <c r="J86" s="61">
        <f>H86</f>
        <v>3</v>
      </c>
      <c r="K86" s="61">
        <f>I86</f>
        <v>2666.7</v>
      </c>
      <c r="L86" s="6">
        <v>2</v>
      </c>
      <c r="M86" s="6">
        <v>5349.9</v>
      </c>
      <c r="N86" s="62">
        <f>L86</f>
        <v>2</v>
      </c>
      <c r="O86" s="62">
        <f>M86</f>
        <v>5349.9</v>
      </c>
    </row>
    <row r="87" spans="1:15" x14ac:dyDescent="0.25">
      <c r="A87" s="6" t="s">
        <v>120</v>
      </c>
      <c r="B87" s="6" t="s">
        <v>159</v>
      </c>
      <c r="C87" s="6">
        <v>2</v>
      </c>
      <c r="D87" s="63">
        <v>1</v>
      </c>
      <c r="E87" s="63">
        <v>320</v>
      </c>
      <c r="F87" s="62">
        <f t="shared" ref="F87:G97" si="33">F86+D87</f>
        <v>1</v>
      </c>
      <c r="G87" s="62">
        <f t="shared" si="33"/>
        <v>320</v>
      </c>
      <c r="H87" s="61">
        <v>0</v>
      </c>
      <c r="I87" s="61">
        <v>0</v>
      </c>
      <c r="J87" s="61">
        <f t="shared" ref="J87:K97" si="34">J86+H87</f>
        <v>3</v>
      </c>
      <c r="K87" s="61">
        <f t="shared" si="34"/>
        <v>2666.7</v>
      </c>
      <c r="L87" s="6">
        <v>0</v>
      </c>
      <c r="M87" s="6">
        <v>0</v>
      </c>
      <c r="N87" s="62">
        <f t="shared" ref="N87:N97" si="35">N86+L87</f>
        <v>2</v>
      </c>
      <c r="O87" s="62">
        <f t="shared" ref="O87:O97" si="36">O86+M87</f>
        <v>5349.9</v>
      </c>
    </row>
    <row r="88" spans="1:15" x14ac:dyDescent="0.25">
      <c r="A88" s="6" t="s">
        <v>120</v>
      </c>
      <c r="B88" s="6" t="s">
        <v>160</v>
      </c>
      <c r="C88" s="6">
        <v>3</v>
      </c>
      <c r="D88" s="63">
        <v>1</v>
      </c>
      <c r="E88" s="63">
        <v>420</v>
      </c>
      <c r="F88" s="62">
        <f t="shared" si="33"/>
        <v>2</v>
      </c>
      <c r="G88" s="62">
        <f t="shared" si="33"/>
        <v>740</v>
      </c>
      <c r="H88" s="61">
        <v>2</v>
      </c>
      <c r="I88" s="61">
        <v>11407.060000000001</v>
      </c>
      <c r="J88" s="61">
        <f t="shared" si="34"/>
        <v>5</v>
      </c>
      <c r="K88" s="61">
        <f t="shared" si="34"/>
        <v>14073.760000000002</v>
      </c>
      <c r="L88" s="6">
        <v>2</v>
      </c>
      <c r="M88" s="6">
        <v>4662.68</v>
      </c>
      <c r="N88" s="62">
        <f t="shared" si="35"/>
        <v>4</v>
      </c>
      <c r="O88" s="62">
        <f t="shared" si="36"/>
        <v>10012.58</v>
      </c>
    </row>
    <row r="89" spans="1:15" x14ac:dyDescent="0.25">
      <c r="A89" s="6" t="s">
        <v>120</v>
      </c>
      <c r="B89" s="6" t="s">
        <v>161</v>
      </c>
      <c r="C89" s="6">
        <v>4</v>
      </c>
      <c r="D89" s="63">
        <v>1</v>
      </c>
      <c r="E89" s="63">
        <v>5100</v>
      </c>
      <c r="F89" s="62">
        <f t="shared" si="33"/>
        <v>3</v>
      </c>
      <c r="G89" s="62">
        <f t="shared" si="33"/>
        <v>5840</v>
      </c>
      <c r="H89" s="61">
        <v>0</v>
      </c>
      <c r="I89" s="61">
        <v>0</v>
      </c>
      <c r="J89" s="61">
        <f t="shared" si="34"/>
        <v>5</v>
      </c>
      <c r="K89" s="61">
        <f t="shared" si="34"/>
        <v>14073.760000000002</v>
      </c>
      <c r="L89" s="6">
        <v>4</v>
      </c>
      <c r="M89" s="6">
        <v>9979.84</v>
      </c>
      <c r="N89" s="62">
        <f t="shared" si="35"/>
        <v>8</v>
      </c>
      <c r="O89" s="62">
        <f t="shared" si="36"/>
        <v>19992.419999999998</v>
      </c>
    </row>
    <row r="90" spans="1:15" x14ac:dyDescent="0.25">
      <c r="A90" s="6" t="s">
        <v>120</v>
      </c>
      <c r="B90" s="6" t="s">
        <v>162</v>
      </c>
      <c r="C90" s="6">
        <v>5</v>
      </c>
      <c r="D90" s="63">
        <v>0</v>
      </c>
      <c r="E90" s="63">
        <v>0</v>
      </c>
      <c r="F90" s="62">
        <f t="shared" si="33"/>
        <v>3</v>
      </c>
      <c r="G90" s="62">
        <f t="shared" si="33"/>
        <v>5840</v>
      </c>
      <c r="H90" s="61">
        <v>3</v>
      </c>
      <c r="I90" s="61">
        <v>10350</v>
      </c>
      <c r="J90" s="61">
        <f t="shared" si="34"/>
        <v>8</v>
      </c>
      <c r="K90" s="61">
        <f t="shared" si="34"/>
        <v>24423.760000000002</v>
      </c>
      <c r="L90" s="6">
        <v>0</v>
      </c>
      <c r="M90" s="6">
        <v>0</v>
      </c>
      <c r="N90" s="62">
        <f t="shared" si="35"/>
        <v>8</v>
      </c>
      <c r="O90" s="62">
        <f t="shared" si="36"/>
        <v>19992.419999999998</v>
      </c>
    </row>
    <row r="91" spans="1:15" x14ac:dyDescent="0.25">
      <c r="A91" s="6" t="s">
        <v>120</v>
      </c>
      <c r="B91" s="6" t="s">
        <v>163</v>
      </c>
      <c r="C91" s="6">
        <v>6</v>
      </c>
      <c r="D91" s="63">
        <v>0</v>
      </c>
      <c r="E91" s="63">
        <v>0</v>
      </c>
      <c r="F91" s="62">
        <f t="shared" si="33"/>
        <v>3</v>
      </c>
      <c r="G91" s="62">
        <f t="shared" si="33"/>
        <v>5840</v>
      </c>
      <c r="H91" s="61">
        <v>4</v>
      </c>
      <c r="I91" s="61">
        <v>28781.5</v>
      </c>
      <c r="J91" s="61">
        <f t="shared" si="34"/>
        <v>12</v>
      </c>
      <c r="K91" s="61">
        <f t="shared" si="34"/>
        <v>53205.26</v>
      </c>
      <c r="L91" s="6">
        <v>2</v>
      </c>
      <c r="M91" s="6">
        <v>2280</v>
      </c>
      <c r="N91" s="62">
        <f t="shared" si="35"/>
        <v>10</v>
      </c>
      <c r="O91" s="62">
        <f t="shared" si="36"/>
        <v>22272.42</v>
      </c>
    </row>
    <row r="92" spans="1:15" x14ac:dyDescent="0.25">
      <c r="A92" s="6" t="s">
        <v>120</v>
      </c>
      <c r="B92" s="6" t="s">
        <v>164</v>
      </c>
      <c r="C92" s="6">
        <v>7</v>
      </c>
      <c r="D92" s="63">
        <v>0</v>
      </c>
      <c r="E92" s="63">
        <v>0</v>
      </c>
      <c r="F92" s="62">
        <f t="shared" si="33"/>
        <v>3</v>
      </c>
      <c r="G92" s="62">
        <f t="shared" si="33"/>
        <v>5840</v>
      </c>
      <c r="H92" s="61">
        <v>0</v>
      </c>
      <c r="I92" s="61">
        <v>0</v>
      </c>
      <c r="J92" s="61">
        <f t="shared" si="34"/>
        <v>12</v>
      </c>
      <c r="K92" s="61">
        <f t="shared" si="34"/>
        <v>53205.26</v>
      </c>
      <c r="L92" s="6">
        <v>0</v>
      </c>
      <c r="M92" s="6">
        <v>0</v>
      </c>
      <c r="N92" s="62">
        <f t="shared" si="35"/>
        <v>10</v>
      </c>
      <c r="O92" s="62">
        <f t="shared" si="36"/>
        <v>22272.42</v>
      </c>
    </row>
    <row r="93" spans="1:15" x14ac:dyDescent="0.25">
      <c r="A93" s="6" t="s">
        <v>120</v>
      </c>
      <c r="B93" s="6" t="s">
        <v>165</v>
      </c>
      <c r="C93" s="6">
        <v>8</v>
      </c>
      <c r="D93" s="63">
        <v>0</v>
      </c>
      <c r="E93" s="63">
        <v>0</v>
      </c>
      <c r="F93" s="62">
        <f t="shared" si="33"/>
        <v>3</v>
      </c>
      <c r="G93" s="62">
        <f t="shared" si="33"/>
        <v>5840</v>
      </c>
      <c r="H93" s="61">
        <v>1</v>
      </c>
      <c r="I93" s="61">
        <v>1265</v>
      </c>
      <c r="J93" s="61">
        <f t="shared" si="34"/>
        <v>13</v>
      </c>
      <c r="K93" s="61">
        <f t="shared" si="34"/>
        <v>54470.26</v>
      </c>
      <c r="L93" s="6">
        <v>1</v>
      </c>
      <c r="M93" s="6">
        <v>975</v>
      </c>
      <c r="N93" s="62">
        <f t="shared" si="35"/>
        <v>11</v>
      </c>
      <c r="O93" s="62">
        <f t="shared" si="36"/>
        <v>23247.42</v>
      </c>
    </row>
    <row r="94" spans="1:15" x14ac:dyDescent="0.25">
      <c r="A94" s="6" t="s">
        <v>120</v>
      </c>
      <c r="B94" s="6" t="s">
        <v>166</v>
      </c>
      <c r="C94" s="6">
        <v>9</v>
      </c>
      <c r="D94" s="63">
        <v>0</v>
      </c>
      <c r="E94" s="63">
        <v>0</v>
      </c>
      <c r="F94" s="62">
        <f t="shared" si="33"/>
        <v>3</v>
      </c>
      <c r="G94" s="62">
        <f t="shared" si="33"/>
        <v>5840</v>
      </c>
      <c r="H94" s="61">
        <v>1</v>
      </c>
      <c r="I94" s="61">
        <v>1600</v>
      </c>
      <c r="J94" s="61">
        <f t="shared" si="34"/>
        <v>14</v>
      </c>
      <c r="K94" s="61">
        <f t="shared" si="34"/>
        <v>56070.26</v>
      </c>
      <c r="L94" s="6">
        <v>2</v>
      </c>
      <c r="M94" s="6">
        <v>8291</v>
      </c>
      <c r="N94" s="62">
        <f t="shared" si="35"/>
        <v>13</v>
      </c>
      <c r="O94" s="62">
        <f t="shared" si="36"/>
        <v>31538.42</v>
      </c>
    </row>
    <row r="95" spans="1:15" x14ac:dyDescent="0.25">
      <c r="A95" s="6" t="s">
        <v>120</v>
      </c>
      <c r="B95" s="6" t="s">
        <v>167</v>
      </c>
      <c r="C95" s="6">
        <v>10</v>
      </c>
      <c r="D95" s="63">
        <v>1</v>
      </c>
      <c r="E95" s="63">
        <v>22891.29</v>
      </c>
      <c r="F95" s="62">
        <f t="shared" si="33"/>
        <v>4</v>
      </c>
      <c r="G95" s="62">
        <f t="shared" si="33"/>
        <v>28731.29</v>
      </c>
      <c r="H95" s="61">
        <v>0</v>
      </c>
      <c r="I95" s="61">
        <v>0</v>
      </c>
      <c r="J95" s="61">
        <f t="shared" si="34"/>
        <v>14</v>
      </c>
      <c r="K95" s="61">
        <f t="shared" si="34"/>
        <v>56070.26</v>
      </c>
      <c r="L95" s="6">
        <v>6</v>
      </c>
      <c r="M95" s="6">
        <v>45760.18</v>
      </c>
      <c r="N95" s="62">
        <f t="shared" si="35"/>
        <v>19</v>
      </c>
      <c r="O95" s="62">
        <f t="shared" si="36"/>
        <v>77298.600000000006</v>
      </c>
    </row>
    <row r="96" spans="1:15" x14ac:dyDescent="0.25">
      <c r="A96" s="6" t="s">
        <v>120</v>
      </c>
      <c r="B96" s="6" t="s">
        <v>168</v>
      </c>
      <c r="C96" s="6">
        <v>11</v>
      </c>
      <c r="D96" s="63">
        <v>1</v>
      </c>
      <c r="E96" s="63">
        <v>210.6</v>
      </c>
      <c r="F96" s="62">
        <f t="shared" si="33"/>
        <v>5</v>
      </c>
      <c r="G96" s="62">
        <f t="shared" si="33"/>
        <v>28941.89</v>
      </c>
      <c r="H96" s="61">
        <v>1</v>
      </c>
      <c r="I96" s="61">
        <v>5500</v>
      </c>
      <c r="J96" s="61">
        <f t="shared" si="34"/>
        <v>15</v>
      </c>
      <c r="K96" s="61">
        <f t="shared" si="34"/>
        <v>61570.26</v>
      </c>
      <c r="L96" s="6">
        <v>2</v>
      </c>
      <c r="M96" s="6">
        <v>13026</v>
      </c>
      <c r="N96" s="62">
        <f t="shared" si="35"/>
        <v>21</v>
      </c>
      <c r="O96" s="62">
        <f t="shared" si="36"/>
        <v>90324.6</v>
      </c>
    </row>
    <row r="97" spans="1:15" x14ac:dyDescent="0.25">
      <c r="A97" s="6" t="s">
        <v>120</v>
      </c>
      <c r="B97" s="6" t="s">
        <v>169</v>
      </c>
      <c r="C97" s="6">
        <v>12</v>
      </c>
      <c r="D97" s="63">
        <v>0</v>
      </c>
      <c r="E97" s="63">
        <v>0</v>
      </c>
      <c r="F97" s="62">
        <f t="shared" si="33"/>
        <v>5</v>
      </c>
      <c r="G97" s="62">
        <f t="shared" si="33"/>
        <v>28941.89</v>
      </c>
      <c r="H97" s="61">
        <v>0</v>
      </c>
      <c r="I97" s="61">
        <v>0</v>
      </c>
      <c r="J97" s="61">
        <f t="shared" si="34"/>
        <v>15</v>
      </c>
      <c r="K97" s="61">
        <f t="shared" si="34"/>
        <v>61570.26</v>
      </c>
      <c r="L97" s="6">
        <v>0</v>
      </c>
      <c r="M97" s="6">
        <v>0</v>
      </c>
      <c r="N97" s="62">
        <f t="shared" si="35"/>
        <v>21</v>
      </c>
      <c r="O97" s="62">
        <f t="shared" si="36"/>
        <v>90324.6</v>
      </c>
    </row>
    <row r="98" spans="1:15" x14ac:dyDescent="0.25">
      <c r="A98" s="6" t="s">
        <v>48</v>
      </c>
      <c r="B98" s="6" t="s">
        <v>158</v>
      </c>
      <c r="C98" s="6">
        <v>1</v>
      </c>
      <c r="D98" s="63">
        <v>3</v>
      </c>
      <c r="E98" s="63">
        <v>300</v>
      </c>
      <c r="F98" s="62">
        <f>D98</f>
        <v>3</v>
      </c>
      <c r="G98" s="62">
        <f>E98</f>
        <v>300</v>
      </c>
      <c r="H98" s="61">
        <v>12</v>
      </c>
      <c r="I98" s="61">
        <v>6920</v>
      </c>
      <c r="J98" s="61">
        <f>H98</f>
        <v>12</v>
      </c>
      <c r="K98" s="61">
        <f>I98</f>
        <v>6920</v>
      </c>
      <c r="L98" s="6">
        <v>37</v>
      </c>
      <c r="M98" s="6">
        <v>7080</v>
      </c>
      <c r="N98" s="62">
        <f>L98</f>
        <v>37</v>
      </c>
      <c r="O98" s="62">
        <f>M98</f>
        <v>7080</v>
      </c>
    </row>
    <row r="99" spans="1:15" x14ac:dyDescent="0.25">
      <c r="A99" s="6" t="s">
        <v>48</v>
      </c>
      <c r="B99" s="6" t="s">
        <v>159</v>
      </c>
      <c r="C99" s="6">
        <v>2</v>
      </c>
      <c r="D99" s="63">
        <v>2</v>
      </c>
      <c r="E99" s="63">
        <v>270</v>
      </c>
      <c r="F99" s="62">
        <f t="shared" ref="F99:G109" si="37">F98+D99</f>
        <v>5</v>
      </c>
      <c r="G99" s="62">
        <f t="shared" si="37"/>
        <v>570</v>
      </c>
      <c r="H99" s="61">
        <v>1</v>
      </c>
      <c r="I99" s="61">
        <v>115</v>
      </c>
      <c r="J99" s="61">
        <f t="shared" ref="J99:K109" si="38">J98+H99</f>
        <v>13</v>
      </c>
      <c r="K99" s="61">
        <f t="shared" si="38"/>
        <v>7035</v>
      </c>
      <c r="L99" s="6">
        <v>6</v>
      </c>
      <c r="M99" s="6">
        <v>680</v>
      </c>
      <c r="N99" s="62">
        <f t="shared" ref="N99:N109" si="39">N98+L99</f>
        <v>43</v>
      </c>
      <c r="O99" s="62">
        <f t="shared" ref="O99:O109" si="40">O98+M99</f>
        <v>7760</v>
      </c>
    </row>
    <row r="100" spans="1:15" x14ac:dyDescent="0.25">
      <c r="A100" s="6" t="s">
        <v>48</v>
      </c>
      <c r="B100" s="6" t="s">
        <v>160</v>
      </c>
      <c r="C100" s="6">
        <v>3</v>
      </c>
      <c r="D100" s="63">
        <v>0</v>
      </c>
      <c r="E100" s="63">
        <v>0</v>
      </c>
      <c r="F100" s="62">
        <f t="shared" si="37"/>
        <v>5</v>
      </c>
      <c r="G100" s="62">
        <f t="shared" si="37"/>
        <v>570</v>
      </c>
      <c r="H100" s="61">
        <v>1</v>
      </c>
      <c r="I100" s="61">
        <v>135</v>
      </c>
      <c r="J100" s="61">
        <f t="shared" si="38"/>
        <v>14</v>
      </c>
      <c r="K100" s="61">
        <f t="shared" si="38"/>
        <v>7170</v>
      </c>
      <c r="L100" s="6">
        <v>2</v>
      </c>
      <c r="M100" s="6">
        <v>3370</v>
      </c>
      <c r="N100" s="62">
        <f t="shared" si="39"/>
        <v>45</v>
      </c>
      <c r="O100" s="62">
        <f t="shared" si="40"/>
        <v>11130</v>
      </c>
    </row>
    <row r="101" spans="1:15" x14ac:dyDescent="0.25">
      <c r="A101" s="6" t="s">
        <v>48</v>
      </c>
      <c r="B101" s="6" t="s">
        <v>161</v>
      </c>
      <c r="C101" s="6">
        <v>4</v>
      </c>
      <c r="D101" s="63">
        <v>10</v>
      </c>
      <c r="E101" s="63">
        <v>1282.5</v>
      </c>
      <c r="F101" s="62">
        <f t="shared" si="37"/>
        <v>15</v>
      </c>
      <c r="G101" s="62">
        <f t="shared" si="37"/>
        <v>1852.5</v>
      </c>
      <c r="H101" s="61">
        <v>36</v>
      </c>
      <c r="I101" s="61">
        <v>8600</v>
      </c>
      <c r="J101" s="61">
        <f t="shared" si="38"/>
        <v>50</v>
      </c>
      <c r="K101" s="61">
        <f t="shared" si="38"/>
        <v>15770</v>
      </c>
      <c r="L101" s="6">
        <v>11</v>
      </c>
      <c r="M101" s="6">
        <v>1303</v>
      </c>
      <c r="N101" s="62">
        <f t="shared" si="39"/>
        <v>56</v>
      </c>
      <c r="O101" s="62">
        <f t="shared" si="40"/>
        <v>12433</v>
      </c>
    </row>
    <row r="102" spans="1:15" x14ac:dyDescent="0.25">
      <c r="A102" s="6" t="s">
        <v>48</v>
      </c>
      <c r="B102" s="6" t="s">
        <v>162</v>
      </c>
      <c r="C102" s="6">
        <v>5</v>
      </c>
      <c r="D102" s="63">
        <v>8</v>
      </c>
      <c r="E102" s="63">
        <v>1350</v>
      </c>
      <c r="F102" s="62">
        <f t="shared" si="37"/>
        <v>23</v>
      </c>
      <c r="G102" s="62">
        <f t="shared" si="37"/>
        <v>3202.5</v>
      </c>
      <c r="H102" s="61">
        <v>12</v>
      </c>
      <c r="I102" s="61">
        <v>1965</v>
      </c>
      <c r="J102" s="61">
        <f t="shared" si="38"/>
        <v>62</v>
      </c>
      <c r="K102" s="61">
        <f t="shared" si="38"/>
        <v>17735</v>
      </c>
      <c r="L102" s="6">
        <v>4</v>
      </c>
      <c r="M102" s="6">
        <v>390</v>
      </c>
      <c r="N102" s="62">
        <f t="shared" si="39"/>
        <v>60</v>
      </c>
      <c r="O102" s="62">
        <f t="shared" si="40"/>
        <v>12823</v>
      </c>
    </row>
    <row r="103" spans="1:15" x14ac:dyDescent="0.25">
      <c r="A103" s="6" t="s">
        <v>48</v>
      </c>
      <c r="B103" s="6" t="s">
        <v>163</v>
      </c>
      <c r="C103" s="6">
        <v>6</v>
      </c>
      <c r="D103" s="63">
        <v>1</v>
      </c>
      <c r="E103" s="63">
        <v>1145.8399999999999</v>
      </c>
      <c r="F103" s="62">
        <f t="shared" si="37"/>
        <v>24</v>
      </c>
      <c r="G103" s="62">
        <f t="shared" si="37"/>
        <v>4348.34</v>
      </c>
      <c r="H103" s="61">
        <v>0</v>
      </c>
      <c r="I103" s="61">
        <v>0</v>
      </c>
      <c r="J103" s="61">
        <f t="shared" si="38"/>
        <v>62</v>
      </c>
      <c r="K103" s="61">
        <f t="shared" si="38"/>
        <v>17735</v>
      </c>
      <c r="L103" s="6">
        <v>11</v>
      </c>
      <c r="M103" s="6">
        <v>1298</v>
      </c>
      <c r="N103" s="62">
        <f t="shared" si="39"/>
        <v>71</v>
      </c>
      <c r="O103" s="62">
        <f t="shared" si="40"/>
        <v>14121</v>
      </c>
    </row>
    <row r="104" spans="1:15" x14ac:dyDescent="0.25">
      <c r="A104" s="6" t="s">
        <v>48</v>
      </c>
      <c r="B104" s="6" t="s">
        <v>164</v>
      </c>
      <c r="C104" s="6">
        <v>7</v>
      </c>
      <c r="D104" s="63">
        <v>0</v>
      </c>
      <c r="E104" s="63">
        <v>0</v>
      </c>
      <c r="F104" s="62">
        <f t="shared" si="37"/>
        <v>24</v>
      </c>
      <c r="G104" s="62">
        <f t="shared" si="37"/>
        <v>4348.34</v>
      </c>
      <c r="H104" s="61">
        <v>0</v>
      </c>
      <c r="I104" s="61">
        <v>0</v>
      </c>
      <c r="J104" s="61">
        <f t="shared" si="38"/>
        <v>62</v>
      </c>
      <c r="K104" s="61">
        <f t="shared" si="38"/>
        <v>17735</v>
      </c>
      <c r="L104" s="6">
        <v>10</v>
      </c>
      <c r="M104" s="6">
        <v>1080</v>
      </c>
      <c r="N104" s="62">
        <f t="shared" si="39"/>
        <v>81</v>
      </c>
      <c r="O104" s="62">
        <f t="shared" si="40"/>
        <v>15201</v>
      </c>
    </row>
    <row r="105" spans="1:15" x14ac:dyDescent="0.25">
      <c r="A105" s="6" t="s">
        <v>48</v>
      </c>
      <c r="B105" s="6" t="s">
        <v>165</v>
      </c>
      <c r="C105" s="6">
        <v>8</v>
      </c>
      <c r="D105" s="63">
        <v>3</v>
      </c>
      <c r="E105" s="63">
        <v>135</v>
      </c>
      <c r="F105" s="62">
        <f t="shared" si="37"/>
        <v>27</v>
      </c>
      <c r="G105" s="62">
        <f t="shared" si="37"/>
        <v>4483.34</v>
      </c>
      <c r="H105" s="61">
        <v>6</v>
      </c>
      <c r="I105" s="61">
        <v>350</v>
      </c>
      <c r="J105" s="61">
        <f t="shared" si="38"/>
        <v>68</v>
      </c>
      <c r="K105" s="61">
        <f t="shared" si="38"/>
        <v>18085</v>
      </c>
      <c r="L105" s="6">
        <v>42</v>
      </c>
      <c r="M105" s="6">
        <v>6286</v>
      </c>
      <c r="N105" s="62">
        <f t="shared" si="39"/>
        <v>123</v>
      </c>
      <c r="O105" s="62">
        <f t="shared" si="40"/>
        <v>21487</v>
      </c>
    </row>
    <row r="106" spans="1:15" x14ac:dyDescent="0.25">
      <c r="A106" s="6" t="s">
        <v>48</v>
      </c>
      <c r="B106" s="6" t="s">
        <v>166</v>
      </c>
      <c r="C106" s="6">
        <v>9</v>
      </c>
      <c r="D106" s="63">
        <v>1</v>
      </c>
      <c r="E106" s="63">
        <v>400</v>
      </c>
      <c r="F106" s="62">
        <f t="shared" si="37"/>
        <v>28</v>
      </c>
      <c r="G106" s="62">
        <f t="shared" si="37"/>
        <v>4883.34</v>
      </c>
      <c r="H106" s="61">
        <v>8</v>
      </c>
      <c r="I106" s="61">
        <v>960</v>
      </c>
      <c r="J106" s="61">
        <f t="shared" si="38"/>
        <v>76</v>
      </c>
      <c r="K106" s="61">
        <f t="shared" si="38"/>
        <v>19045</v>
      </c>
      <c r="L106" s="6">
        <v>2</v>
      </c>
      <c r="M106" s="6">
        <v>6400</v>
      </c>
      <c r="N106" s="62">
        <f t="shared" si="39"/>
        <v>125</v>
      </c>
      <c r="O106" s="62">
        <f t="shared" si="40"/>
        <v>27887</v>
      </c>
    </row>
    <row r="107" spans="1:15" x14ac:dyDescent="0.25">
      <c r="A107" s="6" t="s">
        <v>48</v>
      </c>
      <c r="B107" s="6" t="s">
        <v>167</v>
      </c>
      <c r="C107" s="6">
        <v>10</v>
      </c>
      <c r="D107" s="63">
        <v>0</v>
      </c>
      <c r="E107" s="63">
        <v>0</v>
      </c>
      <c r="F107" s="62">
        <f t="shared" si="37"/>
        <v>28</v>
      </c>
      <c r="G107" s="62">
        <f t="shared" si="37"/>
        <v>4883.34</v>
      </c>
      <c r="H107" s="61">
        <v>110</v>
      </c>
      <c r="I107" s="61">
        <v>6230</v>
      </c>
      <c r="J107" s="61">
        <f t="shared" si="38"/>
        <v>186</v>
      </c>
      <c r="K107" s="61">
        <f t="shared" si="38"/>
        <v>25275</v>
      </c>
      <c r="L107" s="6">
        <v>21</v>
      </c>
      <c r="M107" s="6">
        <v>5190</v>
      </c>
      <c r="N107" s="62">
        <f t="shared" si="39"/>
        <v>146</v>
      </c>
      <c r="O107" s="62">
        <f t="shared" si="40"/>
        <v>33077</v>
      </c>
    </row>
    <row r="108" spans="1:15" x14ac:dyDescent="0.25">
      <c r="A108" s="6" t="s">
        <v>48</v>
      </c>
      <c r="B108" s="6" t="s">
        <v>168</v>
      </c>
      <c r="C108" s="6">
        <v>11</v>
      </c>
      <c r="D108" s="63">
        <v>14</v>
      </c>
      <c r="E108" s="62">
        <v>1938</v>
      </c>
      <c r="F108" s="62">
        <f t="shared" si="37"/>
        <v>42</v>
      </c>
      <c r="G108" s="62">
        <f t="shared" si="37"/>
        <v>6821.34</v>
      </c>
      <c r="H108" s="61">
        <v>31</v>
      </c>
      <c r="I108" s="61">
        <v>3168.6</v>
      </c>
      <c r="J108" s="61">
        <f t="shared" si="38"/>
        <v>217</v>
      </c>
      <c r="K108" s="61">
        <f t="shared" si="38"/>
        <v>28443.599999999999</v>
      </c>
      <c r="L108" s="6">
        <v>7</v>
      </c>
      <c r="M108" s="6">
        <v>6215</v>
      </c>
      <c r="N108" s="62">
        <f t="shared" si="39"/>
        <v>153</v>
      </c>
      <c r="O108" s="62">
        <f t="shared" si="40"/>
        <v>39292</v>
      </c>
    </row>
    <row r="109" spans="1:15" x14ac:dyDescent="0.25">
      <c r="A109" s="6" t="s">
        <v>48</v>
      </c>
      <c r="B109" s="6" t="s">
        <v>169</v>
      </c>
      <c r="C109" s="6">
        <v>12</v>
      </c>
      <c r="D109" s="63">
        <v>2</v>
      </c>
      <c r="E109" s="63">
        <v>2016.15</v>
      </c>
      <c r="F109" s="62">
        <f t="shared" si="37"/>
        <v>44</v>
      </c>
      <c r="G109" s="62">
        <f t="shared" si="37"/>
        <v>8837.49</v>
      </c>
      <c r="H109" s="61">
        <v>0</v>
      </c>
      <c r="I109" s="61">
        <v>0</v>
      </c>
      <c r="J109" s="61">
        <f t="shared" si="38"/>
        <v>217</v>
      </c>
      <c r="K109" s="61">
        <f t="shared" si="38"/>
        <v>28443.599999999999</v>
      </c>
      <c r="L109" s="6">
        <v>1</v>
      </c>
      <c r="M109" s="6">
        <v>1160</v>
      </c>
      <c r="N109" s="62">
        <f t="shared" si="39"/>
        <v>154</v>
      </c>
      <c r="O109" s="62">
        <f t="shared" si="40"/>
        <v>40452</v>
      </c>
    </row>
    <row r="110" spans="1:15" x14ac:dyDescent="0.25">
      <c r="A110" s="6" t="s">
        <v>93</v>
      </c>
      <c r="B110" s="6" t="s">
        <v>158</v>
      </c>
      <c r="C110" s="6">
        <v>1</v>
      </c>
      <c r="D110" s="62">
        <v>1</v>
      </c>
      <c r="E110" s="62">
        <v>1700</v>
      </c>
      <c r="F110" s="62">
        <f>D110</f>
        <v>1</v>
      </c>
      <c r="G110" s="62">
        <f>E110</f>
        <v>1700</v>
      </c>
      <c r="H110" s="61">
        <v>0</v>
      </c>
      <c r="I110" s="61">
        <v>0</v>
      </c>
      <c r="J110" s="61">
        <f>H110</f>
        <v>0</v>
      </c>
      <c r="K110" s="61">
        <f>I110</f>
        <v>0</v>
      </c>
      <c r="L110" s="6">
        <v>1</v>
      </c>
      <c r="M110" s="6">
        <v>1200</v>
      </c>
      <c r="N110" s="62">
        <f>L110</f>
        <v>1</v>
      </c>
      <c r="O110" s="62">
        <f>M110</f>
        <v>1200</v>
      </c>
    </row>
    <row r="111" spans="1:15" x14ac:dyDescent="0.25">
      <c r="A111" s="6" t="s">
        <v>93</v>
      </c>
      <c r="B111" s="6" t="s">
        <v>159</v>
      </c>
      <c r="C111" s="6">
        <v>2</v>
      </c>
      <c r="D111" s="63">
        <v>3</v>
      </c>
      <c r="E111" s="62">
        <v>2899</v>
      </c>
      <c r="F111" s="62">
        <f t="shared" ref="F111:G121" si="41">F110+D111</f>
        <v>4</v>
      </c>
      <c r="G111" s="62">
        <f t="shared" si="41"/>
        <v>4599</v>
      </c>
      <c r="H111" s="61">
        <v>1</v>
      </c>
      <c r="I111" s="61">
        <v>1580</v>
      </c>
      <c r="J111" s="61">
        <f t="shared" ref="J111:K121" si="42">J110+H111</f>
        <v>1</v>
      </c>
      <c r="K111" s="61">
        <f t="shared" si="42"/>
        <v>1580</v>
      </c>
      <c r="L111" s="6">
        <v>2</v>
      </c>
      <c r="M111" s="6">
        <v>1610</v>
      </c>
      <c r="N111" s="62">
        <f t="shared" ref="N111:N121" si="43">N110+L111</f>
        <v>3</v>
      </c>
      <c r="O111" s="62">
        <f t="shared" ref="O111:O121" si="44">O110+M111</f>
        <v>2810</v>
      </c>
    </row>
    <row r="112" spans="1:15" x14ac:dyDescent="0.25">
      <c r="A112" s="6" t="s">
        <v>93</v>
      </c>
      <c r="B112" s="6" t="s">
        <v>160</v>
      </c>
      <c r="C112" s="6">
        <v>3</v>
      </c>
      <c r="D112" s="63">
        <v>0</v>
      </c>
      <c r="E112" s="62">
        <v>0</v>
      </c>
      <c r="F112" s="62">
        <f t="shared" si="41"/>
        <v>4</v>
      </c>
      <c r="G112" s="62">
        <f t="shared" si="41"/>
        <v>4599</v>
      </c>
      <c r="H112" s="61">
        <v>0</v>
      </c>
      <c r="I112" s="61">
        <v>0</v>
      </c>
      <c r="J112" s="61">
        <f t="shared" si="42"/>
        <v>1</v>
      </c>
      <c r="K112" s="61">
        <f t="shared" si="42"/>
        <v>1580</v>
      </c>
      <c r="L112" s="6">
        <v>1</v>
      </c>
      <c r="M112" s="6">
        <v>1650</v>
      </c>
      <c r="N112" s="62">
        <f t="shared" si="43"/>
        <v>4</v>
      </c>
      <c r="O112" s="62">
        <f t="shared" si="44"/>
        <v>4460</v>
      </c>
    </row>
    <row r="113" spans="1:15" x14ac:dyDescent="0.25">
      <c r="A113" s="6" t="s">
        <v>93</v>
      </c>
      <c r="B113" s="6" t="s">
        <v>161</v>
      </c>
      <c r="C113" s="6">
        <v>4</v>
      </c>
      <c r="D113" s="62">
        <v>1</v>
      </c>
      <c r="E113" s="62">
        <v>2000</v>
      </c>
      <c r="F113" s="62">
        <f t="shared" si="41"/>
        <v>5</v>
      </c>
      <c r="G113" s="62">
        <f t="shared" si="41"/>
        <v>6599</v>
      </c>
      <c r="H113" s="61">
        <v>2</v>
      </c>
      <c r="I113" s="61">
        <v>6736</v>
      </c>
      <c r="J113" s="61">
        <f t="shared" si="42"/>
        <v>3</v>
      </c>
      <c r="K113" s="61">
        <f t="shared" si="42"/>
        <v>8316</v>
      </c>
      <c r="L113" s="6">
        <v>1</v>
      </c>
      <c r="M113" s="6">
        <v>1380</v>
      </c>
      <c r="N113" s="62">
        <f t="shared" si="43"/>
        <v>5</v>
      </c>
      <c r="O113" s="62">
        <f t="shared" si="44"/>
        <v>5840</v>
      </c>
    </row>
    <row r="114" spans="1:15" x14ac:dyDescent="0.25">
      <c r="A114" s="6" t="s">
        <v>93</v>
      </c>
      <c r="B114" s="6" t="s">
        <v>162</v>
      </c>
      <c r="C114" s="6">
        <v>5</v>
      </c>
      <c r="D114" s="63">
        <v>4</v>
      </c>
      <c r="E114" s="62">
        <v>2995</v>
      </c>
      <c r="F114" s="62">
        <f t="shared" si="41"/>
        <v>9</v>
      </c>
      <c r="G114" s="62">
        <f t="shared" si="41"/>
        <v>9594</v>
      </c>
      <c r="H114" s="61">
        <v>2</v>
      </c>
      <c r="I114" s="61">
        <v>4446</v>
      </c>
      <c r="J114" s="61">
        <f t="shared" si="42"/>
        <v>5</v>
      </c>
      <c r="K114" s="61">
        <f t="shared" si="42"/>
        <v>12762</v>
      </c>
      <c r="L114" s="6">
        <v>2</v>
      </c>
      <c r="M114" s="6">
        <v>3810</v>
      </c>
      <c r="N114" s="62">
        <f t="shared" si="43"/>
        <v>7</v>
      </c>
      <c r="O114" s="62">
        <f t="shared" si="44"/>
        <v>9650</v>
      </c>
    </row>
    <row r="115" spans="1:15" x14ac:dyDescent="0.25">
      <c r="A115" s="6" t="s">
        <v>93</v>
      </c>
      <c r="B115" s="6" t="s">
        <v>163</v>
      </c>
      <c r="C115" s="6">
        <v>6</v>
      </c>
      <c r="D115" s="62">
        <v>1</v>
      </c>
      <c r="E115" s="62">
        <v>3520</v>
      </c>
      <c r="F115" s="62">
        <f t="shared" si="41"/>
        <v>10</v>
      </c>
      <c r="G115" s="62">
        <f t="shared" si="41"/>
        <v>13114</v>
      </c>
      <c r="H115" s="61">
        <v>0</v>
      </c>
      <c r="I115" s="61">
        <v>0</v>
      </c>
      <c r="J115" s="61">
        <f t="shared" si="42"/>
        <v>5</v>
      </c>
      <c r="K115" s="61">
        <f t="shared" si="42"/>
        <v>12762</v>
      </c>
      <c r="L115" s="6">
        <v>0</v>
      </c>
      <c r="M115" s="6">
        <v>0</v>
      </c>
      <c r="N115" s="62">
        <f t="shared" si="43"/>
        <v>7</v>
      </c>
      <c r="O115" s="62">
        <f t="shared" si="44"/>
        <v>9650</v>
      </c>
    </row>
    <row r="116" spans="1:15" x14ac:dyDescent="0.25">
      <c r="A116" s="6" t="s">
        <v>93</v>
      </c>
      <c r="B116" s="6" t="s">
        <v>164</v>
      </c>
      <c r="C116" s="6">
        <v>7</v>
      </c>
      <c r="D116" s="63">
        <v>2</v>
      </c>
      <c r="E116" s="62">
        <v>2243</v>
      </c>
      <c r="F116" s="62">
        <f t="shared" si="41"/>
        <v>12</v>
      </c>
      <c r="G116" s="62">
        <f t="shared" si="41"/>
        <v>15357</v>
      </c>
      <c r="H116" s="61">
        <v>2</v>
      </c>
      <c r="I116" s="61">
        <v>1890</v>
      </c>
      <c r="J116" s="61">
        <f t="shared" si="42"/>
        <v>7</v>
      </c>
      <c r="K116" s="61">
        <f t="shared" si="42"/>
        <v>14652</v>
      </c>
      <c r="L116" s="6">
        <v>1</v>
      </c>
      <c r="M116" s="6">
        <v>1200</v>
      </c>
      <c r="N116" s="62">
        <f t="shared" si="43"/>
        <v>8</v>
      </c>
      <c r="O116" s="62">
        <f t="shared" si="44"/>
        <v>10850</v>
      </c>
    </row>
    <row r="117" spans="1:15" x14ac:dyDescent="0.25">
      <c r="A117" s="6" t="s">
        <v>93</v>
      </c>
      <c r="B117" s="6" t="s">
        <v>165</v>
      </c>
      <c r="C117" s="6">
        <v>8</v>
      </c>
      <c r="D117" s="63">
        <v>1</v>
      </c>
      <c r="E117" s="63">
        <v>8000</v>
      </c>
      <c r="F117" s="62">
        <f t="shared" si="41"/>
        <v>13</v>
      </c>
      <c r="G117" s="62">
        <f t="shared" si="41"/>
        <v>23357</v>
      </c>
      <c r="H117" s="61">
        <v>1</v>
      </c>
      <c r="I117" s="61">
        <v>1000</v>
      </c>
      <c r="J117" s="61">
        <f t="shared" si="42"/>
        <v>8</v>
      </c>
      <c r="K117" s="61">
        <f t="shared" si="42"/>
        <v>15652</v>
      </c>
      <c r="L117" s="6">
        <v>2</v>
      </c>
      <c r="M117" s="6">
        <v>17140</v>
      </c>
      <c r="N117" s="62">
        <f t="shared" si="43"/>
        <v>10</v>
      </c>
      <c r="O117" s="62">
        <f t="shared" si="44"/>
        <v>27990</v>
      </c>
    </row>
    <row r="118" spans="1:15" x14ac:dyDescent="0.25">
      <c r="A118" s="6" t="s">
        <v>93</v>
      </c>
      <c r="B118" s="6" t="s">
        <v>166</v>
      </c>
      <c r="C118" s="6">
        <v>9</v>
      </c>
      <c r="D118" s="63">
        <v>1</v>
      </c>
      <c r="E118" s="63">
        <v>2433</v>
      </c>
      <c r="F118" s="62">
        <f t="shared" si="41"/>
        <v>14</v>
      </c>
      <c r="G118" s="62">
        <f t="shared" si="41"/>
        <v>25790</v>
      </c>
      <c r="H118" s="61">
        <v>7</v>
      </c>
      <c r="I118" s="61">
        <v>9432</v>
      </c>
      <c r="J118" s="61">
        <f t="shared" si="42"/>
        <v>15</v>
      </c>
      <c r="K118" s="61">
        <f t="shared" si="42"/>
        <v>25084</v>
      </c>
      <c r="L118" s="6">
        <v>0</v>
      </c>
      <c r="M118" s="6">
        <v>0</v>
      </c>
      <c r="N118" s="62">
        <f t="shared" si="43"/>
        <v>10</v>
      </c>
      <c r="O118" s="62">
        <f t="shared" si="44"/>
        <v>27990</v>
      </c>
    </row>
    <row r="119" spans="1:15" x14ac:dyDescent="0.25">
      <c r="A119" s="6" t="s">
        <v>93</v>
      </c>
      <c r="B119" s="6" t="s">
        <v>167</v>
      </c>
      <c r="C119" s="6">
        <v>10</v>
      </c>
      <c r="D119" s="63">
        <v>2</v>
      </c>
      <c r="E119" s="62">
        <v>11210</v>
      </c>
      <c r="F119" s="62">
        <f t="shared" si="41"/>
        <v>16</v>
      </c>
      <c r="G119" s="62">
        <f t="shared" si="41"/>
        <v>37000</v>
      </c>
      <c r="H119" s="61">
        <v>0</v>
      </c>
      <c r="I119" s="61">
        <v>0</v>
      </c>
      <c r="J119" s="61">
        <f t="shared" si="42"/>
        <v>15</v>
      </c>
      <c r="K119" s="61">
        <f t="shared" si="42"/>
        <v>25084</v>
      </c>
      <c r="L119" s="6">
        <v>1</v>
      </c>
      <c r="M119" s="6">
        <v>790</v>
      </c>
      <c r="N119" s="62">
        <f t="shared" si="43"/>
        <v>11</v>
      </c>
      <c r="O119" s="62">
        <f t="shared" si="44"/>
        <v>28780</v>
      </c>
    </row>
    <row r="120" spans="1:15" x14ac:dyDescent="0.25">
      <c r="A120" s="6" t="s">
        <v>93</v>
      </c>
      <c r="B120" s="6" t="s">
        <v>168</v>
      </c>
      <c r="C120" s="6">
        <v>11</v>
      </c>
      <c r="D120" s="63">
        <v>1</v>
      </c>
      <c r="E120" s="63">
        <v>2433</v>
      </c>
      <c r="F120" s="62">
        <f t="shared" si="41"/>
        <v>17</v>
      </c>
      <c r="G120" s="62">
        <f t="shared" si="41"/>
        <v>39433</v>
      </c>
      <c r="H120" s="61">
        <v>1</v>
      </c>
      <c r="I120" s="61">
        <v>1500</v>
      </c>
      <c r="J120" s="61">
        <f t="shared" si="42"/>
        <v>16</v>
      </c>
      <c r="K120" s="61">
        <f t="shared" si="42"/>
        <v>26584</v>
      </c>
      <c r="L120" s="6">
        <v>2</v>
      </c>
      <c r="M120" s="6">
        <v>1189</v>
      </c>
      <c r="N120" s="62">
        <f t="shared" si="43"/>
        <v>13</v>
      </c>
      <c r="O120" s="62">
        <f t="shared" si="44"/>
        <v>29969</v>
      </c>
    </row>
    <row r="121" spans="1:15" x14ac:dyDescent="0.25">
      <c r="A121" s="6" t="s">
        <v>93</v>
      </c>
      <c r="B121" s="6" t="s">
        <v>169</v>
      </c>
      <c r="C121" s="6">
        <v>12</v>
      </c>
      <c r="D121" s="63">
        <v>1</v>
      </c>
      <c r="E121" s="63">
        <v>1064</v>
      </c>
      <c r="F121" s="62">
        <f t="shared" si="41"/>
        <v>18</v>
      </c>
      <c r="G121" s="62">
        <f t="shared" si="41"/>
        <v>40497</v>
      </c>
      <c r="H121" s="61">
        <v>0</v>
      </c>
      <c r="I121" s="61">
        <v>0</v>
      </c>
      <c r="J121" s="61">
        <f t="shared" si="42"/>
        <v>16</v>
      </c>
      <c r="K121" s="61">
        <f t="shared" si="42"/>
        <v>26584</v>
      </c>
      <c r="L121" s="6">
        <v>2</v>
      </c>
      <c r="M121" s="6">
        <v>11210</v>
      </c>
      <c r="N121" s="62">
        <f t="shared" si="43"/>
        <v>15</v>
      </c>
      <c r="O121" s="62">
        <f t="shared" si="44"/>
        <v>41179</v>
      </c>
    </row>
    <row r="122" spans="1:15" x14ac:dyDescent="0.25">
      <c r="A122" s="6" t="s">
        <v>119</v>
      </c>
      <c r="B122" s="6" t="s">
        <v>158</v>
      </c>
      <c r="C122" s="6">
        <v>1</v>
      </c>
      <c r="D122" s="62">
        <v>0</v>
      </c>
      <c r="E122" s="62">
        <v>0</v>
      </c>
      <c r="F122" s="62">
        <f>D122</f>
        <v>0</v>
      </c>
      <c r="G122" s="62">
        <f>E122</f>
        <v>0</v>
      </c>
      <c r="H122" s="62">
        <v>0</v>
      </c>
      <c r="I122" s="62">
        <v>0</v>
      </c>
      <c r="J122" s="62">
        <f>H122</f>
        <v>0</v>
      </c>
      <c r="K122" s="62">
        <f>I122</f>
        <v>0</v>
      </c>
      <c r="L122" s="6">
        <v>0</v>
      </c>
      <c r="M122" s="6">
        <v>0</v>
      </c>
      <c r="N122" s="62">
        <f>L122</f>
        <v>0</v>
      </c>
      <c r="O122" s="62">
        <f>M122</f>
        <v>0</v>
      </c>
    </row>
    <row r="123" spans="1:15" x14ac:dyDescent="0.25">
      <c r="A123" s="6" t="s">
        <v>119</v>
      </c>
      <c r="B123" s="6" t="s">
        <v>159</v>
      </c>
      <c r="C123" s="6">
        <v>2</v>
      </c>
      <c r="D123" s="62">
        <v>0</v>
      </c>
      <c r="E123" s="62">
        <v>0</v>
      </c>
      <c r="F123" s="62">
        <f t="shared" ref="F123:F133" si="45">F122+D123</f>
        <v>0</v>
      </c>
      <c r="G123" s="62">
        <f t="shared" ref="G123:G133" si="46">G122+E123</f>
        <v>0</v>
      </c>
      <c r="H123" s="62">
        <v>0</v>
      </c>
      <c r="I123" s="62">
        <v>0</v>
      </c>
      <c r="J123" s="62">
        <f t="shared" ref="J123:J133" si="47">J122+H123</f>
        <v>0</v>
      </c>
      <c r="K123" s="62">
        <f t="shared" ref="K123:K133" si="48">K122+I123</f>
        <v>0</v>
      </c>
      <c r="L123" s="6">
        <v>0</v>
      </c>
      <c r="M123" s="6">
        <v>0</v>
      </c>
      <c r="N123" s="62">
        <f t="shared" ref="N123:N133" si="49">N122+L123</f>
        <v>0</v>
      </c>
      <c r="O123" s="62">
        <f t="shared" ref="O123:O133" si="50">O122+M123</f>
        <v>0</v>
      </c>
    </row>
    <row r="124" spans="1:15" x14ac:dyDescent="0.25">
      <c r="A124" s="6" t="s">
        <v>119</v>
      </c>
      <c r="B124" s="6" t="s">
        <v>160</v>
      </c>
      <c r="C124" s="6">
        <v>3</v>
      </c>
      <c r="D124" s="62">
        <v>0</v>
      </c>
      <c r="E124" s="62">
        <v>0</v>
      </c>
      <c r="F124" s="62">
        <f t="shared" si="45"/>
        <v>0</v>
      </c>
      <c r="G124" s="62">
        <f t="shared" si="46"/>
        <v>0</v>
      </c>
      <c r="H124" s="62">
        <v>0</v>
      </c>
      <c r="I124" s="62">
        <v>0</v>
      </c>
      <c r="J124" s="62">
        <f t="shared" si="47"/>
        <v>0</v>
      </c>
      <c r="K124" s="62">
        <f t="shared" si="48"/>
        <v>0</v>
      </c>
      <c r="L124" s="6">
        <v>0</v>
      </c>
      <c r="M124" s="6">
        <v>0</v>
      </c>
      <c r="N124" s="62">
        <f t="shared" si="49"/>
        <v>0</v>
      </c>
      <c r="O124" s="62">
        <f t="shared" si="50"/>
        <v>0</v>
      </c>
    </row>
    <row r="125" spans="1:15" x14ac:dyDescent="0.25">
      <c r="A125" s="6" t="s">
        <v>119</v>
      </c>
      <c r="B125" s="6" t="s">
        <v>161</v>
      </c>
      <c r="C125" s="6">
        <v>4</v>
      </c>
      <c r="D125" s="62">
        <v>0</v>
      </c>
      <c r="E125" s="62">
        <v>0</v>
      </c>
      <c r="F125" s="62">
        <f t="shared" si="45"/>
        <v>0</v>
      </c>
      <c r="G125" s="62">
        <f t="shared" si="46"/>
        <v>0</v>
      </c>
      <c r="H125" s="62">
        <v>0</v>
      </c>
      <c r="I125" s="62">
        <v>0</v>
      </c>
      <c r="J125" s="62">
        <f t="shared" si="47"/>
        <v>0</v>
      </c>
      <c r="K125" s="62">
        <f t="shared" si="48"/>
        <v>0</v>
      </c>
      <c r="L125" s="6">
        <v>3</v>
      </c>
      <c r="M125" s="6">
        <v>285</v>
      </c>
      <c r="N125" s="62">
        <f t="shared" si="49"/>
        <v>3</v>
      </c>
      <c r="O125" s="62">
        <f t="shared" si="50"/>
        <v>285</v>
      </c>
    </row>
    <row r="126" spans="1:15" x14ac:dyDescent="0.25">
      <c r="A126" s="6" t="s">
        <v>119</v>
      </c>
      <c r="B126" s="6" t="s">
        <v>162</v>
      </c>
      <c r="C126" s="6">
        <v>5</v>
      </c>
      <c r="D126" s="62">
        <v>0</v>
      </c>
      <c r="E126" s="62">
        <v>0</v>
      </c>
      <c r="F126" s="62">
        <f t="shared" si="45"/>
        <v>0</v>
      </c>
      <c r="G126" s="62">
        <f t="shared" si="46"/>
        <v>0</v>
      </c>
      <c r="H126" s="62">
        <v>0</v>
      </c>
      <c r="I126" s="62">
        <v>0</v>
      </c>
      <c r="J126" s="62">
        <f t="shared" si="47"/>
        <v>0</v>
      </c>
      <c r="K126" s="62">
        <f t="shared" si="48"/>
        <v>0</v>
      </c>
      <c r="L126" s="6">
        <v>0</v>
      </c>
      <c r="M126" s="6">
        <v>0</v>
      </c>
      <c r="N126" s="62">
        <f t="shared" si="49"/>
        <v>3</v>
      </c>
      <c r="O126" s="62">
        <f t="shared" si="50"/>
        <v>285</v>
      </c>
    </row>
    <row r="127" spans="1:15" x14ac:dyDescent="0.25">
      <c r="A127" s="6" t="s">
        <v>119</v>
      </c>
      <c r="B127" s="6" t="s">
        <v>163</v>
      </c>
      <c r="C127" s="6">
        <v>6</v>
      </c>
      <c r="D127" s="62">
        <v>0</v>
      </c>
      <c r="E127" s="62">
        <v>0</v>
      </c>
      <c r="F127" s="62">
        <f t="shared" si="45"/>
        <v>0</v>
      </c>
      <c r="G127" s="62">
        <f t="shared" si="46"/>
        <v>0</v>
      </c>
      <c r="H127" s="62">
        <v>0</v>
      </c>
      <c r="I127" s="62">
        <v>0</v>
      </c>
      <c r="J127" s="62">
        <f t="shared" si="47"/>
        <v>0</v>
      </c>
      <c r="K127" s="62">
        <f t="shared" si="48"/>
        <v>0</v>
      </c>
      <c r="L127" s="6">
        <v>0</v>
      </c>
      <c r="M127" s="6">
        <v>0</v>
      </c>
      <c r="N127" s="62">
        <f t="shared" si="49"/>
        <v>3</v>
      </c>
      <c r="O127" s="62">
        <f t="shared" si="50"/>
        <v>285</v>
      </c>
    </row>
    <row r="128" spans="1:15" x14ac:dyDescent="0.25">
      <c r="A128" s="6" t="s">
        <v>119</v>
      </c>
      <c r="B128" s="6" t="s">
        <v>164</v>
      </c>
      <c r="C128" s="6">
        <v>7</v>
      </c>
      <c r="D128" s="62">
        <v>0</v>
      </c>
      <c r="E128" s="62">
        <v>0</v>
      </c>
      <c r="F128" s="62">
        <f t="shared" si="45"/>
        <v>0</v>
      </c>
      <c r="G128" s="62">
        <f t="shared" si="46"/>
        <v>0</v>
      </c>
      <c r="H128" s="62">
        <v>0</v>
      </c>
      <c r="I128" s="62">
        <v>0</v>
      </c>
      <c r="J128" s="62">
        <f t="shared" si="47"/>
        <v>0</v>
      </c>
      <c r="K128" s="62">
        <f t="shared" si="48"/>
        <v>0</v>
      </c>
      <c r="L128" s="6">
        <v>0</v>
      </c>
      <c r="M128" s="6">
        <v>0</v>
      </c>
      <c r="N128" s="62">
        <f t="shared" si="49"/>
        <v>3</v>
      </c>
      <c r="O128" s="62">
        <f t="shared" si="50"/>
        <v>285</v>
      </c>
    </row>
    <row r="129" spans="1:15" x14ac:dyDescent="0.25">
      <c r="A129" s="6" t="s">
        <v>119</v>
      </c>
      <c r="B129" s="6" t="s">
        <v>165</v>
      </c>
      <c r="C129" s="6">
        <v>8</v>
      </c>
      <c r="D129" s="62">
        <v>0</v>
      </c>
      <c r="E129" s="62">
        <v>0</v>
      </c>
      <c r="F129" s="62">
        <f t="shared" si="45"/>
        <v>0</v>
      </c>
      <c r="G129" s="62">
        <f t="shared" si="46"/>
        <v>0</v>
      </c>
      <c r="H129" s="62">
        <v>0</v>
      </c>
      <c r="I129" s="62">
        <v>0</v>
      </c>
      <c r="J129" s="62">
        <f t="shared" si="47"/>
        <v>0</v>
      </c>
      <c r="K129" s="62">
        <f t="shared" si="48"/>
        <v>0</v>
      </c>
      <c r="L129" s="6">
        <v>0</v>
      </c>
      <c r="M129" s="6">
        <v>0</v>
      </c>
      <c r="N129" s="62">
        <f t="shared" si="49"/>
        <v>3</v>
      </c>
      <c r="O129" s="62">
        <f t="shared" si="50"/>
        <v>285</v>
      </c>
    </row>
    <row r="130" spans="1:15" x14ac:dyDescent="0.25">
      <c r="A130" s="6" t="s">
        <v>119</v>
      </c>
      <c r="B130" s="6" t="s">
        <v>166</v>
      </c>
      <c r="C130" s="6">
        <v>9</v>
      </c>
      <c r="D130" s="62">
        <v>0</v>
      </c>
      <c r="E130" s="62">
        <v>0</v>
      </c>
      <c r="F130" s="62">
        <f t="shared" si="45"/>
        <v>0</v>
      </c>
      <c r="G130" s="62">
        <f t="shared" si="46"/>
        <v>0</v>
      </c>
      <c r="H130" s="62">
        <v>0</v>
      </c>
      <c r="I130" s="62">
        <v>0</v>
      </c>
      <c r="J130" s="62">
        <f t="shared" si="47"/>
        <v>0</v>
      </c>
      <c r="K130" s="62">
        <f t="shared" si="48"/>
        <v>0</v>
      </c>
      <c r="L130" s="6">
        <v>1</v>
      </c>
      <c r="M130" s="6">
        <v>550</v>
      </c>
      <c r="N130" s="62">
        <f t="shared" si="49"/>
        <v>4</v>
      </c>
      <c r="O130" s="62">
        <f t="shared" si="50"/>
        <v>835</v>
      </c>
    </row>
    <row r="131" spans="1:15" x14ac:dyDescent="0.25">
      <c r="A131" s="6" t="s">
        <v>119</v>
      </c>
      <c r="B131" s="6" t="s">
        <v>167</v>
      </c>
      <c r="C131" s="6">
        <v>10</v>
      </c>
      <c r="D131" s="62">
        <v>0</v>
      </c>
      <c r="E131" s="62">
        <v>0</v>
      </c>
      <c r="F131" s="62">
        <f t="shared" si="45"/>
        <v>0</v>
      </c>
      <c r="G131" s="62">
        <f t="shared" si="46"/>
        <v>0</v>
      </c>
      <c r="H131" s="62">
        <v>0</v>
      </c>
      <c r="I131" s="62">
        <v>0</v>
      </c>
      <c r="J131" s="62">
        <f t="shared" si="47"/>
        <v>0</v>
      </c>
      <c r="K131" s="62">
        <f t="shared" si="48"/>
        <v>0</v>
      </c>
      <c r="L131" s="6">
        <v>4</v>
      </c>
      <c r="M131" s="6">
        <v>500</v>
      </c>
      <c r="N131" s="62">
        <f t="shared" si="49"/>
        <v>8</v>
      </c>
      <c r="O131" s="62">
        <f t="shared" si="50"/>
        <v>1335</v>
      </c>
    </row>
    <row r="132" spans="1:15" x14ac:dyDescent="0.25">
      <c r="A132" s="6" t="s">
        <v>119</v>
      </c>
      <c r="B132" s="6" t="s">
        <v>168</v>
      </c>
      <c r="C132" s="6">
        <v>11</v>
      </c>
      <c r="D132" s="62">
        <v>0</v>
      </c>
      <c r="E132" s="62">
        <v>0</v>
      </c>
      <c r="F132" s="62">
        <f t="shared" si="45"/>
        <v>0</v>
      </c>
      <c r="G132" s="62">
        <f t="shared" si="46"/>
        <v>0</v>
      </c>
      <c r="H132" s="62">
        <v>0</v>
      </c>
      <c r="I132" s="62">
        <v>0</v>
      </c>
      <c r="J132" s="62">
        <f t="shared" si="47"/>
        <v>0</v>
      </c>
      <c r="K132" s="62">
        <f t="shared" si="48"/>
        <v>0</v>
      </c>
      <c r="L132" s="6">
        <v>0</v>
      </c>
      <c r="M132" s="6">
        <v>0</v>
      </c>
      <c r="N132" s="62">
        <f t="shared" si="49"/>
        <v>8</v>
      </c>
      <c r="O132" s="62">
        <f t="shared" si="50"/>
        <v>1335</v>
      </c>
    </row>
    <row r="133" spans="1:15" x14ac:dyDescent="0.25">
      <c r="A133" s="6" t="s">
        <v>119</v>
      </c>
      <c r="B133" s="6" t="s">
        <v>169</v>
      </c>
      <c r="C133" s="6">
        <v>12</v>
      </c>
      <c r="D133" s="62">
        <v>0</v>
      </c>
      <c r="E133" s="62">
        <v>0</v>
      </c>
      <c r="F133" s="62">
        <f t="shared" si="45"/>
        <v>0</v>
      </c>
      <c r="G133" s="62">
        <f t="shared" si="46"/>
        <v>0</v>
      </c>
      <c r="H133" s="62">
        <v>0</v>
      </c>
      <c r="I133" s="62">
        <v>0</v>
      </c>
      <c r="J133" s="62">
        <f t="shared" si="47"/>
        <v>0</v>
      </c>
      <c r="K133" s="62">
        <f t="shared" si="48"/>
        <v>0</v>
      </c>
      <c r="L133" s="6">
        <v>1</v>
      </c>
      <c r="M133" s="6">
        <v>300</v>
      </c>
      <c r="N133" s="62">
        <f t="shared" si="49"/>
        <v>9</v>
      </c>
      <c r="O133" s="62">
        <f t="shared" si="50"/>
        <v>1635</v>
      </c>
    </row>
    <row r="134" spans="1:15" x14ac:dyDescent="0.25">
      <c r="A134" s="6" t="s">
        <v>123</v>
      </c>
      <c r="B134" s="6" t="s">
        <v>158</v>
      </c>
      <c r="C134" s="6">
        <v>1</v>
      </c>
      <c r="D134" s="63">
        <v>1</v>
      </c>
      <c r="E134" s="63">
        <v>240</v>
      </c>
      <c r="F134" s="62">
        <f>D134</f>
        <v>1</v>
      </c>
      <c r="G134" s="62">
        <f>E134</f>
        <v>240</v>
      </c>
      <c r="H134" s="61">
        <v>2</v>
      </c>
      <c r="I134" s="61">
        <v>3000</v>
      </c>
      <c r="J134" s="61">
        <f>H134</f>
        <v>2</v>
      </c>
      <c r="K134" s="61">
        <f>I134</f>
        <v>3000</v>
      </c>
      <c r="L134" s="6">
        <v>1</v>
      </c>
      <c r="M134" s="6">
        <v>1870</v>
      </c>
      <c r="N134" s="62">
        <f>L134</f>
        <v>1</v>
      </c>
      <c r="O134" s="62">
        <f>M134</f>
        <v>1870</v>
      </c>
    </row>
    <row r="135" spans="1:15" x14ac:dyDescent="0.25">
      <c r="A135" s="6" t="s">
        <v>123</v>
      </c>
      <c r="B135" s="6" t="s">
        <v>159</v>
      </c>
      <c r="C135" s="6">
        <v>2</v>
      </c>
      <c r="D135" s="63">
        <v>1</v>
      </c>
      <c r="E135" s="63">
        <v>540</v>
      </c>
      <c r="F135" s="62">
        <f t="shared" ref="F135:G145" si="51">F134+D135</f>
        <v>2</v>
      </c>
      <c r="G135" s="62">
        <f t="shared" si="51"/>
        <v>780</v>
      </c>
      <c r="H135" s="61">
        <v>2</v>
      </c>
      <c r="I135" s="61">
        <v>5100</v>
      </c>
      <c r="J135" s="61">
        <f t="shared" ref="J135:K145" si="52">J134+H135</f>
        <v>4</v>
      </c>
      <c r="K135" s="61">
        <f t="shared" si="52"/>
        <v>8100</v>
      </c>
      <c r="L135" s="6">
        <v>2</v>
      </c>
      <c r="M135" s="6">
        <v>1662</v>
      </c>
      <c r="N135" s="62">
        <f t="shared" ref="N135:N145" si="53">N134+L135</f>
        <v>3</v>
      </c>
      <c r="O135" s="62">
        <f t="shared" ref="O135:O145" si="54">O134+M135</f>
        <v>3532</v>
      </c>
    </row>
    <row r="136" spans="1:15" x14ac:dyDescent="0.25">
      <c r="A136" s="6" t="s">
        <v>123</v>
      </c>
      <c r="B136" s="6" t="s">
        <v>160</v>
      </c>
      <c r="C136" s="6">
        <v>3</v>
      </c>
      <c r="D136" s="63">
        <v>0</v>
      </c>
      <c r="E136" s="63">
        <v>0</v>
      </c>
      <c r="F136" s="62">
        <f t="shared" si="51"/>
        <v>2</v>
      </c>
      <c r="G136" s="62">
        <f t="shared" si="51"/>
        <v>780</v>
      </c>
      <c r="H136" s="61">
        <v>9</v>
      </c>
      <c r="I136" s="61">
        <v>6800</v>
      </c>
      <c r="J136" s="61">
        <f t="shared" si="52"/>
        <v>13</v>
      </c>
      <c r="K136" s="61">
        <f t="shared" si="52"/>
        <v>14900</v>
      </c>
      <c r="L136" s="6">
        <v>3</v>
      </c>
      <c r="M136" s="6">
        <v>3870</v>
      </c>
      <c r="N136" s="62">
        <f t="shared" si="53"/>
        <v>6</v>
      </c>
      <c r="O136" s="62">
        <f t="shared" si="54"/>
        <v>7402</v>
      </c>
    </row>
    <row r="137" spans="1:15" x14ac:dyDescent="0.25">
      <c r="A137" s="6" t="s">
        <v>123</v>
      </c>
      <c r="B137" s="6" t="s">
        <v>161</v>
      </c>
      <c r="C137" s="6">
        <v>4</v>
      </c>
      <c r="D137" s="63">
        <v>1</v>
      </c>
      <c r="E137" s="63">
        <v>2000</v>
      </c>
      <c r="F137" s="62">
        <f t="shared" si="51"/>
        <v>3</v>
      </c>
      <c r="G137" s="62">
        <f t="shared" si="51"/>
        <v>2780</v>
      </c>
      <c r="H137" s="61">
        <v>7</v>
      </c>
      <c r="I137" s="61">
        <v>14200</v>
      </c>
      <c r="J137" s="61">
        <f t="shared" si="52"/>
        <v>20</v>
      </c>
      <c r="K137" s="61">
        <f t="shared" si="52"/>
        <v>29100</v>
      </c>
      <c r="L137" s="6">
        <v>1</v>
      </c>
      <c r="M137" s="6">
        <v>2870</v>
      </c>
      <c r="N137" s="62">
        <f t="shared" si="53"/>
        <v>7</v>
      </c>
      <c r="O137" s="62">
        <f t="shared" si="54"/>
        <v>10272</v>
      </c>
    </row>
    <row r="138" spans="1:15" x14ac:dyDescent="0.25">
      <c r="A138" s="6" t="s">
        <v>123</v>
      </c>
      <c r="B138" s="6" t="s">
        <v>162</v>
      </c>
      <c r="C138" s="6">
        <v>5</v>
      </c>
      <c r="D138" s="63">
        <v>2</v>
      </c>
      <c r="E138" s="62">
        <v>5910</v>
      </c>
      <c r="F138" s="62">
        <f t="shared" si="51"/>
        <v>5</v>
      </c>
      <c r="G138" s="62">
        <f t="shared" si="51"/>
        <v>8690</v>
      </c>
      <c r="H138" s="61">
        <v>32</v>
      </c>
      <c r="I138" s="61">
        <v>7580</v>
      </c>
      <c r="J138" s="61">
        <f t="shared" si="52"/>
        <v>52</v>
      </c>
      <c r="K138" s="61">
        <f t="shared" si="52"/>
        <v>36680</v>
      </c>
      <c r="L138" s="6">
        <v>4</v>
      </c>
      <c r="M138" s="6">
        <v>3800</v>
      </c>
      <c r="N138" s="62">
        <f t="shared" si="53"/>
        <v>11</v>
      </c>
      <c r="O138" s="62">
        <f t="shared" si="54"/>
        <v>14072</v>
      </c>
    </row>
    <row r="139" spans="1:15" x14ac:dyDescent="0.25">
      <c r="A139" s="6" t="s">
        <v>123</v>
      </c>
      <c r="B139" s="6" t="s">
        <v>163</v>
      </c>
      <c r="C139" s="6">
        <v>6</v>
      </c>
      <c r="D139" s="63">
        <v>0</v>
      </c>
      <c r="E139" s="63">
        <v>0</v>
      </c>
      <c r="F139" s="62">
        <f t="shared" si="51"/>
        <v>5</v>
      </c>
      <c r="G139" s="62">
        <f t="shared" si="51"/>
        <v>8690</v>
      </c>
      <c r="H139" s="61">
        <v>1</v>
      </c>
      <c r="I139" s="61">
        <v>1000</v>
      </c>
      <c r="J139" s="61">
        <f t="shared" si="52"/>
        <v>53</v>
      </c>
      <c r="K139" s="61">
        <f t="shared" si="52"/>
        <v>37680</v>
      </c>
      <c r="L139" s="6">
        <v>3</v>
      </c>
      <c r="M139" s="6">
        <v>2181</v>
      </c>
      <c r="N139" s="62">
        <f t="shared" si="53"/>
        <v>14</v>
      </c>
      <c r="O139" s="62">
        <f t="shared" si="54"/>
        <v>16253</v>
      </c>
    </row>
    <row r="140" spans="1:15" x14ac:dyDescent="0.25">
      <c r="A140" s="6" t="s">
        <v>123</v>
      </c>
      <c r="B140" s="6" t="s">
        <v>164</v>
      </c>
      <c r="C140" s="6">
        <v>7</v>
      </c>
      <c r="D140" s="63">
        <v>0</v>
      </c>
      <c r="E140" s="63">
        <v>0</v>
      </c>
      <c r="F140" s="62">
        <f t="shared" si="51"/>
        <v>5</v>
      </c>
      <c r="G140" s="62">
        <f t="shared" si="51"/>
        <v>8690</v>
      </c>
      <c r="H140" s="61">
        <v>0</v>
      </c>
      <c r="I140" s="61">
        <v>0</v>
      </c>
      <c r="J140" s="61">
        <f t="shared" si="52"/>
        <v>53</v>
      </c>
      <c r="K140" s="61">
        <f t="shared" si="52"/>
        <v>37680</v>
      </c>
      <c r="L140" s="6">
        <v>1</v>
      </c>
      <c r="M140" s="6">
        <v>2250</v>
      </c>
      <c r="N140" s="62">
        <f t="shared" si="53"/>
        <v>15</v>
      </c>
      <c r="O140" s="62">
        <f t="shared" si="54"/>
        <v>18503</v>
      </c>
    </row>
    <row r="141" spans="1:15" x14ac:dyDescent="0.25">
      <c r="A141" s="6" t="s">
        <v>123</v>
      </c>
      <c r="B141" s="6" t="s">
        <v>165</v>
      </c>
      <c r="C141" s="6">
        <v>8</v>
      </c>
      <c r="D141" s="63">
        <v>0</v>
      </c>
      <c r="E141" s="63">
        <v>0</v>
      </c>
      <c r="F141" s="62">
        <f t="shared" si="51"/>
        <v>5</v>
      </c>
      <c r="G141" s="62">
        <f t="shared" si="51"/>
        <v>8690</v>
      </c>
      <c r="H141" s="61">
        <v>8</v>
      </c>
      <c r="I141" s="61">
        <v>1500</v>
      </c>
      <c r="J141" s="61">
        <f t="shared" si="52"/>
        <v>61</v>
      </c>
      <c r="K141" s="61">
        <f t="shared" si="52"/>
        <v>39180</v>
      </c>
      <c r="L141" s="6">
        <v>4</v>
      </c>
      <c r="M141" s="6">
        <v>2570</v>
      </c>
      <c r="N141" s="62">
        <f t="shared" si="53"/>
        <v>19</v>
      </c>
      <c r="O141" s="62">
        <f t="shared" si="54"/>
        <v>21073</v>
      </c>
    </row>
    <row r="142" spans="1:15" x14ac:dyDescent="0.25">
      <c r="A142" s="6" t="s">
        <v>123</v>
      </c>
      <c r="B142" s="6" t="s">
        <v>166</v>
      </c>
      <c r="C142" s="6">
        <v>9</v>
      </c>
      <c r="D142" s="63">
        <v>8</v>
      </c>
      <c r="E142" s="63">
        <v>4740</v>
      </c>
      <c r="F142" s="62">
        <f t="shared" si="51"/>
        <v>13</v>
      </c>
      <c r="G142" s="62">
        <f t="shared" si="51"/>
        <v>13430</v>
      </c>
      <c r="H142" s="61">
        <v>2</v>
      </c>
      <c r="I142" s="61">
        <v>3000</v>
      </c>
      <c r="J142" s="61">
        <f t="shared" si="52"/>
        <v>63</v>
      </c>
      <c r="K142" s="61">
        <f t="shared" si="52"/>
        <v>42180</v>
      </c>
      <c r="L142" s="6">
        <v>3</v>
      </c>
      <c r="M142" s="6">
        <v>6730</v>
      </c>
      <c r="N142" s="62">
        <f t="shared" si="53"/>
        <v>22</v>
      </c>
      <c r="O142" s="62">
        <f t="shared" si="54"/>
        <v>27803</v>
      </c>
    </row>
    <row r="143" spans="1:15" x14ac:dyDescent="0.25">
      <c r="A143" s="6" t="s">
        <v>123</v>
      </c>
      <c r="B143" s="6" t="s">
        <v>167</v>
      </c>
      <c r="C143" s="6">
        <v>10</v>
      </c>
      <c r="D143" s="63">
        <v>0</v>
      </c>
      <c r="E143" s="63">
        <v>0</v>
      </c>
      <c r="F143" s="62">
        <f t="shared" si="51"/>
        <v>13</v>
      </c>
      <c r="G143" s="62">
        <f t="shared" si="51"/>
        <v>13430</v>
      </c>
      <c r="H143" s="61">
        <v>0</v>
      </c>
      <c r="I143" s="61">
        <v>0</v>
      </c>
      <c r="J143" s="61">
        <f t="shared" si="52"/>
        <v>63</v>
      </c>
      <c r="K143" s="61">
        <f t="shared" si="52"/>
        <v>42180</v>
      </c>
      <c r="L143" s="6">
        <v>3</v>
      </c>
      <c r="M143" s="6">
        <v>1974</v>
      </c>
      <c r="N143" s="62">
        <f t="shared" si="53"/>
        <v>25</v>
      </c>
      <c r="O143" s="62">
        <f t="shared" si="54"/>
        <v>29777</v>
      </c>
    </row>
    <row r="144" spans="1:15" x14ac:dyDescent="0.25">
      <c r="A144" s="6" t="s">
        <v>123</v>
      </c>
      <c r="B144" s="6" t="s">
        <v>168</v>
      </c>
      <c r="C144" s="6">
        <v>11</v>
      </c>
      <c r="D144" s="63">
        <v>4</v>
      </c>
      <c r="E144" s="62">
        <v>9560</v>
      </c>
      <c r="F144" s="62">
        <f t="shared" si="51"/>
        <v>17</v>
      </c>
      <c r="G144" s="62">
        <f t="shared" si="51"/>
        <v>22990</v>
      </c>
      <c r="H144" s="61">
        <v>3</v>
      </c>
      <c r="I144" s="61">
        <v>2636</v>
      </c>
      <c r="J144" s="61">
        <f t="shared" si="52"/>
        <v>66</v>
      </c>
      <c r="K144" s="61">
        <f t="shared" si="52"/>
        <v>44816</v>
      </c>
      <c r="L144" s="6">
        <v>10</v>
      </c>
      <c r="M144" s="6">
        <v>19200</v>
      </c>
      <c r="N144" s="62">
        <f t="shared" si="53"/>
        <v>35</v>
      </c>
      <c r="O144" s="62">
        <f t="shared" si="54"/>
        <v>48977</v>
      </c>
    </row>
    <row r="145" spans="1:15" x14ac:dyDescent="0.25">
      <c r="A145" s="6" t="s">
        <v>123</v>
      </c>
      <c r="B145" s="6" t="s">
        <v>169</v>
      </c>
      <c r="C145" s="6">
        <v>12</v>
      </c>
      <c r="D145" s="63">
        <v>10</v>
      </c>
      <c r="E145" s="62">
        <v>7755</v>
      </c>
      <c r="F145" s="62">
        <f t="shared" si="51"/>
        <v>27</v>
      </c>
      <c r="G145" s="62">
        <f t="shared" si="51"/>
        <v>30745</v>
      </c>
      <c r="H145" s="61">
        <v>2</v>
      </c>
      <c r="I145" s="61">
        <v>6000</v>
      </c>
      <c r="J145" s="61">
        <f t="shared" si="52"/>
        <v>68</v>
      </c>
      <c r="K145" s="61">
        <f t="shared" si="52"/>
        <v>50816</v>
      </c>
      <c r="L145" s="6">
        <v>2</v>
      </c>
      <c r="M145" s="6">
        <v>420</v>
      </c>
      <c r="N145" s="62">
        <f t="shared" si="53"/>
        <v>37</v>
      </c>
      <c r="O145" s="62">
        <f t="shared" si="54"/>
        <v>49397</v>
      </c>
    </row>
    <row r="146" spans="1:15" x14ac:dyDescent="0.25">
      <c r="A146" s="6" t="s">
        <v>103</v>
      </c>
      <c r="B146" s="6" t="s">
        <v>158</v>
      </c>
      <c r="C146" s="6">
        <v>1</v>
      </c>
      <c r="D146" s="63">
        <v>0</v>
      </c>
      <c r="E146" s="63">
        <v>0</v>
      </c>
      <c r="F146" s="62">
        <f>D146</f>
        <v>0</v>
      </c>
      <c r="G146" s="62">
        <f>E146</f>
        <v>0</v>
      </c>
      <c r="H146" s="62">
        <v>0</v>
      </c>
      <c r="I146" s="62">
        <v>0</v>
      </c>
      <c r="J146" s="62">
        <f>H146</f>
        <v>0</v>
      </c>
      <c r="K146" s="62">
        <f>I146</f>
        <v>0</v>
      </c>
      <c r="L146" s="6">
        <v>0</v>
      </c>
      <c r="M146" s="6">
        <v>0</v>
      </c>
      <c r="N146" s="62">
        <f>L146</f>
        <v>0</v>
      </c>
      <c r="O146" s="62">
        <f>M146</f>
        <v>0</v>
      </c>
    </row>
    <row r="147" spans="1:15" x14ac:dyDescent="0.25">
      <c r="A147" s="6" t="s">
        <v>103</v>
      </c>
      <c r="B147" s="6" t="s">
        <v>159</v>
      </c>
      <c r="C147" s="6">
        <v>2</v>
      </c>
      <c r="D147" s="63">
        <v>0</v>
      </c>
      <c r="E147" s="63">
        <v>0</v>
      </c>
      <c r="F147" s="62">
        <f t="shared" ref="F147:F157" si="55">F146+D147</f>
        <v>0</v>
      </c>
      <c r="G147" s="62">
        <f t="shared" ref="G147:G157" si="56">G146+E147</f>
        <v>0</v>
      </c>
      <c r="H147" s="62">
        <v>0</v>
      </c>
      <c r="I147" s="62">
        <v>0</v>
      </c>
      <c r="J147" s="62">
        <f t="shared" ref="J147:J157" si="57">J146+H147</f>
        <v>0</v>
      </c>
      <c r="K147" s="62">
        <f t="shared" ref="K147:K157" si="58">K146+I147</f>
        <v>0</v>
      </c>
      <c r="L147" s="6">
        <v>0</v>
      </c>
      <c r="M147" s="6">
        <v>0</v>
      </c>
      <c r="N147" s="62">
        <f t="shared" ref="N147:N157" si="59">N146+L147</f>
        <v>0</v>
      </c>
      <c r="O147" s="62">
        <f t="shared" ref="O147:O157" si="60">O146+M147</f>
        <v>0</v>
      </c>
    </row>
    <row r="148" spans="1:15" x14ac:dyDescent="0.25">
      <c r="A148" s="6" t="s">
        <v>103</v>
      </c>
      <c r="B148" s="6" t="s">
        <v>160</v>
      </c>
      <c r="C148" s="6">
        <v>3</v>
      </c>
      <c r="D148" s="63">
        <v>0</v>
      </c>
      <c r="E148" s="63">
        <v>0</v>
      </c>
      <c r="F148" s="62">
        <f t="shared" si="55"/>
        <v>0</v>
      </c>
      <c r="G148" s="62">
        <f t="shared" si="56"/>
        <v>0</v>
      </c>
      <c r="H148" s="62">
        <v>0</v>
      </c>
      <c r="I148" s="62">
        <v>0</v>
      </c>
      <c r="J148" s="62">
        <f t="shared" si="57"/>
        <v>0</v>
      </c>
      <c r="K148" s="62">
        <f t="shared" si="58"/>
        <v>0</v>
      </c>
      <c r="L148" s="6">
        <v>1</v>
      </c>
      <c r="M148" s="6">
        <v>320</v>
      </c>
      <c r="N148" s="62">
        <f t="shared" si="59"/>
        <v>1</v>
      </c>
      <c r="O148" s="62">
        <f t="shared" si="60"/>
        <v>320</v>
      </c>
    </row>
    <row r="149" spans="1:15" x14ac:dyDescent="0.25">
      <c r="A149" s="6" t="s">
        <v>103</v>
      </c>
      <c r="B149" s="6" t="s">
        <v>161</v>
      </c>
      <c r="C149" s="6">
        <v>4</v>
      </c>
      <c r="D149" s="63">
        <v>0</v>
      </c>
      <c r="E149" s="63">
        <v>0</v>
      </c>
      <c r="F149" s="62">
        <f t="shared" si="55"/>
        <v>0</v>
      </c>
      <c r="G149" s="62">
        <f t="shared" si="56"/>
        <v>0</v>
      </c>
      <c r="H149" s="62">
        <v>0</v>
      </c>
      <c r="I149" s="62">
        <v>0</v>
      </c>
      <c r="J149" s="62">
        <f t="shared" si="57"/>
        <v>0</v>
      </c>
      <c r="K149" s="62">
        <f t="shared" si="58"/>
        <v>0</v>
      </c>
      <c r="L149" s="6">
        <v>1</v>
      </c>
      <c r="M149" s="6">
        <v>3300</v>
      </c>
      <c r="N149" s="62">
        <f t="shared" si="59"/>
        <v>2</v>
      </c>
      <c r="O149" s="62">
        <f t="shared" si="60"/>
        <v>3620</v>
      </c>
    </row>
    <row r="150" spans="1:15" x14ac:dyDescent="0.25">
      <c r="A150" s="6" t="s">
        <v>103</v>
      </c>
      <c r="B150" s="6" t="s">
        <v>162</v>
      </c>
      <c r="C150" s="6">
        <v>5</v>
      </c>
      <c r="D150" s="63">
        <v>0</v>
      </c>
      <c r="E150" s="63">
        <v>0</v>
      </c>
      <c r="F150" s="62">
        <f t="shared" si="55"/>
        <v>0</v>
      </c>
      <c r="G150" s="62">
        <f t="shared" si="56"/>
        <v>0</v>
      </c>
      <c r="H150" s="62">
        <v>0</v>
      </c>
      <c r="I150" s="62">
        <v>0</v>
      </c>
      <c r="J150" s="62">
        <f t="shared" si="57"/>
        <v>0</v>
      </c>
      <c r="K150" s="62">
        <f t="shared" si="58"/>
        <v>0</v>
      </c>
      <c r="L150" s="6">
        <v>0</v>
      </c>
      <c r="M150" s="6">
        <v>0</v>
      </c>
      <c r="N150" s="62">
        <f t="shared" si="59"/>
        <v>2</v>
      </c>
      <c r="O150" s="62">
        <f t="shared" si="60"/>
        <v>3620</v>
      </c>
    </row>
    <row r="151" spans="1:15" x14ac:dyDescent="0.25">
      <c r="A151" s="6" t="s">
        <v>103</v>
      </c>
      <c r="B151" s="6" t="s">
        <v>163</v>
      </c>
      <c r="C151" s="6">
        <v>6</v>
      </c>
      <c r="D151" s="63">
        <v>0</v>
      </c>
      <c r="E151" s="63">
        <v>0</v>
      </c>
      <c r="F151" s="62">
        <f t="shared" si="55"/>
        <v>0</v>
      </c>
      <c r="G151" s="62">
        <f t="shared" si="56"/>
        <v>0</v>
      </c>
      <c r="H151" s="62">
        <v>0</v>
      </c>
      <c r="I151" s="62">
        <v>0</v>
      </c>
      <c r="J151" s="62">
        <f t="shared" si="57"/>
        <v>0</v>
      </c>
      <c r="K151" s="62">
        <f t="shared" si="58"/>
        <v>0</v>
      </c>
      <c r="L151" s="6">
        <v>3</v>
      </c>
      <c r="M151" s="6">
        <v>1580</v>
      </c>
      <c r="N151" s="62">
        <f t="shared" si="59"/>
        <v>5</v>
      </c>
      <c r="O151" s="62">
        <f t="shared" si="60"/>
        <v>5200</v>
      </c>
    </row>
    <row r="152" spans="1:15" x14ac:dyDescent="0.25">
      <c r="A152" s="6" t="s">
        <v>103</v>
      </c>
      <c r="B152" s="6" t="s">
        <v>164</v>
      </c>
      <c r="C152" s="6">
        <v>7</v>
      </c>
      <c r="D152" s="63">
        <v>0</v>
      </c>
      <c r="E152" s="63">
        <v>0</v>
      </c>
      <c r="F152" s="62">
        <f t="shared" si="55"/>
        <v>0</v>
      </c>
      <c r="G152" s="62">
        <f t="shared" si="56"/>
        <v>0</v>
      </c>
      <c r="H152" s="62">
        <v>0</v>
      </c>
      <c r="I152" s="62">
        <v>0</v>
      </c>
      <c r="J152" s="62">
        <f t="shared" si="57"/>
        <v>0</v>
      </c>
      <c r="K152" s="62">
        <f t="shared" si="58"/>
        <v>0</v>
      </c>
      <c r="L152" s="6">
        <v>5</v>
      </c>
      <c r="M152" s="6">
        <v>1300</v>
      </c>
      <c r="N152" s="62">
        <f t="shared" si="59"/>
        <v>10</v>
      </c>
      <c r="O152" s="62">
        <f t="shared" si="60"/>
        <v>6500</v>
      </c>
    </row>
    <row r="153" spans="1:15" x14ac:dyDescent="0.25">
      <c r="A153" s="6" t="s">
        <v>103</v>
      </c>
      <c r="B153" s="6" t="s">
        <v>165</v>
      </c>
      <c r="C153" s="6">
        <v>8</v>
      </c>
      <c r="D153" s="63">
        <v>0</v>
      </c>
      <c r="E153" s="63">
        <v>0</v>
      </c>
      <c r="F153" s="62">
        <f t="shared" si="55"/>
        <v>0</v>
      </c>
      <c r="G153" s="62">
        <f t="shared" si="56"/>
        <v>0</v>
      </c>
      <c r="H153" s="62">
        <v>0</v>
      </c>
      <c r="I153" s="62">
        <v>0</v>
      </c>
      <c r="J153" s="62">
        <f t="shared" si="57"/>
        <v>0</v>
      </c>
      <c r="K153" s="62">
        <f t="shared" si="58"/>
        <v>0</v>
      </c>
      <c r="L153" s="6">
        <v>0</v>
      </c>
      <c r="M153" s="6">
        <v>0</v>
      </c>
      <c r="N153" s="62">
        <f t="shared" si="59"/>
        <v>10</v>
      </c>
      <c r="O153" s="62">
        <f t="shared" si="60"/>
        <v>6500</v>
      </c>
    </row>
    <row r="154" spans="1:15" x14ac:dyDescent="0.25">
      <c r="A154" s="6" t="s">
        <v>103</v>
      </c>
      <c r="B154" s="6" t="s">
        <v>166</v>
      </c>
      <c r="C154" s="6">
        <v>9</v>
      </c>
      <c r="D154" s="63">
        <v>0</v>
      </c>
      <c r="E154" s="63">
        <v>0</v>
      </c>
      <c r="F154" s="62">
        <f t="shared" si="55"/>
        <v>0</v>
      </c>
      <c r="G154" s="62">
        <f t="shared" si="56"/>
        <v>0</v>
      </c>
      <c r="H154" s="62">
        <v>0</v>
      </c>
      <c r="I154" s="62">
        <v>0</v>
      </c>
      <c r="J154" s="62">
        <f t="shared" si="57"/>
        <v>0</v>
      </c>
      <c r="K154" s="62">
        <f t="shared" si="58"/>
        <v>0</v>
      </c>
      <c r="L154" s="6">
        <v>0</v>
      </c>
      <c r="M154" s="6">
        <v>0</v>
      </c>
      <c r="N154" s="62">
        <f t="shared" si="59"/>
        <v>10</v>
      </c>
      <c r="O154" s="62">
        <f t="shared" si="60"/>
        <v>6500</v>
      </c>
    </row>
    <row r="155" spans="1:15" x14ac:dyDescent="0.25">
      <c r="A155" s="6" t="s">
        <v>103</v>
      </c>
      <c r="B155" s="6" t="s">
        <v>167</v>
      </c>
      <c r="C155" s="6">
        <v>10</v>
      </c>
      <c r="D155" s="63">
        <v>0</v>
      </c>
      <c r="E155" s="63">
        <v>0</v>
      </c>
      <c r="F155" s="62">
        <f t="shared" si="55"/>
        <v>0</v>
      </c>
      <c r="G155" s="62">
        <f t="shared" si="56"/>
        <v>0</v>
      </c>
      <c r="H155" s="62">
        <v>0</v>
      </c>
      <c r="I155" s="62">
        <v>0</v>
      </c>
      <c r="J155" s="62">
        <f t="shared" si="57"/>
        <v>0</v>
      </c>
      <c r="K155" s="62">
        <f t="shared" si="58"/>
        <v>0</v>
      </c>
      <c r="L155" s="6">
        <v>0</v>
      </c>
      <c r="M155" s="6">
        <v>0</v>
      </c>
      <c r="N155" s="62">
        <f t="shared" si="59"/>
        <v>10</v>
      </c>
      <c r="O155" s="62">
        <f t="shared" si="60"/>
        <v>6500</v>
      </c>
    </row>
    <row r="156" spans="1:15" x14ac:dyDescent="0.25">
      <c r="A156" s="6" t="s">
        <v>103</v>
      </c>
      <c r="B156" s="6" t="s">
        <v>168</v>
      </c>
      <c r="C156" s="6">
        <v>11</v>
      </c>
      <c r="D156" s="63">
        <v>0</v>
      </c>
      <c r="E156" s="63">
        <v>0</v>
      </c>
      <c r="F156" s="62">
        <f t="shared" si="55"/>
        <v>0</v>
      </c>
      <c r="G156" s="62">
        <f t="shared" si="56"/>
        <v>0</v>
      </c>
      <c r="H156" s="62">
        <v>0</v>
      </c>
      <c r="I156" s="62">
        <v>0</v>
      </c>
      <c r="J156" s="62">
        <f t="shared" si="57"/>
        <v>0</v>
      </c>
      <c r="K156" s="62">
        <f t="shared" si="58"/>
        <v>0</v>
      </c>
      <c r="L156" s="6">
        <v>2</v>
      </c>
      <c r="M156" s="6">
        <v>514</v>
      </c>
      <c r="N156" s="62">
        <f t="shared" si="59"/>
        <v>12</v>
      </c>
      <c r="O156" s="62">
        <f t="shared" si="60"/>
        <v>7014</v>
      </c>
    </row>
    <row r="157" spans="1:15" x14ac:dyDescent="0.25">
      <c r="A157" s="6" t="s">
        <v>103</v>
      </c>
      <c r="B157" s="6" t="s">
        <v>169</v>
      </c>
      <c r="C157" s="6">
        <v>12</v>
      </c>
      <c r="D157" s="63">
        <v>0</v>
      </c>
      <c r="E157" s="63">
        <v>0</v>
      </c>
      <c r="F157" s="62">
        <f t="shared" si="55"/>
        <v>0</v>
      </c>
      <c r="G157" s="62">
        <f t="shared" si="56"/>
        <v>0</v>
      </c>
      <c r="H157" s="62">
        <v>0</v>
      </c>
      <c r="I157" s="62">
        <v>0</v>
      </c>
      <c r="J157" s="62">
        <f t="shared" si="57"/>
        <v>0</v>
      </c>
      <c r="K157" s="62">
        <f t="shared" si="58"/>
        <v>0</v>
      </c>
      <c r="L157" s="6">
        <v>2</v>
      </c>
      <c r="M157" s="6">
        <v>140</v>
      </c>
      <c r="N157" s="62">
        <f t="shared" si="59"/>
        <v>14</v>
      </c>
      <c r="O157" s="62">
        <f t="shared" si="60"/>
        <v>7154</v>
      </c>
    </row>
    <row r="158" spans="1:15" x14ac:dyDescent="0.25">
      <c r="A158" s="6" t="s">
        <v>129</v>
      </c>
      <c r="B158" s="6" t="s">
        <v>158</v>
      </c>
      <c r="C158" s="6">
        <v>1</v>
      </c>
      <c r="D158" s="63">
        <v>0</v>
      </c>
      <c r="E158" s="63">
        <v>0</v>
      </c>
      <c r="F158" s="62">
        <f>D158</f>
        <v>0</v>
      </c>
      <c r="G158" s="62">
        <f>E158</f>
        <v>0</v>
      </c>
      <c r="H158" s="61">
        <v>0</v>
      </c>
      <c r="I158" s="61">
        <v>0</v>
      </c>
      <c r="J158" s="61">
        <f>H158</f>
        <v>0</v>
      </c>
      <c r="K158" s="61">
        <f>I158</f>
        <v>0</v>
      </c>
      <c r="L158" s="6">
        <v>0</v>
      </c>
      <c r="M158" s="6">
        <v>0</v>
      </c>
      <c r="N158" s="62">
        <f>L158</f>
        <v>0</v>
      </c>
      <c r="O158" s="62">
        <f>M158</f>
        <v>0</v>
      </c>
    </row>
    <row r="159" spans="1:15" x14ac:dyDescent="0.25">
      <c r="A159" s="6" t="s">
        <v>129</v>
      </c>
      <c r="B159" s="6" t="s">
        <v>159</v>
      </c>
      <c r="C159" s="6">
        <v>2</v>
      </c>
      <c r="D159" s="63">
        <v>0</v>
      </c>
      <c r="E159" s="63">
        <v>0</v>
      </c>
      <c r="F159" s="62">
        <f t="shared" ref="F159:G169" si="61">F158+D159</f>
        <v>0</v>
      </c>
      <c r="G159" s="62">
        <f t="shared" si="61"/>
        <v>0</v>
      </c>
      <c r="H159" s="61">
        <v>0</v>
      </c>
      <c r="I159" s="61">
        <v>0</v>
      </c>
      <c r="J159" s="61">
        <f t="shared" ref="J159:K169" si="62">J158+H159</f>
        <v>0</v>
      </c>
      <c r="K159" s="61">
        <f t="shared" si="62"/>
        <v>0</v>
      </c>
      <c r="L159" s="6">
        <v>1</v>
      </c>
      <c r="M159" s="6">
        <v>17540</v>
      </c>
      <c r="N159" s="62">
        <f t="shared" ref="N159:N169" si="63">N158+L159</f>
        <v>1</v>
      </c>
      <c r="O159" s="62">
        <f t="shared" ref="O159:O169" si="64">O158+M159</f>
        <v>17540</v>
      </c>
    </row>
    <row r="160" spans="1:15" x14ac:dyDescent="0.25">
      <c r="A160" s="6" t="s">
        <v>129</v>
      </c>
      <c r="B160" s="6" t="s">
        <v>160</v>
      </c>
      <c r="C160" s="6">
        <v>3</v>
      </c>
      <c r="D160" s="63">
        <v>0</v>
      </c>
      <c r="E160" s="63">
        <v>0</v>
      </c>
      <c r="F160" s="62">
        <f t="shared" si="61"/>
        <v>0</v>
      </c>
      <c r="G160" s="62">
        <f t="shared" si="61"/>
        <v>0</v>
      </c>
      <c r="H160" s="61">
        <v>0</v>
      </c>
      <c r="I160" s="61">
        <v>0</v>
      </c>
      <c r="J160" s="61">
        <f t="shared" si="62"/>
        <v>0</v>
      </c>
      <c r="K160" s="61">
        <f t="shared" si="62"/>
        <v>0</v>
      </c>
      <c r="L160" s="6">
        <v>0</v>
      </c>
      <c r="M160" s="6">
        <v>0</v>
      </c>
      <c r="N160" s="62">
        <f t="shared" si="63"/>
        <v>1</v>
      </c>
      <c r="O160" s="62">
        <f t="shared" si="64"/>
        <v>17540</v>
      </c>
    </row>
    <row r="161" spans="1:15" x14ac:dyDescent="0.25">
      <c r="A161" s="6" t="s">
        <v>129</v>
      </c>
      <c r="B161" s="6" t="s">
        <v>161</v>
      </c>
      <c r="C161" s="6">
        <v>4</v>
      </c>
      <c r="D161" s="63">
        <v>0</v>
      </c>
      <c r="E161" s="63">
        <v>0</v>
      </c>
      <c r="F161" s="62">
        <f t="shared" si="61"/>
        <v>0</v>
      </c>
      <c r="G161" s="62">
        <f t="shared" si="61"/>
        <v>0</v>
      </c>
      <c r="H161" s="61">
        <v>0</v>
      </c>
      <c r="I161" s="61">
        <v>0</v>
      </c>
      <c r="J161" s="61">
        <f t="shared" si="62"/>
        <v>0</v>
      </c>
      <c r="K161" s="61">
        <f t="shared" si="62"/>
        <v>0</v>
      </c>
      <c r="L161" s="6">
        <v>0</v>
      </c>
      <c r="M161" s="6">
        <v>0</v>
      </c>
      <c r="N161" s="62">
        <f t="shared" si="63"/>
        <v>1</v>
      </c>
      <c r="O161" s="62">
        <f t="shared" si="64"/>
        <v>17540</v>
      </c>
    </row>
    <row r="162" spans="1:15" x14ac:dyDescent="0.25">
      <c r="A162" s="6" t="s">
        <v>129</v>
      </c>
      <c r="B162" s="6" t="s">
        <v>162</v>
      </c>
      <c r="C162" s="6">
        <v>5</v>
      </c>
      <c r="D162" s="63">
        <v>0</v>
      </c>
      <c r="E162" s="63">
        <v>0</v>
      </c>
      <c r="F162" s="62">
        <f t="shared" si="61"/>
        <v>0</v>
      </c>
      <c r="G162" s="62">
        <f t="shared" si="61"/>
        <v>0</v>
      </c>
      <c r="H162" s="61">
        <v>3</v>
      </c>
      <c r="I162" s="61">
        <v>15000</v>
      </c>
      <c r="J162" s="61">
        <f t="shared" si="62"/>
        <v>3</v>
      </c>
      <c r="K162" s="61">
        <f t="shared" si="62"/>
        <v>15000</v>
      </c>
      <c r="L162" s="6">
        <v>2</v>
      </c>
      <c r="M162" s="6">
        <v>1350</v>
      </c>
      <c r="N162" s="62">
        <f t="shared" si="63"/>
        <v>3</v>
      </c>
      <c r="O162" s="62">
        <f t="shared" si="64"/>
        <v>18890</v>
      </c>
    </row>
    <row r="163" spans="1:15" x14ac:dyDescent="0.25">
      <c r="A163" s="6" t="s">
        <v>129</v>
      </c>
      <c r="B163" s="6" t="s">
        <v>163</v>
      </c>
      <c r="C163" s="6">
        <v>6</v>
      </c>
      <c r="D163" s="63">
        <v>0</v>
      </c>
      <c r="E163" s="63">
        <v>0</v>
      </c>
      <c r="F163" s="62">
        <f t="shared" si="61"/>
        <v>0</v>
      </c>
      <c r="G163" s="62">
        <f t="shared" si="61"/>
        <v>0</v>
      </c>
      <c r="H163" s="61">
        <v>0</v>
      </c>
      <c r="I163" s="61">
        <v>0</v>
      </c>
      <c r="J163" s="61">
        <f t="shared" si="62"/>
        <v>3</v>
      </c>
      <c r="K163" s="61">
        <f t="shared" si="62"/>
        <v>15000</v>
      </c>
      <c r="L163" s="6">
        <v>1</v>
      </c>
      <c r="M163" s="6">
        <v>6000</v>
      </c>
      <c r="N163" s="62">
        <f t="shared" si="63"/>
        <v>4</v>
      </c>
      <c r="O163" s="62">
        <f t="shared" si="64"/>
        <v>24890</v>
      </c>
    </row>
    <row r="164" spans="1:15" x14ac:dyDescent="0.25">
      <c r="A164" s="6" t="s">
        <v>129</v>
      </c>
      <c r="B164" s="6" t="s">
        <v>164</v>
      </c>
      <c r="C164" s="6">
        <v>7</v>
      </c>
      <c r="D164" s="63">
        <v>0</v>
      </c>
      <c r="E164" s="63">
        <v>0</v>
      </c>
      <c r="F164" s="62">
        <f t="shared" si="61"/>
        <v>0</v>
      </c>
      <c r="G164" s="62">
        <f t="shared" si="61"/>
        <v>0</v>
      </c>
      <c r="H164" s="61">
        <v>0</v>
      </c>
      <c r="I164" s="61">
        <v>0</v>
      </c>
      <c r="J164" s="61">
        <f t="shared" si="62"/>
        <v>3</v>
      </c>
      <c r="K164" s="61">
        <f t="shared" si="62"/>
        <v>15000</v>
      </c>
      <c r="L164" s="6">
        <v>2</v>
      </c>
      <c r="M164" s="6">
        <v>2488</v>
      </c>
      <c r="N164" s="62">
        <f t="shared" si="63"/>
        <v>6</v>
      </c>
      <c r="O164" s="62">
        <f t="shared" si="64"/>
        <v>27378</v>
      </c>
    </row>
    <row r="165" spans="1:15" x14ac:dyDescent="0.25">
      <c r="A165" s="6" t="s">
        <v>129</v>
      </c>
      <c r="B165" s="6" t="s">
        <v>165</v>
      </c>
      <c r="C165" s="6">
        <v>8</v>
      </c>
      <c r="D165" s="63">
        <v>0</v>
      </c>
      <c r="E165" s="63">
        <v>0</v>
      </c>
      <c r="F165" s="62">
        <f t="shared" si="61"/>
        <v>0</v>
      </c>
      <c r="G165" s="62">
        <f t="shared" si="61"/>
        <v>0</v>
      </c>
      <c r="H165" s="61">
        <v>1</v>
      </c>
      <c r="I165" s="61">
        <v>676.31</v>
      </c>
      <c r="J165" s="61">
        <f t="shared" si="62"/>
        <v>4</v>
      </c>
      <c r="K165" s="61">
        <f t="shared" si="62"/>
        <v>15676.31</v>
      </c>
      <c r="L165" s="6">
        <v>2</v>
      </c>
      <c r="M165" s="6">
        <v>1650</v>
      </c>
      <c r="N165" s="62">
        <f t="shared" si="63"/>
        <v>8</v>
      </c>
      <c r="O165" s="62">
        <f t="shared" si="64"/>
        <v>29028</v>
      </c>
    </row>
    <row r="166" spans="1:15" x14ac:dyDescent="0.25">
      <c r="A166" s="6" t="s">
        <v>129</v>
      </c>
      <c r="B166" s="6" t="s">
        <v>166</v>
      </c>
      <c r="C166" s="6">
        <v>9</v>
      </c>
      <c r="D166" s="63">
        <v>0</v>
      </c>
      <c r="E166" s="63">
        <v>0</v>
      </c>
      <c r="F166" s="62">
        <f t="shared" si="61"/>
        <v>0</v>
      </c>
      <c r="G166" s="62">
        <f t="shared" si="61"/>
        <v>0</v>
      </c>
      <c r="H166" s="61">
        <v>0</v>
      </c>
      <c r="I166" s="61">
        <v>0</v>
      </c>
      <c r="J166" s="61">
        <f t="shared" si="62"/>
        <v>4</v>
      </c>
      <c r="K166" s="61">
        <f t="shared" si="62"/>
        <v>15676.31</v>
      </c>
      <c r="L166" s="6">
        <v>1</v>
      </c>
      <c r="M166" s="6">
        <v>1404</v>
      </c>
      <c r="N166" s="62">
        <f t="shared" si="63"/>
        <v>9</v>
      </c>
      <c r="O166" s="62">
        <f t="shared" si="64"/>
        <v>30432</v>
      </c>
    </row>
    <row r="167" spans="1:15" x14ac:dyDescent="0.25">
      <c r="A167" s="6" t="s">
        <v>129</v>
      </c>
      <c r="B167" s="6" t="s">
        <v>167</v>
      </c>
      <c r="C167" s="6">
        <v>10</v>
      </c>
      <c r="D167" s="63">
        <v>0</v>
      </c>
      <c r="E167" s="63">
        <v>0</v>
      </c>
      <c r="F167" s="62">
        <f t="shared" si="61"/>
        <v>0</v>
      </c>
      <c r="G167" s="62">
        <f t="shared" si="61"/>
        <v>0</v>
      </c>
      <c r="H167" s="61">
        <v>1</v>
      </c>
      <c r="I167" s="61">
        <v>1167.99</v>
      </c>
      <c r="J167" s="61">
        <f t="shared" si="62"/>
        <v>5</v>
      </c>
      <c r="K167" s="61">
        <f t="shared" si="62"/>
        <v>16844.3</v>
      </c>
      <c r="L167" s="6">
        <v>2</v>
      </c>
      <c r="M167" s="6">
        <v>11600</v>
      </c>
      <c r="N167" s="62">
        <f t="shared" si="63"/>
        <v>11</v>
      </c>
      <c r="O167" s="62">
        <f t="shared" si="64"/>
        <v>42032</v>
      </c>
    </row>
    <row r="168" spans="1:15" x14ac:dyDescent="0.25">
      <c r="A168" s="6" t="s">
        <v>129</v>
      </c>
      <c r="B168" s="6" t="s">
        <v>168</v>
      </c>
      <c r="C168" s="6">
        <v>11</v>
      </c>
      <c r="D168" s="63">
        <v>0</v>
      </c>
      <c r="E168" s="63">
        <v>0</v>
      </c>
      <c r="F168" s="62">
        <f t="shared" si="61"/>
        <v>0</v>
      </c>
      <c r="G168" s="62">
        <f t="shared" si="61"/>
        <v>0</v>
      </c>
      <c r="H168" s="61">
        <v>4</v>
      </c>
      <c r="I168" s="61">
        <v>7034.4000000000005</v>
      </c>
      <c r="J168" s="61">
        <f t="shared" si="62"/>
        <v>9</v>
      </c>
      <c r="K168" s="61">
        <f t="shared" si="62"/>
        <v>23878.7</v>
      </c>
      <c r="L168" s="6">
        <v>1</v>
      </c>
      <c r="M168" s="6">
        <v>160</v>
      </c>
      <c r="N168" s="62">
        <f t="shared" si="63"/>
        <v>12</v>
      </c>
      <c r="O168" s="62">
        <f t="shared" si="64"/>
        <v>42192</v>
      </c>
    </row>
    <row r="169" spans="1:15" x14ac:dyDescent="0.25">
      <c r="A169" s="6" t="s">
        <v>129</v>
      </c>
      <c r="B169" s="6" t="s">
        <v>169</v>
      </c>
      <c r="C169" s="6">
        <v>12</v>
      </c>
      <c r="D169" s="63">
        <v>0</v>
      </c>
      <c r="E169" s="63">
        <v>0</v>
      </c>
      <c r="F169" s="62">
        <f t="shared" si="61"/>
        <v>0</v>
      </c>
      <c r="G169" s="62">
        <f t="shared" si="61"/>
        <v>0</v>
      </c>
      <c r="H169" s="61">
        <v>3</v>
      </c>
      <c r="I169" s="61">
        <v>6997.5</v>
      </c>
      <c r="J169" s="61">
        <f t="shared" si="62"/>
        <v>12</v>
      </c>
      <c r="K169" s="61">
        <f t="shared" si="62"/>
        <v>30876.2</v>
      </c>
      <c r="L169" s="6">
        <v>0</v>
      </c>
      <c r="M169" s="6">
        <v>0</v>
      </c>
      <c r="N169" s="62">
        <f t="shared" si="63"/>
        <v>12</v>
      </c>
      <c r="O169" s="62">
        <f t="shared" si="64"/>
        <v>42192</v>
      </c>
    </row>
    <row r="170" spans="1:15" x14ac:dyDescent="0.25">
      <c r="A170" s="6" t="s">
        <v>96</v>
      </c>
      <c r="B170" s="6" t="s">
        <v>158</v>
      </c>
      <c r="C170" s="6">
        <v>1</v>
      </c>
      <c r="D170" s="62">
        <v>12</v>
      </c>
      <c r="E170" s="62">
        <v>14057</v>
      </c>
      <c r="F170" s="62">
        <f>D170</f>
        <v>12</v>
      </c>
      <c r="G170" s="62">
        <f>E170</f>
        <v>14057</v>
      </c>
      <c r="H170" s="61">
        <v>6</v>
      </c>
      <c r="I170" s="61">
        <v>5110</v>
      </c>
      <c r="J170" s="61">
        <f>H170</f>
        <v>6</v>
      </c>
      <c r="K170" s="61">
        <f>I170</f>
        <v>5110</v>
      </c>
      <c r="L170" s="6">
        <v>2</v>
      </c>
      <c r="M170" s="6">
        <v>4900</v>
      </c>
      <c r="N170" s="62">
        <f>L170</f>
        <v>2</v>
      </c>
      <c r="O170" s="62">
        <f>M170</f>
        <v>4900</v>
      </c>
    </row>
    <row r="171" spans="1:15" x14ac:dyDescent="0.25">
      <c r="A171" s="6" t="s">
        <v>96</v>
      </c>
      <c r="B171" s="6" t="s">
        <v>159</v>
      </c>
      <c r="C171" s="6">
        <v>2</v>
      </c>
      <c r="D171" s="63">
        <v>0</v>
      </c>
      <c r="E171" s="63">
        <v>0</v>
      </c>
      <c r="F171" s="62">
        <f t="shared" ref="F171:G181" si="65">F170+D171</f>
        <v>12</v>
      </c>
      <c r="G171" s="62">
        <f t="shared" si="65"/>
        <v>14057</v>
      </c>
      <c r="H171" s="61">
        <v>4</v>
      </c>
      <c r="I171" s="61">
        <v>5100</v>
      </c>
      <c r="J171" s="61">
        <f t="shared" ref="J171:K181" si="66">J170+H171</f>
        <v>10</v>
      </c>
      <c r="K171" s="61">
        <f t="shared" si="66"/>
        <v>10210</v>
      </c>
      <c r="L171" s="6">
        <v>3</v>
      </c>
      <c r="M171" s="6">
        <v>6770</v>
      </c>
      <c r="N171" s="62">
        <f t="shared" ref="N171:N181" si="67">N170+L171</f>
        <v>5</v>
      </c>
      <c r="O171" s="62">
        <f t="shared" ref="O171:O181" si="68">O170+M171</f>
        <v>11670</v>
      </c>
    </row>
    <row r="172" spans="1:15" x14ac:dyDescent="0.25">
      <c r="A172" s="6" t="s">
        <v>96</v>
      </c>
      <c r="B172" s="6" t="s">
        <v>160</v>
      </c>
      <c r="C172" s="6">
        <v>3</v>
      </c>
      <c r="D172" s="63">
        <v>6</v>
      </c>
      <c r="E172" s="63">
        <v>9775</v>
      </c>
      <c r="F172" s="62">
        <f t="shared" si="65"/>
        <v>18</v>
      </c>
      <c r="G172" s="62">
        <f t="shared" si="65"/>
        <v>23832</v>
      </c>
      <c r="H172" s="61">
        <v>3</v>
      </c>
      <c r="I172" s="61">
        <v>6250</v>
      </c>
      <c r="J172" s="61">
        <f t="shared" si="66"/>
        <v>13</v>
      </c>
      <c r="K172" s="61">
        <f t="shared" si="66"/>
        <v>16460</v>
      </c>
      <c r="L172" s="6">
        <v>0</v>
      </c>
      <c r="M172" s="6">
        <v>0</v>
      </c>
      <c r="N172" s="62">
        <f t="shared" si="67"/>
        <v>5</v>
      </c>
      <c r="O172" s="62">
        <f t="shared" si="68"/>
        <v>11670</v>
      </c>
    </row>
    <row r="173" spans="1:15" x14ac:dyDescent="0.25">
      <c r="A173" s="6" t="s">
        <v>96</v>
      </c>
      <c r="B173" s="6" t="s">
        <v>161</v>
      </c>
      <c r="C173" s="6">
        <v>4</v>
      </c>
      <c r="D173" s="63">
        <v>2</v>
      </c>
      <c r="E173" s="62">
        <v>2380</v>
      </c>
      <c r="F173" s="62">
        <f t="shared" si="65"/>
        <v>20</v>
      </c>
      <c r="G173" s="62">
        <f t="shared" si="65"/>
        <v>26212</v>
      </c>
      <c r="H173" s="61">
        <v>1</v>
      </c>
      <c r="I173" s="61">
        <v>1100</v>
      </c>
      <c r="J173" s="61">
        <f t="shared" si="66"/>
        <v>14</v>
      </c>
      <c r="K173" s="61">
        <f t="shared" si="66"/>
        <v>17560</v>
      </c>
      <c r="L173" s="6">
        <v>2</v>
      </c>
      <c r="M173" s="6">
        <v>2700</v>
      </c>
      <c r="N173" s="62">
        <f t="shared" si="67"/>
        <v>7</v>
      </c>
      <c r="O173" s="62">
        <f t="shared" si="68"/>
        <v>14370</v>
      </c>
    </row>
    <row r="174" spans="1:15" x14ac:dyDescent="0.25">
      <c r="A174" s="6" t="s">
        <v>96</v>
      </c>
      <c r="B174" s="6" t="s">
        <v>162</v>
      </c>
      <c r="C174" s="6">
        <v>5</v>
      </c>
      <c r="D174" s="63">
        <v>0</v>
      </c>
      <c r="E174" s="62">
        <v>0</v>
      </c>
      <c r="F174" s="62">
        <f t="shared" si="65"/>
        <v>20</v>
      </c>
      <c r="G174" s="62">
        <f t="shared" si="65"/>
        <v>26212</v>
      </c>
      <c r="H174" s="61">
        <v>0</v>
      </c>
      <c r="I174" s="61">
        <v>0</v>
      </c>
      <c r="J174" s="61">
        <f t="shared" si="66"/>
        <v>14</v>
      </c>
      <c r="K174" s="61">
        <f t="shared" si="66"/>
        <v>17560</v>
      </c>
      <c r="L174" s="6">
        <v>3</v>
      </c>
      <c r="M174" s="6">
        <v>4900</v>
      </c>
      <c r="N174" s="62">
        <f t="shared" si="67"/>
        <v>10</v>
      </c>
      <c r="O174" s="62">
        <f t="shared" si="68"/>
        <v>19270</v>
      </c>
    </row>
    <row r="175" spans="1:15" x14ac:dyDescent="0.25">
      <c r="A175" s="6" t="s">
        <v>96</v>
      </c>
      <c r="B175" s="6" t="s">
        <v>163</v>
      </c>
      <c r="C175" s="6">
        <v>6</v>
      </c>
      <c r="D175" s="63">
        <v>0</v>
      </c>
      <c r="E175" s="62">
        <v>0</v>
      </c>
      <c r="F175" s="62">
        <f t="shared" si="65"/>
        <v>20</v>
      </c>
      <c r="G175" s="62">
        <f t="shared" si="65"/>
        <v>26212</v>
      </c>
      <c r="H175" s="61">
        <v>4</v>
      </c>
      <c r="I175" s="61">
        <v>2900</v>
      </c>
      <c r="J175" s="61">
        <f t="shared" si="66"/>
        <v>18</v>
      </c>
      <c r="K175" s="61">
        <f t="shared" si="66"/>
        <v>20460</v>
      </c>
      <c r="L175" s="6">
        <v>9</v>
      </c>
      <c r="M175" s="6">
        <v>15980</v>
      </c>
      <c r="N175" s="62">
        <f t="shared" si="67"/>
        <v>19</v>
      </c>
      <c r="O175" s="62">
        <f t="shared" si="68"/>
        <v>35250</v>
      </c>
    </row>
    <row r="176" spans="1:15" x14ac:dyDescent="0.25">
      <c r="A176" s="6" t="s">
        <v>96</v>
      </c>
      <c r="B176" s="6" t="s">
        <v>164</v>
      </c>
      <c r="C176" s="6">
        <v>7</v>
      </c>
      <c r="D176" s="63">
        <v>6</v>
      </c>
      <c r="E176" s="62">
        <v>2320</v>
      </c>
      <c r="F176" s="62">
        <f t="shared" si="65"/>
        <v>26</v>
      </c>
      <c r="G176" s="62">
        <f t="shared" si="65"/>
        <v>28532</v>
      </c>
      <c r="H176" s="61">
        <v>2</v>
      </c>
      <c r="I176" s="61">
        <v>1700</v>
      </c>
      <c r="J176" s="61">
        <f t="shared" si="66"/>
        <v>20</v>
      </c>
      <c r="K176" s="61">
        <f t="shared" si="66"/>
        <v>22160</v>
      </c>
      <c r="L176" s="6">
        <v>3</v>
      </c>
      <c r="M176" s="6">
        <v>4585</v>
      </c>
      <c r="N176" s="62">
        <f t="shared" si="67"/>
        <v>22</v>
      </c>
      <c r="O176" s="62">
        <f t="shared" si="68"/>
        <v>39835</v>
      </c>
    </row>
    <row r="177" spans="1:15" x14ac:dyDescent="0.25">
      <c r="A177" s="6" t="s">
        <v>96</v>
      </c>
      <c r="B177" s="6" t="s">
        <v>165</v>
      </c>
      <c r="C177" s="6">
        <v>8</v>
      </c>
      <c r="D177" s="63">
        <v>0</v>
      </c>
      <c r="E177" s="62">
        <v>0</v>
      </c>
      <c r="F177" s="62">
        <f t="shared" si="65"/>
        <v>26</v>
      </c>
      <c r="G177" s="62">
        <f t="shared" si="65"/>
        <v>28532</v>
      </c>
      <c r="H177" s="61">
        <v>3</v>
      </c>
      <c r="I177" s="61">
        <v>4600</v>
      </c>
      <c r="J177" s="61">
        <f t="shared" si="66"/>
        <v>23</v>
      </c>
      <c r="K177" s="61">
        <f t="shared" si="66"/>
        <v>26760</v>
      </c>
      <c r="L177" s="6">
        <v>1</v>
      </c>
      <c r="M177" s="6">
        <v>1500</v>
      </c>
      <c r="N177" s="62">
        <f t="shared" si="67"/>
        <v>23</v>
      </c>
      <c r="O177" s="62">
        <f t="shared" si="68"/>
        <v>41335</v>
      </c>
    </row>
    <row r="178" spans="1:15" x14ac:dyDescent="0.25">
      <c r="A178" s="6" t="s">
        <v>96</v>
      </c>
      <c r="B178" s="6" t="s">
        <v>166</v>
      </c>
      <c r="C178" s="6">
        <v>9</v>
      </c>
      <c r="D178" s="63">
        <v>1</v>
      </c>
      <c r="E178" s="63">
        <v>1500</v>
      </c>
      <c r="F178" s="62">
        <f t="shared" si="65"/>
        <v>27</v>
      </c>
      <c r="G178" s="62">
        <f t="shared" si="65"/>
        <v>30032</v>
      </c>
      <c r="H178" s="61">
        <v>1</v>
      </c>
      <c r="I178" s="61">
        <v>860</v>
      </c>
      <c r="J178" s="61">
        <f t="shared" si="66"/>
        <v>24</v>
      </c>
      <c r="K178" s="61">
        <f t="shared" si="66"/>
        <v>27620</v>
      </c>
      <c r="L178" s="6">
        <v>3</v>
      </c>
      <c r="M178" s="6">
        <v>4940</v>
      </c>
      <c r="N178" s="62">
        <f t="shared" si="67"/>
        <v>26</v>
      </c>
      <c r="O178" s="62">
        <f t="shared" si="68"/>
        <v>46275</v>
      </c>
    </row>
    <row r="179" spans="1:15" x14ac:dyDescent="0.25">
      <c r="A179" s="6" t="s">
        <v>96</v>
      </c>
      <c r="B179" s="6" t="s">
        <v>167</v>
      </c>
      <c r="C179" s="6">
        <v>10</v>
      </c>
      <c r="D179" s="63">
        <v>4</v>
      </c>
      <c r="E179" s="63">
        <v>17354.62</v>
      </c>
      <c r="F179" s="62">
        <f t="shared" si="65"/>
        <v>31</v>
      </c>
      <c r="G179" s="62">
        <f t="shared" si="65"/>
        <v>47386.619999999995</v>
      </c>
      <c r="H179" s="61">
        <v>23</v>
      </c>
      <c r="I179" s="61">
        <v>17280</v>
      </c>
      <c r="J179" s="61">
        <f t="shared" si="66"/>
        <v>47</v>
      </c>
      <c r="K179" s="61">
        <f t="shared" si="66"/>
        <v>44900</v>
      </c>
      <c r="L179" s="6">
        <v>6</v>
      </c>
      <c r="M179" s="6">
        <v>15095</v>
      </c>
      <c r="N179" s="62">
        <f t="shared" si="67"/>
        <v>32</v>
      </c>
      <c r="O179" s="62">
        <f t="shared" si="68"/>
        <v>61370</v>
      </c>
    </row>
    <row r="180" spans="1:15" x14ac:dyDescent="0.25">
      <c r="A180" s="6" t="s">
        <v>96</v>
      </c>
      <c r="B180" s="6" t="s">
        <v>168</v>
      </c>
      <c r="C180" s="6">
        <v>11</v>
      </c>
      <c r="D180" s="63">
        <v>0</v>
      </c>
      <c r="E180" s="62">
        <v>0</v>
      </c>
      <c r="F180" s="62">
        <f t="shared" si="65"/>
        <v>31</v>
      </c>
      <c r="G180" s="62">
        <f t="shared" si="65"/>
        <v>47386.619999999995</v>
      </c>
      <c r="H180" s="61">
        <v>6</v>
      </c>
      <c r="I180" s="61">
        <v>10050</v>
      </c>
      <c r="J180" s="61">
        <f t="shared" si="66"/>
        <v>53</v>
      </c>
      <c r="K180" s="61">
        <f t="shared" si="66"/>
        <v>54950</v>
      </c>
      <c r="L180" s="6">
        <v>9</v>
      </c>
      <c r="M180" s="6">
        <v>25200</v>
      </c>
      <c r="N180" s="62">
        <f t="shared" si="67"/>
        <v>41</v>
      </c>
      <c r="O180" s="62">
        <f t="shared" si="68"/>
        <v>86570</v>
      </c>
    </row>
    <row r="181" spans="1:15" x14ac:dyDescent="0.25">
      <c r="A181" s="6" t="s">
        <v>96</v>
      </c>
      <c r="B181" s="6" t="s">
        <v>169</v>
      </c>
      <c r="C181" s="6">
        <v>12</v>
      </c>
      <c r="D181" s="63">
        <v>0</v>
      </c>
      <c r="E181" s="62">
        <v>0</v>
      </c>
      <c r="F181" s="62">
        <f t="shared" si="65"/>
        <v>31</v>
      </c>
      <c r="G181" s="62">
        <f t="shared" si="65"/>
        <v>47386.619999999995</v>
      </c>
      <c r="H181" s="61">
        <v>6</v>
      </c>
      <c r="I181" s="61">
        <v>12637.5</v>
      </c>
      <c r="J181" s="61">
        <f t="shared" si="66"/>
        <v>59</v>
      </c>
      <c r="K181" s="61">
        <f t="shared" si="66"/>
        <v>67587.5</v>
      </c>
      <c r="L181" s="6">
        <v>5</v>
      </c>
      <c r="M181" s="6">
        <v>21680</v>
      </c>
      <c r="N181" s="62">
        <f t="shared" si="67"/>
        <v>46</v>
      </c>
      <c r="O181" s="62">
        <f t="shared" si="68"/>
        <v>108250</v>
      </c>
    </row>
    <row r="182" spans="1:15" x14ac:dyDescent="0.25">
      <c r="A182" s="6" t="s">
        <v>38</v>
      </c>
      <c r="B182" s="6" t="s">
        <v>158</v>
      </c>
      <c r="C182" s="6">
        <v>1</v>
      </c>
      <c r="D182" s="63">
        <v>0</v>
      </c>
      <c r="E182" s="63">
        <v>0</v>
      </c>
      <c r="F182" s="62">
        <f>D182</f>
        <v>0</v>
      </c>
      <c r="G182" s="62">
        <f>E182</f>
        <v>0</v>
      </c>
      <c r="H182" s="61">
        <v>1</v>
      </c>
      <c r="I182" s="61">
        <v>1030</v>
      </c>
      <c r="J182" s="61">
        <f>H182</f>
        <v>1</v>
      </c>
      <c r="K182" s="61">
        <f>I182</f>
        <v>1030</v>
      </c>
      <c r="L182" s="6">
        <v>0</v>
      </c>
      <c r="M182" s="6">
        <v>0</v>
      </c>
      <c r="N182" s="62">
        <f>L182</f>
        <v>0</v>
      </c>
      <c r="O182" s="62">
        <f>M182</f>
        <v>0</v>
      </c>
    </row>
    <row r="183" spans="1:15" x14ac:dyDescent="0.25">
      <c r="A183" s="6" t="s">
        <v>38</v>
      </c>
      <c r="B183" s="6" t="s">
        <v>159</v>
      </c>
      <c r="C183" s="6">
        <v>2</v>
      </c>
      <c r="D183" s="63">
        <v>0</v>
      </c>
      <c r="E183" s="63">
        <v>0</v>
      </c>
      <c r="F183" s="62">
        <f t="shared" ref="F183:G193" si="69">F182+D183</f>
        <v>0</v>
      </c>
      <c r="G183" s="62">
        <f t="shared" si="69"/>
        <v>0</v>
      </c>
      <c r="H183" s="61">
        <v>0</v>
      </c>
      <c r="I183" s="61">
        <v>0</v>
      </c>
      <c r="J183" s="61">
        <f t="shared" ref="J183:K193" si="70">J182+H183</f>
        <v>1</v>
      </c>
      <c r="K183" s="61">
        <f t="shared" si="70"/>
        <v>1030</v>
      </c>
      <c r="L183" s="6">
        <v>0</v>
      </c>
      <c r="M183" s="6">
        <v>0</v>
      </c>
      <c r="N183" s="62">
        <f t="shared" ref="N183:N193" si="71">N182+L183</f>
        <v>0</v>
      </c>
      <c r="O183" s="62">
        <f t="shared" ref="O183:O193" si="72">O182+M183</f>
        <v>0</v>
      </c>
    </row>
    <row r="184" spans="1:15" x14ac:dyDescent="0.25">
      <c r="A184" s="6" t="s">
        <v>38</v>
      </c>
      <c r="B184" s="6" t="s">
        <v>160</v>
      </c>
      <c r="C184" s="6">
        <v>3</v>
      </c>
      <c r="D184" s="63">
        <v>0</v>
      </c>
      <c r="E184" s="63">
        <v>0</v>
      </c>
      <c r="F184" s="62">
        <f t="shared" si="69"/>
        <v>0</v>
      </c>
      <c r="G184" s="62">
        <f t="shared" si="69"/>
        <v>0</v>
      </c>
      <c r="H184" s="61">
        <v>0</v>
      </c>
      <c r="I184" s="61">
        <v>0</v>
      </c>
      <c r="J184" s="61">
        <f t="shared" si="70"/>
        <v>1</v>
      </c>
      <c r="K184" s="61">
        <f t="shared" si="70"/>
        <v>1030</v>
      </c>
      <c r="L184" s="6">
        <v>0</v>
      </c>
      <c r="M184" s="6">
        <v>0</v>
      </c>
      <c r="N184" s="62">
        <f t="shared" si="71"/>
        <v>0</v>
      </c>
      <c r="O184" s="62">
        <f t="shared" si="72"/>
        <v>0</v>
      </c>
    </row>
    <row r="185" spans="1:15" x14ac:dyDescent="0.25">
      <c r="A185" s="6" t="s">
        <v>38</v>
      </c>
      <c r="B185" s="6" t="s">
        <v>161</v>
      </c>
      <c r="C185" s="6">
        <v>4</v>
      </c>
      <c r="D185" s="63">
        <v>0</v>
      </c>
      <c r="E185" s="63">
        <v>0</v>
      </c>
      <c r="F185" s="62">
        <f t="shared" si="69"/>
        <v>0</v>
      </c>
      <c r="G185" s="62">
        <f t="shared" si="69"/>
        <v>0</v>
      </c>
      <c r="H185" s="61">
        <v>1</v>
      </c>
      <c r="I185" s="61">
        <v>550</v>
      </c>
      <c r="J185" s="61">
        <f t="shared" si="70"/>
        <v>2</v>
      </c>
      <c r="K185" s="61">
        <f t="shared" si="70"/>
        <v>1580</v>
      </c>
      <c r="L185" s="6">
        <v>0</v>
      </c>
      <c r="M185" s="6">
        <v>0</v>
      </c>
      <c r="N185" s="62">
        <f t="shared" si="71"/>
        <v>0</v>
      </c>
      <c r="O185" s="62">
        <f t="shared" si="72"/>
        <v>0</v>
      </c>
    </row>
    <row r="186" spans="1:15" x14ac:dyDescent="0.25">
      <c r="A186" s="6" t="s">
        <v>38</v>
      </c>
      <c r="B186" s="6" t="s">
        <v>162</v>
      </c>
      <c r="C186" s="6">
        <v>5</v>
      </c>
      <c r="D186" s="63">
        <v>0</v>
      </c>
      <c r="E186" s="63">
        <v>0</v>
      </c>
      <c r="F186" s="62">
        <f t="shared" si="69"/>
        <v>0</v>
      </c>
      <c r="G186" s="62">
        <f t="shared" si="69"/>
        <v>0</v>
      </c>
      <c r="H186" s="61">
        <v>0</v>
      </c>
      <c r="I186" s="61">
        <v>0</v>
      </c>
      <c r="J186" s="61">
        <f t="shared" si="70"/>
        <v>2</v>
      </c>
      <c r="K186" s="61">
        <f t="shared" si="70"/>
        <v>1580</v>
      </c>
      <c r="L186" s="6">
        <v>0</v>
      </c>
      <c r="M186" s="6">
        <v>0</v>
      </c>
      <c r="N186" s="62">
        <f t="shared" si="71"/>
        <v>0</v>
      </c>
      <c r="O186" s="62">
        <f t="shared" si="72"/>
        <v>0</v>
      </c>
    </row>
    <row r="187" spans="1:15" x14ac:dyDescent="0.25">
      <c r="A187" s="6" t="s">
        <v>38</v>
      </c>
      <c r="B187" s="6" t="s">
        <v>163</v>
      </c>
      <c r="C187" s="6">
        <v>6</v>
      </c>
      <c r="D187" s="63">
        <v>0</v>
      </c>
      <c r="E187" s="63">
        <v>0</v>
      </c>
      <c r="F187" s="62">
        <f t="shared" si="69"/>
        <v>0</v>
      </c>
      <c r="G187" s="62">
        <f t="shared" si="69"/>
        <v>0</v>
      </c>
      <c r="H187" s="61">
        <v>4</v>
      </c>
      <c r="I187" s="61">
        <v>21500</v>
      </c>
      <c r="J187" s="61">
        <f t="shared" si="70"/>
        <v>6</v>
      </c>
      <c r="K187" s="61">
        <f t="shared" si="70"/>
        <v>23080</v>
      </c>
      <c r="L187" s="6">
        <v>1</v>
      </c>
      <c r="M187" s="6">
        <v>2200</v>
      </c>
      <c r="N187" s="62">
        <f t="shared" si="71"/>
        <v>1</v>
      </c>
      <c r="O187" s="62">
        <f t="shared" si="72"/>
        <v>2200</v>
      </c>
    </row>
    <row r="188" spans="1:15" x14ac:dyDescent="0.25">
      <c r="A188" s="6" t="s">
        <v>38</v>
      </c>
      <c r="B188" s="6" t="s">
        <v>164</v>
      </c>
      <c r="C188" s="6">
        <v>7</v>
      </c>
      <c r="D188" s="63">
        <v>1</v>
      </c>
      <c r="E188" s="63">
        <v>1200</v>
      </c>
      <c r="F188" s="62">
        <f t="shared" si="69"/>
        <v>1</v>
      </c>
      <c r="G188" s="62">
        <f t="shared" si="69"/>
        <v>1200</v>
      </c>
      <c r="H188" s="61">
        <v>1</v>
      </c>
      <c r="I188" s="61">
        <v>600</v>
      </c>
      <c r="J188" s="61">
        <f t="shared" si="70"/>
        <v>7</v>
      </c>
      <c r="K188" s="61">
        <f t="shared" si="70"/>
        <v>23680</v>
      </c>
      <c r="L188" s="6">
        <v>0</v>
      </c>
      <c r="M188" s="6">
        <v>0</v>
      </c>
      <c r="N188" s="62">
        <f t="shared" si="71"/>
        <v>1</v>
      </c>
      <c r="O188" s="62">
        <f t="shared" si="72"/>
        <v>2200</v>
      </c>
    </row>
    <row r="189" spans="1:15" x14ac:dyDescent="0.25">
      <c r="A189" s="6" t="s">
        <v>38</v>
      </c>
      <c r="B189" s="6" t="s">
        <v>165</v>
      </c>
      <c r="C189" s="6">
        <v>8</v>
      </c>
      <c r="D189" s="63">
        <v>1</v>
      </c>
      <c r="E189" s="63">
        <v>7061.35</v>
      </c>
      <c r="F189" s="62">
        <f t="shared" si="69"/>
        <v>2</v>
      </c>
      <c r="G189" s="62">
        <f t="shared" si="69"/>
        <v>8261.35</v>
      </c>
      <c r="H189" s="61">
        <v>0</v>
      </c>
      <c r="I189" s="61">
        <v>0</v>
      </c>
      <c r="J189" s="61">
        <f t="shared" si="70"/>
        <v>7</v>
      </c>
      <c r="K189" s="61">
        <f t="shared" si="70"/>
        <v>23680</v>
      </c>
      <c r="L189" s="6">
        <v>0</v>
      </c>
      <c r="M189" s="6">
        <v>0</v>
      </c>
      <c r="N189" s="62">
        <f t="shared" si="71"/>
        <v>1</v>
      </c>
      <c r="O189" s="62">
        <f t="shared" si="72"/>
        <v>2200</v>
      </c>
    </row>
    <row r="190" spans="1:15" x14ac:dyDescent="0.25">
      <c r="A190" s="6" t="s">
        <v>38</v>
      </c>
      <c r="B190" s="6" t="s">
        <v>166</v>
      </c>
      <c r="C190" s="6">
        <v>9</v>
      </c>
      <c r="D190" s="63">
        <v>1</v>
      </c>
      <c r="E190" s="63">
        <v>400</v>
      </c>
      <c r="F190" s="62">
        <f t="shared" si="69"/>
        <v>3</v>
      </c>
      <c r="G190" s="62">
        <f t="shared" si="69"/>
        <v>8661.35</v>
      </c>
      <c r="H190" s="61">
        <v>0</v>
      </c>
      <c r="I190" s="61">
        <v>0</v>
      </c>
      <c r="J190" s="61">
        <f t="shared" si="70"/>
        <v>7</v>
      </c>
      <c r="K190" s="61">
        <f t="shared" si="70"/>
        <v>23680</v>
      </c>
      <c r="L190" s="6">
        <v>0</v>
      </c>
      <c r="M190" s="6">
        <v>0</v>
      </c>
      <c r="N190" s="62">
        <f t="shared" si="71"/>
        <v>1</v>
      </c>
      <c r="O190" s="62">
        <f t="shared" si="72"/>
        <v>2200</v>
      </c>
    </row>
    <row r="191" spans="1:15" x14ac:dyDescent="0.25">
      <c r="A191" s="6" t="s">
        <v>38</v>
      </c>
      <c r="B191" s="6" t="s">
        <v>167</v>
      </c>
      <c r="C191" s="6">
        <v>10</v>
      </c>
      <c r="D191" s="63">
        <v>0</v>
      </c>
      <c r="E191" s="63">
        <v>0</v>
      </c>
      <c r="F191" s="62">
        <f t="shared" si="69"/>
        <v>3</v>
      </c>
      <c r="G191" s="62">
        <f t="shared" si="69"/>
        <v>8661.35</v>
      </c>
      <c r="H191" s="61">
        <v>0</v>
      </c>
      <c r="I191" s="61">
        <v>0</v>
      </c>
      <c r="J191" s="61">
        <f t="shared" si="70"/>
        <v>7</v>
      </c>
      <c r="K191" s="61">
        <f t="shared" si="70"/>
        <v>23680</v>
      </c>
      <c r="L191" s="6">
        <v>1</v>
      </c>
      <c r="M191" s="6">
        <v>550</v>
      </c>
      <c r="N191" s="62">
        <f t="shared" si="71"/>
        <v>2</v>
      </c>
      <c r="O191" s="62">
        <f t="shared" si="72"/>
        <v>2750</v>
      </c>
    </row>
    <row r="192" spans="1:15" x14ac:dyDescent="0.25">
      <c r="A192" s="6" t="s">
        <v>38</v>
      </c>
      <c r="B192" s="6" t="s">
        <v>168</v>
      </c>
      <c r="C192" s="6">
        <v>11</v>
      </c>
      <c r="D192" s="63">
        <v>2</v>
      </c>
      <c r="E192" s="63">
        <v>14820</v>
      </c>
      <c r="F192" s="62">
        <f t="shared" si="69"/>
        <v>5</v>
      </c>
      <c r="G192" s="62">
        <f t="shared" si="69"/>
        <v>23481.35</v>
      </c>
      <c r="H192" s="61">
        <v>1</v>
      </c>
      <c r="I192" s="61">
        <v>1750</v>
      </c>
      <c r="J192" s="61">
        <f t="shared" si="70"/>
        <v>8</v>
      </c>
      <c r="K192" s="61">
        <f t="shared" si="70"/>
        <v>25430</v>
      </c>
      <c r="L192" s="6">
        <v>2</v>
      </c>
      <c r="M192" s="6">
        <v>1170</v>
      </c>
      <c r="N192" s="62">
        <f t="shared" si="71"/>
        <v>4</v>
      </c>
      <c r="O192" s="62">
        <f t="shared" si="72"/>
        <v>3920</v>
      </c>
    </row>
    <row r="193" spans="1:15" x14ac:dyDescent="0.25">
      <c r="A193" s="6" t="s">
        <v>38</v>
      </c>
      <c r="B193" s="6" t="s">
        <v>169</v>
      </c>
      <c r="C193" s="6">
        <v>12</v>
      </c>
      <c r="D193" s="63">
        <v>1</v>
      </c>
      <c r="E193" s="62">
        <v>3550</v>
      </c>
      <c r="F193" s="62">
        <f t="shared" si="69"/>
        <v>6</v>
      </c>
      <c r="G193" s="62">
        <f t="shared" si="69"/>
        <v>27031.35</v>
      </c>
      <c r="H193" s="61">
        <v>0</v>
      </c>
      <c r="I193" s="61">
        <v>0</v>
      </c>
      <c r="J193" s="61">
        <f t="shared" si="70"/>
        <v>8</v>
      </c>
      <c r="K193" s="61">
        <f t="shared" si="70"/>
        <v>25430</v>
      </c>
      <c r="L193" s="6">
        <v>1</v>
      </c>
      <c r="M193" s="6">
        <v>580</v>
      </c>
      <c r="N193" s="62">
        <f t="shared" si="71"/>
        <v>5</v>
      </c>
      <c r="O193" s="62">
        <f t="shared" si="72"/>
        <v>4500</v>
      </c>
    </row>
    <row r="194" spans="1:15" x14ac:dyDescent="0.25">
      <c r="A194" s="6" t="s">
        <v>95</v>
      </c>
      <c r="B194" s="6" t="s">
        <v>158</v>
      </c>
      <c r="C194" s="6">
        <v>1</v>
      </c>
      <c r="D194" s="63">
        <v>0</v>
      </c>
      <c r="E194" s="63">
        <v>0</v>
      </c>
      <c r="F194" s="62">
        <f>D194</f>
        <v>0</v>
      </c>
      <c r="G194" s="62">
        <f>E194</f>
        <v>0</v>
      </c>
      <c r="H194" s="61">
        <v>1</v>
      </c>
      <c r="I194" s="61">
        <v>3042</v>
      </c>
      <c r="J194" s="61">
        <f>H194</f>
        <v>1</v>
      </c>
      <c r="K194" s="61">
        <f>I194</f>
        <v>3042</v>
      </c>
      <c r="L194" s="6">
        <v>1</v>
      </c>
      <c r="M194" s="6">
        <v>2463</v>
      </c>
      <c r="N194" s="62">
        <f>L194</f>
        <v>1</v>
      </c>
      <c r="O194" s="62">
        <f>M194</f>
        <v>2463</v>
      </c>
    </row>
    <row r="195" spans="1:15" x14ac:dyDescent="0.25">
      <c r="A195" s="6" t="s">
        <v>95</v>
      </c>
      <c r="B195" s="6" t="s">
        <v>159</v>
      </c>
      <c r="C195" s="6">
        <v>2</v>
      </c>
      <c r="D195" s="63">
        <v>1</v>
      </c>
      <c r="E195" s="63">
        <v>800</v>
      </c>
      <c r="F195" s="62">
        <f t="shared" ref="F195:G205" si="73">F194+D195</f>
        <v>1</v>
      </c>
      <c r="G195" s="62">
        <f t="shared" si="73"/>
        <v>800</v>
      </c>
      <c r="H195" s="61">
        <v>0</v>
      </c>
      <c r="I195" s="61">
        <v>0</v>
      </c>
      <c r="J195" s="61">
        <f t="shared" ref="J195:K205" si="74">J194+H195</f>
        <v>1</v>
      </c>
      <c r="K195" s="61">
        <f t="shared" si="74"/>
        <v>3042</v>
      </c>
      <c r="L195" s="6">
        <v>1</v>
      </c>
      <c r="M195" s="6">
        <v>870</v>
      </c>
      <c r="N195" s="62">
        <f t="shared" ref="N195:N205" si="75">N194+L195</f>
        <v>2</v>
      </c>
      <c r="O195" s="62">
        <f t="shared" ref="O195:O205" si="76">O194+M195</f>
        <v>3333</v>
      </c>
    </row>
    <row r="196" spans="1:15" x14ac:dyDescent="0.25">
      <c r="A196" s="6" t="s">
        <v>95</v>
      </c>
      <c r="B196" s="6" t="s">
        <v>160</v>
      </c>
      <c r="C196" s="6">
        <v>3</v>
      </c>
      <c r="D196" s="63">
        <v>0</v>
      </c>
      <c r="E196" s="63">
        <v>0</v>
      </c>
      <c r="F196" s="62">
        <f t="shared" si="73"/>
        <v>1</v>
      </c>
      <c r="G196" s="62">
        <f t="shared" si="73"/>
        <v>800</v>
      </c>
      <c r="H196" s="61">
        <v>0</v>
      </c>
      <c r="I196" s="61">
        <v>0</v>
      </c>
      <c r="J196" s="61">
        <f t="shared" si="74"/>
        <v>1</v>
      </c>
      <c r="K196" s="61">
        <f t="shared" si="74"/>
        <v>3042</v>
      </c>
      <c r="L196" s="6">
        <v>0</v>
      </c>
      <c r="M196" s="6">
        <v>0</v>
      </c>
      <c r="N196" s="62">
        <f t="shared" si="75"/>
        <v>2</v>
      </c>
      <c r="O196" s="62">
        <f t="shared" si="76"/>
        <v>3333</v>
      </c>
    </row>
    <row r="197" spans="1:15" x14ac:dyDescent="0.25">
      <c r="A197" s="6" t="s">
        <v>95</v>
      </c>
      <c r="B197" s="6" t="s">
        <v>161</v>
      </c>
      <c r="C197" s="6">
        <v>4</v>
      </c>
      <c r="D197" s="63">
        <v>0</v>
      </c>
      <c r="E197" s="63">
        <v>0</v>
      </c>
      <c r="F197" s="62">
        <f t="shared" si="73"/>
        <v>1</v>
      </c>
      <c r="G197" s="62">
        <f t="shared" si="73"/>
        <v>800</v>
      </c>
      <c r="H197" s="61">
        <v>0</v>
      </c>
      <c r="I197" s="61">
        <v>0</v>
      </c>
      <c r="J197" s="61">
        <f t="shared" si="74"/>
        <v>1</v>
      </c>
      <c r="K197" s="61">
        <f t="shared" si="74"/>
        <v>3042</v>
      </c>
      <c r="L197" s="6">
        <v>0</v>
      </c>
      <c r="M197" s="6">
        <v>0</v>
      </c>
      <c r="N197" s="62">
        <f t="shared" si="75"/>
        <v>2</v>
      </c>
      <c r="O197" s="62">
        <f t="shared" si="76"/>
        <v>3333</v>
      </c>
    </row>
    <row r="198" spans="1:15" x14ac:dyDescent="0.25">
      <c r="A198" s="6" t="s">
        <v>95</v>
      </c>
      <c r="B198" s="6" t="s">
        <v>162</v>
      </c>
      <c r="C198" s="6">
        <v>5</v>
      </c>
      <c r="D198" s="63">
        <v>0</v>
      </c>
      <c r="E198" s="63">
        <v>0</v>
      </c>
      <c r="F198" s="62">
        <f t="shared" si="73"/>
        <v>1</v>
      </c>
      <c r="G198" s="62">
        <f t="shared" si="73"/>
        <v>800</v>
      </c>
      <c r="H198" s="61">
        <v>0</v>
      </c>
      <c r="I198" s="61">
        <v>0</v>
      </c>
      <c r="J198" s="61">
        <f t="shared" si="74"/>
        <v>1</v>
      </c>
      <c r="K198" s="61">
        <f t="shared" si="74"/>
        <v>3042</v>
      </c>
      <c r="L198" s="6">
        <v>0</v>
      </c>
      <c r="M198" s="6">
        <v>0</v>
      </c>
      <c r="N198" s="62">
        <f t="shared" si="75"/>
        <v>2</v>
      </c>
      <c r="O198" s="62">
        <f t="shared" si="76"/>
        <v>3333</v>
      </c>
    </row>
    <row r="199" spans="1:15" x14ac:dyDescent="0.25">
      <c r="A199" s="6" t="s">
        <v>95</v>
      </c>
      <c r="B199" s="6" t="s">
        <v>163</v>
      </c>
      <c r="C199" s="6">
        <v>6</v>
      </c>
      <c r="D199" s="63">
        <v>0</v>
      </c>
      <c r="E199" s="63">
        <v>0</v>
      </c>
      <c r="F199" s="62">
        <f t="shared" si="73"/>
        <v>1</v>
      </c>
      <c r="G199" s="62">
        <f t="shared" si="73"/>
        <v>800</v>
      </c>
      <c r="H199" s="61">
        <v>1</v>
      </c>
      <c r="I199" s="61">
        <v>942.5</v>
      </c>
      <c r="J199" s="61">
        <f t="shared" si="74"/>
        <v>2</v>
      </c>
      <c r="K199" s="61">
        <f t="shared" si="74"/>
        <v>3984.5</v>
      </c>
      <c r="L199" s="6">
        <v>0</v>
      </c>
      <c r="M199" s="6">
        <v>0</v>
      </c>
      <c r="N199" s="62">
        <f t="shared" si="75"/>
        <v>2</v>
      </c>
      <c r="O199" s="62">
        <f t="shared" si="76"/>
        <v>3333</v>
      </c>
    </row>
    <row r="200" spans="1:15" x14ac:dyDescent="0.25">
      <c r="A200" s="6" t="s">
        <v>95</v>
      </c>
      <c r="B200" s="6" t="s">
        <v>164</v>
      </c>
      <c r="C200" s="6">
        <v>7</v>
      </c>
      <c r="D200" s="63">
        <v>0</v>
      </c>
      <c r="E200" s="63">
        <v>0</v>
      </c>
      <c r="F200" s="62">
        <f t="shared" si="73"/>
        <v>1</v>
      </c>
      <c r="G200" s="62">
        <f t="shared" si="73"/>
        <v>800</v>
      </c>
      <c r="H200" s="61">
        <v>0</v>
      </c>
      <c r="I200" s="61">
        <v>0</v>
      </c>
      <c r="J200" s="61">
        <f t="shared" si="74"/>
        <v>2</v>
      </c>
      <c r="K200" s="61">
        <f t="shared" si="74"/>
        <v>3984.5</v>
      </c>
      <c r="L200" s="6">
        <v>0</v>
      </c>
      <c r="M200" s="6">
        <v>0</v>
      </c>
      <c r="N200" s="62">
        <f t="shared" si="75"/>
        <v>2</v>
      </c>
      <c r="O200" s="62">
        <f t="shared" si="76"/>
        <v>3333</v>
      </c>
    </row>
    <row r="201" spans="1:15" x14ac:dyDescent="0.25">
      <c r="A201" s="6" t="s">
        <v>95</v>
      </c>
      <c r="B201" s="6" t="s">
        <v>165</v>
      </c>
      <c r="C201" s="6">
        <v>8</v>
      </c>
      <c r="D201" s="63">
        <v>0</v>
      </c>
      <c r="E201" s="63">
        <v>0</v>
      </c>
      <c r="F201" s="62">
        <f t="shared" si="73"/>
        <v>1</v>
      </c>
      <c r="G201" s="62">
        <f t="shared" si="73"/>
        <v>800</v>
      </c>
      <c r="H201" s="61">
        <v>1</v>
      </c>
      <c r="I201" s="61">
        <v>826</v>
      </c>
      <c r="J201" s="61">
        <f t="shared" si="74"/>
        <v>3</v>
      </c>
      <c r="K201" s="61">
        <f t="shared" si="74"/>
        <v>4810.5</v>
      </c>
      <c r="L201" s="6">
        <v>2</v>
      </c>
      <c r="M201" s="6">
        <v>4500</v>
      </c>
      <c r="N201" s="62">
        <f t="shared" si="75"/>
        <v>4</v>
      </c>
      <c r="O201" s="62">
        <f t="shared" si="76"/>
        <v>7833</v>
      </c>
    </row>
    <row r="202" spans="1:15" x14ac:dyDescent="0.25">
      <c r="A202" s="6" t="s">
        <v>95</v>
      </c>
      <c r="B202" s="6" t="s">
        <v>166</v>
      </c>
      <c r="C202" s="6">
        <v>9</v>
      </c>
      <c r="D202" s="62">
        <v>2</v>
      </c>
      <c r="E202" s="62">
        <v>24472</v>
      </c>
      <c r="F202" s="62">
        <f t="shared" si="73"/>
        <v>3</v>
      </c>
      <c r="G202" s="62">
        <f t="shared" si="73"/>
        <v>25272</v>
      </c>
      <c r="H202" s="61">
        <v>0</v>
      </c>
      <c r="I202" s="61">
        <v>0</v>
      </c>
      <c r="J202" s="61">
        <f t="shared" si="74"/>
        <v>3</v>
      </c>
      <c r="K202" s="61">
        <f t="shared" si="74"/>
        <v>4810.5</v>
      </c>
      <c r="L202" s="6">
        <v>1</v>
      </c>
      <c r="M202" s="6">
        <v>800</v>
      </c>
      <c r="N202" s="62">
        <f t="shared" si="75"/>
        <v>5</v>
      </c>
      <c r="O202" s="62">
        <f t="shared" si="76"/>
        <v>8633</v>
      </c>
    </row>
    <row r="203" spans="1:15" x14ac:dyDescent="0.25">
      <c r="A203" s="6" t="s">
        <v>95</v>
      </c>
      <c r="B203" s="6" t="s">
        <v>167</v>
      </c>
      <c r="C203" s="6">
        <v>10</v>
      </c>
      <c r="D203" s="63">
        <v>0</v>
      </c>
      <c r="E203" s="63">
        <v>0</v>
      </c>
      <c r="F203" s="62">
        <f t="shared" si="73"/>
        <v>3</v>
      </c>
      <c r="G203" s="62">
        <f t="shared" si="73"/>
        <v>25272</v>
      </c>
      <c r="H203" s="61">
        <v>2</v>
      </c>
      <c r="I203" s="61">
        <v>2248</v>
      </c>
      <c r="J203" s="61">
        <f t="shared" si="74"/>
        <v>5</v>
      </c>
      <c r="K203" s="61">
        <f t="shared" si="74"/>
        <v>7058.5</v>
      </c>
      <c r="L203" s="6">
        <v>2</v>
      </c>
      <c r="M203" s="6">
        <v>23500</v>
      </c>
      <c r="N203" s="62">
        <f t="shared" si="75"/>
        <v>7</v>
      </c>
      <c r="O203" s="62">
        <f t="shared" si="76"/>
        <v>32133</v>
      </c>
    </row>
    <row r="204" spans="1:15" x14ac:dyDescent="0.25">
      <c r="A204" s="6" t="s">
        <v>95</v>
      </c>
      <c r="B204" s="6" t="s">
        <v>168</v>
      </c>
      <c r="C204" s="6">
        <v>11</v>
      </c>
      <c r="D204" s="63">
        <v>0</v>
      </c>
      <c r="E204" s="63">
        <v>0</v>
      </c>
      <c r="F204" s="62">
        <f t="shared" si="73"/>
        <v>3</v>
      </c>
      <c r="G204" s="62">
        <f t="shared" si="73"/>
        <v>25272</v>
      </c>
      <c r="H204" s="61">
        <v>1</v>
      </c>
      <c r="I204" s="61">
        <v>440</v>
      </c>
      <c r="J204" s="61">
        <f t="shared" si="74"/>
        <v>6</v>
      </c>
      <c r="K204" s="61">
        <f t="shared" si="74"/>
        <v>7498.5</v>
      </c>
      <c r="L204" s="6">
        <v>2</v>
      </c>
      <c r="M204" s="6">
        <v>801</v>
      </c>
      <c r="N204" s="62">
        <f t="shared" si="75"/>
        <v>9</v>
      </c>
      <c r="O204" s="62">
        <f t="shared" si="76"/>
        <v>32934</v>
      </c>
    </row>
    <row r="205" spans="1:15" x14ac:dyDescent="0.25">
      <c r="A205" s="6" t="s">
        <v>95</v>
      </c>
      <c r="B205" s="6" t="s">
        <v>169</v>
      </c>
      <c r="C205" s="6">
        <v>12</v>
      </c>
      <c r="D205" s="63">
        <v>0</v>
      </c>
      <c r="E205" s="63">
        <v>0</v>
      </c>
      <c r="F205" s="62">
        <f t="shared" si="73"/>
        <v>3</v>
      </c>
      <c r="G205" s="62">
        <f t="shared" si="73"/>
        <v>25272</v>
      </c>
      <c r="H205" s="61">
        <v>3</v>
      </c>
      <c r="I205" s="61">
        <v>39849</v>
      </c>
      <c r="J205" s="61">
        <f t="shared" si="74"/>
        <v>9</v>
      </c>
      <c r="K205" s="61">
        <f t="shared" si="74"/>
        <v>47347.5</v>
      </c>
      <c r="L205" s="6">
        <v>2</v>
      </c>
      <c r="M205" s="6">
        <v>3997</v>
      </c>
      <c r="N205" s="62">
        <f t="shared" si="75"/>
        <v>11</v>
      </c>
      <c r="O205" s="62">
        <f t="shared" si="76"/>
        <v>36931</v>
      </c>
    </row>
    <row r="206" spans="1:15" x14ac:dyDescent="0.25">
      <c r="A206" s="6" t="s">
        <v>132</v>
      </c>
      <c r="B206" s="6" t="s">
        <v>158</v>
      </c>
      <c r="C206" s="6">
        <v>1</v>
      </c>
      <c r="D206" s="63">
        <v>1</v>
      </c>
      <c r="E206" s="63">
        <v>10207.99</v>
      </c>
      <c r="F206" s="62">
        <f>D206</f>
        <v>1</v>
      </c>
      <c r="G206" s="62">
        <f>E206</f>
        <v>10207.99</v>
      </c>
      <c r="H206" s="61">
        <v>1</v>
      </c>
      <c r="I206" s="61">
        <v>6100</v>
      </c>
      <c r="J206" s="61">
        <f>H206</f>
        <v>1</v>
      </c>
      <c r="K206" s="61">
        <f>I206</f>
        <v>6100</v>
      </c>
      <c r="L206" s="6">
        <v>2</v>
      </c>
      <c r="M206" s="6">
        <v>14200</v>
      </c>
      <c r="N206" s="62">
        <f>L206</f>
        <v>2</v>
      </c>
      <c r="O206" s="62">
        <f>M206</f>
        <v>14200</v>
      </c>
    </row>
    <row r="207" spans="1:15" x14ac:dyDescent="0.25">
      <c r="A207" s="6" t="s">
        <v>132</v>
      </c>
      <c r="B207" s="6" t="s">
        <v>159</v>
      </c>
      <c r="C207" s="6">
        <v>2</v>
      </c>
      <c r="D207" s="63">
        <v>0</v>
      </c>
      <c r="E207" s="63">
        <v>0</v>
      </c>
      <c r="F207" s="62">
        <f t="shared" ref="F207:G217" si="77">F206+D207</f>
        <v>1</v>
      </c>
      <c r="G207" s="62">
        <f t="shared" si="77"/>
        <v>10207.99</v>
      </c>
      <c r="H207" s="61">
        <v>1</v>
      </c>
      <c r="I207" s="61">
        <v>1800</v>
      </c>
      <c r="J207" s="61">
        <f t="shared" ref="J207:K217" si="78">J206+H207</f>
        <v>2</v>
      </c>
      <c r="K207" s="61">
        <f t="shared" si="78"/>
        <v>7900</v>
      </c>
      <c r="L207" s="6">
        <v>2</v>
      </c>
      <c r="M207" s="6">
        <v>13500</v>
      </c>
      <c r="N207" s="62">
        <f t="shared" ref="N207:N217" si="79">N206+L207</f>
        <v>4</v>
      </c>
      <c r="O207" s="62">
        <f t="shared" ref="O207:O217" si="80">O206+M207</f>
        <v>27700</v>
      </c>
    </row>
    <row r="208" spans="1:15" x14ac:dyDescent="0.25">
      <c r="A208" s="6" t="s">
        <v>132</v>
      </c>
      <c r="B208" s="6" t="s">
        <v>160</v>
      </c>
      <c r="C208" s="6">
        <v>3</v>
      </c>
      <c r="D208" s="63">
        <v>1</v>
      </c>
      <c r="E208" s="63">
        <v>8837.9500000000007</v>
      </c>
      <c r="F208" s="62">
        <f t="shared" si="77"/>
        <v>2</v>
      </c>
      <c r="G208" s="62">
        <f t="shared" si="77"/>
        <v>19045.940000000002</v>
      </c>
      <c r="H208" s="61">
        <v>0</v>
      </c>
      <c r="I208" s="61">
        <v>0</v>
      </c>
      <c r="J208" s="61">
        <f t="shared" si="78"/>
        <v>2</v>
      </c>
      <c r="K208" s="61">
        <f t="shared" si="78"/>
        <v>7900</v>
      </c>
      <c r="L208" s="6">
        <v>1</v>
      </c>
      <c r="M208" s="6">
        <v>13000</v>
      </c>
      <c r="N208" s="62">
        <f t="shared" si="79"/>
        <v>5</v>
      </c>
      <c r="O208" s="62">
        <f t="shared" si="80"/>
        <v>40700</v>
      </c>
    </row>
    <row r="209" spans="1:15" x14ac:dyDescent="0.25">
      <c r="A209" s="6" t="s">
        <v>132</v>
      </c>
      <c r="B209" s="6" t="s">
        <v>161</v>
      </c>
      <c r="C209" s="6">
        <v>4</v>
      </c>
      <c r="D209" s="63">
        <v>1</v>
      </c>
      <c r="E209" s="63">
        <v>3000</v>
      </c>
      <c r="F209" s="62">
        <f t="shared" si="77"/>
        <v>3</v>
      </c>
      <c r="G209" s="62">
        <f t="shared" si="77"/>
        <v>22045.940000000002</v>
      </c>
      <c r="H209" s="61">
        <v>3</v>
      </c>
      <c r="I209" s="61">
        <v>7800</v>
      </c>
      <c r="J209" s="61">
        <f t="shared" si="78"/>
        <v>5</v>
      </c>
      <c r="K209" s="61">
        <f t="shared" si="78"/>
        <v>15700</v>
      </c>
      <c r="L209" s="6">
        <v>2</v>
      </c>
      <c r="M209" s="6">
        <v>20864</v>
      </c>
      <c r="N209" s="62">
        <f t="shared" si="79"/>
        <v>7</v>
      </c>
      <c r="O209" s="62">
        <f t="shared" si="80"/>
        <v>61564</v>
      </c>
    </row>
    <row r="210" spans="1:15" x14ac:dyDescent="0.25">
      <c r="A210" s="6" t="s">
        <v>132</v>
      </c>
      <c r="B210" s="6" t="s">
        <v>162</v>
      </c>
      <c r="C210" s="6">
        <v>5</v>
      </c>
      <c r="D210" s="63">
        <v>0</v>
      </c>
      <c r="E210" s="63">
        <v>0</v>
      </c>
      <c r="F210" s="62">
        <f t="shared" si="77"/>
        <v>3</v>
      </c>
      <c r="G210" s="62">
        <f t="shared" si="77"/>
        <v>22045.940000000002</v>
      </c>
      <c r="H210" s="61">
        <v>3</v>
      </c>
      <c r="I210" s="61">
        <v>20920</v>
      </c>
      <c r="J210" s="61">
        <f t="shared" si="78"/>
        <v>8</v>
      </c>
      <c r="K210" s="61">
        <f t="shared" si="78"/>
        <v>36620</v>
      </c>
      <c r="L210" s="6">
        <v>0</v>
      </c>
      <c r="M210" s="6">
        <v>0</v>
      </c>
      <c r="N210" s="62">
        <f t="shared" si="79"/>
        <v>7</v>
      </c>
      <c r="O210" s="62">
        <f t="shared" si="80"/>
        <v>61564</v>
      </c>
    </row>
    <row r="211" spans="1:15" x14ac:dyDescent="0.25">
      <c r="A211" s="6" t="s">
        <v>132</v>
      </c>
      <c r="B211" s="6" t="s">
        <v>163</v>
      </c>
      <c r="C211" s="6">
        <v>6</v>
      </c>
      <c r="D211" s="63">
        <v>2</v>
      </c>
      <c r="E211" s="62">
        <v>22795</v>
      </c>
      <c r="F211" s="62">
        <f t="shared" si="77"/>
        <v>5</v>
      </c>
      <c r="G211" s="62">
        <f t="shared" si="77"/>
        <v>44840.94</v>
      </c>
      <c r="H211" s="61">
        <v>1</v>
      </c>
      <c r="I211" s="61">
        <v>3500</v>
      </c>
      <c r="J211" s="61">
        <f t="shared" si="78"/>
        <v>9</v>
      </c>
      <c r="K211" s="61">
        <f t="shared" si="78"/>
        <v>40120</v>
      </c>
      <c r="L211" s="6">
        <v>2</v>
      </c>
      <c r="M211" s="6">
        <v>13600</v>
      </c>
      <c r="N211" s="62">
        <f t="shared" si="79"/>
        <v>9</v>
      </c>
      <c r="O211" s="62">
        <f t="shared" si="80"/>
        <v>75164</v>
      </c>
    </row>
    <row r="212" spans="1:15" x14ac:dyDescent="0.25">
      <c r="A212" s="6" t="s">
        <v>132</v>
      </c>
      <c r="B212" s="6" t="s">
        <v>164</v>
      </c>
      <c r="C212" s="6">
        <v>7</v>
      </c>
      <c r="D212" s="63">
        <v>2</v>
      </c>
      <c r="E212" s="63">
        <v>10000</v>
      </c>
      <c r="F212" s="62">
        <f t="shared" si="77"/>
        <v>7</v>
      </c>
      <c r="G212" s="62">
        <f t="shared" si="77"/>
        <v>54840.94</v>
      </c>
      <c r="H212" s="61">
        <v>1</v>
      </c>
      <c r="I212" s="61">
        <v>600</v>
      </c>
      <c r="J212" s="61">
        <f t="shared" si="78"/>
        <v>10</v>
      </c>
      <c r="K212" s="61">
        <f t="shared" si="78"/>
        <v>40720</v>
      </c>
      <c r="L212" s="6">
        <v>3</v>
      </c>
      <c r="M212" s="6">
        <v>11600</v>
      </c>
      <c r="N212" s="62">
        <f t="shared" si="79"/>
        <v>12</v>
      </c>
      <c r="O212" s="62">
        <f t="shared" si="80"/>
        <v>86764</v>
      </c>
    </row>
    <row r="213" spans="1:15" x14ac:dyDescent="0.25">
      <c r="A213" s="6" t="s">
        <v>132</v>
      </c>
      <c r="B213" s="6" t="s">
        <v>165</v>
      </c>
      <c r="C213" s="6">
        <v>8</v>
      </c>
      <c r="D213" s="63">
        <v>4</v>
      </c>
      <c r="E213" s="62">
        <v>46069.919999999998</v>
      </c>
      <c r="F213" s="62">
        <f t="shared" si="77"/>
        <v>11</v>
      </c>
      <c r="G213" s="62">
        <f t="shared" si="77"/>
        <v>100910.86</v>
      </c>
      <c r="H213" s="61">
        <v>2</v>
      </c>
      <c r="I213" s="61">
        <v>13200</v>
      </c>
      <c r="J213" s="61">
        <f t="shared" si="78"/>
        <v>12</v>
      </c>
      <c r="K213" s="61">
        <f t="shared" si="78"/>
        <v>53920</v>
      </c>
      <c r="L213" s="6">
        <v>1</v>
      </c>
      <c r="M213" s="6">
        <v>1200</v>
      </c>
      <c r="N213" s="62">
        <f t="shared" si="79"/>
        <v>13</v>
      </c>
      <c r="O213" s="62">
        <f t="shared" si="80"/>
        <v>87964</v>
      </c>
    </row>
    <row r="214" spans="1:15" x14ac:dyDescent="0.25">
      <c r="A214" s="6" t="s">
        <v>132</v>
      </c>
      <c r="B214" s="6" t="s">
        <v>166</v>
      </c>
      <c r="C214" s="6">
        <v>9</v>
      </c>
      <c r="D214" s="63">
        <v>1</v>
      </c>
      <c r="E214" s="63">
        <v>9000</v>
      </c>
      <c r="F214" s="62">
        <f t="shared" si="77"/>
        <v>12</v>
      </c>
      <c r="G214" s="62">
        <f t="shared" si="77"/>
        <v>109910.86</v>
      </c>
      <c r="H214" s="61">
        <v>4</v>
      </c>
      <c r="I214" s="61">
        <v>28300</v>
      </c>
      <c r="J214" s="61">
        <f t="shared" si="78"/>
        <v>16</v>
      </c>
      <c r="K214" s="61">
        <f t="shared" si="78"/>
        <v>82220</v>
      </c>
      <c r="L214" s="6">
        <v>2</v>
      </c>
      <c r="M214" s="6">
        <v>9100</v>
      </c>
      <c r="N214" s="62">
        <f t="shared" si="79"/>
        <v>15</v>
      </c>
      <c r="O214" s="62">
        <f t="shared" si="80"/>
        <v>97064</v>
      </c>
    </row>
    <row r="215" spans="1:15" x14ac:dyDescent="0.25">
      <c r="A215" s="6" t="s">
        <v>132</v>
      </c>
      <c r="B215" s="6" t="s">
        <v>167</v>
      </c>
      <c r="C215" s="6">
        <v>10</v>
      </c>
      <c r="D215" s="63">
        <v>5</v>
      </c>
      <c r="E215" s="62">
        <v>41696</v>
      </c>
      <c r="F215" s="62">
        <f t="shared" si="77"/>
        <v>17</v>
      </c>
      <c r="G215" s="62">
        <f t="shared" si="77"/>
        <v>151606.85999999999</v>
      </c>
      <c r="H215" s="61">
        <v>2</v>
      </c>
      <c r="I215" s="61">
        <v>53800</v>
      </c>
      <c r="J215" s="61">
        <f t="shared" si="78"/>
        <v>18</v>
      </c>
      <c r="K215" s="61">
        <f t="shared" si="78"/>
        <v>136020</v>
      </c>
      <c r="L215" s="6">
        <v>2</v>
      </c>
      <c r="M215" s="6">
        <v>2100</v>
      </c>
      <c r="N215" s="62">
        <f t="shared" si="79"/>
        <v>17</v>
      </c>
      <c r="O215" s="62">
        <f t="shared" si="80"/>
        <v>99164</v>
      </c>
    </row>
    <row r="216" spans="1:15" x14ac:dyDescent="0.25">
      <c r="A216" s="6" t="s">
        <v>132</v>
      </c>
      <c r="B216" s="6" t="s">
        <v>168</v>
      </c>
      <c r="C216" s="6">
        <v>11</v>
      </c>
      <c r="D216" s="63">
        <v>7</v>
      </c>
      <c r="E216" s="62">
        <v>36260</v>
      </c>
      <c r="F216" s="62">
        <f t="shared" si="77"/>
        <v>24</v>
      </c>
      <c r="G216" s="62">
        <f t="shared" si="77"/>
        <v>187866.86</v>
      </c>
      <c r="H216" s="61">
        <v>2</v>
      </c>
      <c r="I216" s="61">
        <v>8200</v>
      </c>
      <c r="J216" s="61">
        <f t="shared" si="78"/>
        <v>20</v>
      </c>
      <c r="K216" s="61">
        <f t="shared" si="78"/>
        <v>144220</v>
      </c>
      <c r="L216" s="6">
        <v>0</v>
      </c>
      <c r="M216" s="6">
        <v>0</v>
      </c>
      <c r="N216" s="62">
        <f t="shared" si="79"/>
        <v>17</v>
      </c>
      <c r="O216" s="62">
        <f t="shared" si="80"/>
        <v>99164</v>
      </c>
    </row>
    <row r="217" spans="1:15" x14ac:dyDescent="0.25">
      <c r="A217" s="6" t="s">
        <v>132</v>
      </c>
      <c r="B217" s="6" t="s">
        <v>169</v>
      </c>
      <c r="C217" s="6">
        <v>12</v>
      </c>
      <c r="D217" s="63">
        <v>1</v>
      </c>
      <c r="E217" s="63">
        <v>11591.9</v>
      </c>
      <c r="F217" s="62">
        <f t="shared" si="77"/>
        <v>25</v>
      </c>
      <c r="G217" s="62">
        <f t="shared" si="77"/>
        <v>199458.75999999998</v>
      </c>
      <c r="H217" s="61">
        <v>1</v>
      </c>
      <c r="I217" s="61">
        <v>12400</v>
      </c>
      <c r="J217" s="61">
        <f t="shared" si="78"/>
        <v>21</v>
      </c>
      <c r="K217" s="61">
        <f t="shared" si="78"/>
        <v>156620</v>
      </c>
      <c r="L217" s="6">
        <v>0</v>
      </c>
      <c r="M217" s="6">
        <v>0</v>
      </c>
      <c r="N217" s="62">
        <f t="shared" si="79"/>
        <v>17</v>
      </c>
      <c r="O217" s="62">
        <f t="shared" si="80"/>
        <v>99164</v>
      </c>
    </row>
    <row r="218" spans="1:15" x14ac:dyDescent="0.25">
      <c r="A218" s="6" t="s">
        <v>74</v>
      </c>
      <c r="B218" s="6" t="s">
        <v>158</v>
      </c>
      <c r="C218" s="6">
        <v>1</v>
      </c>
      <c r="D218" s="63">
        <v>0</v>
      </c>
      <c r="E218" s="63">
        <v>0</v>
      </c>
      <c r="F218" s="62">
        <f>D218</f>
        <v>0</v>
      </c>
      <c r="G218" s="62">
        <f>E218</f>
        <v>0</v>
      </c>
      <c r="H218" s="61">
        <v>0</v>
      </c>
      <c r="I218" s="61">
        <v>0</v>
      </c>
      <c r="J218" s="61">
        <f>H218</f>
        <v>0</v>
      </c>
      <c r="K218" s="61">
        <f>I218</f>
        <v>0</v>
      </c>
      <c r="L218" s="6">
        <v>0</v>
      </c>
      <c r="M218" s="6">
        <v>0</v>
      </c>
      <c r="N218" s="62">
        <f>L218</f>
        <v>0</v>
      </c>
      <c r="O218" s="62">
        <f>M218</f>
        <v>0</v>
      </c>
    </row>
    <row r="219" spans="1:15" x14ac:dyDescent="0.25">
      <c r="A219" s="6" t="s">
        <v>74</v>
      </c>
      <c r="B219" s="6" t="s">
        <v>159</v>
      </c>
      <c r="C219" s="6">
        <v>2</v>
      </c>
      <c r="D219" s="63">
        <v>0</v>
      </c>
      <c r="E219" s="63">
        <v>0</v>
      </c>
      <c r="F219" s="62">
        <f t="shared" ref="F219:G229" si="81">F218+D219</f>
        <v>0</v>
      </c>
      <c r="G219" s="62">
        <f t="shared" si="81"/>
        <v>0</v>
      </c>
      <c r="H219" s="61">
        <v>0</v>
      </c>
      <c r="I219" s="61">
        <v>0</v>
      </c>
      <c r="J219" s="61">
        <f t="shared" ref="J219:K229" si="82">J218+H219</f>
        <v>0</v>
      </c>
      <c r="K219" s="61">
        <f t="shared" si="82"/>
        <v>0</v>
      </c>
      <c r="L219" s="6">
        <v>1</v>
      </c>
      <c r="M219" s="6">
        <v>35</v>
      </c>
      <c r="N219" s="62">
        <f t="shared" ref="N219:N229" si="83">N218+L219</f>
        <v>1</v>
      </c>
      <c r="O219" s="62">
        <f t="shared" ref="O219:O229" si="84">O218+M219</f>
        <v>35</v>
      </c>
    </row>
    <row r="220" spans="1:15" x14ac:dyDescent="0.25">
      <c r="A220" s="6" t="s">
        <v>74</v>
      </c>
      <c r="B220" s="6" t="s">
        <v>160</v>
      </c>
      <c r="C220" s="6">
        <v>3</v>
      </c>
      <c r="D220" s="63">
        <v>0</v>
      </c>
      <c r="E220" s="63">
        <v>0</v>
      </c>
      <c r="F220" s="62">
        <f t="shared" si="81"/>
        <v>0</v>
      </c>
      <c r="G220" s="62">
        <f t="shared" si="81"/>
        <v>0</v>
      </c>
      <c r="H220" s="61">
        <v>0</v>
      </c>
      <c r="I220" s="61">
        <v>0</v>
      </c>
      <c r="J220" s="61">
        <f t="shared" si="82"/>
        <v>0</v>
      </c>
      <c r="K220" s="61">
        <f t="shared" si="82"/>
        <v>0</v>
      </c>
      <c r="L220" s="6">
        <v>0</v>
      </c>
      <c r="M220" s="6">
        <v>0</v>
      </c>
      <c r="N220" s="62">
        <f t="shared" si="83"/>
        <v>1</v>
      </c>
      <c r="O220" s="62">
        <f t="shared" si="84"/>
        <v>35</v>
      </c>
    </row>
    <row r="221" spans="1:15" x14ac:dyDescent="0.25">
      <c r="A221" s="6" t="s">
        <v>74</v>
      </c>
      <c r="B221" s="6" t="s">
        <v>161</v>
      </c>
      <c r="C221" s="6">
        <v>4</v>
      </c>
      <c r="D221" s="63">
        <v>0</v>
      </c>
      <c r="E221" s="63">
        <v>0</v>
      </c>
      <c r="F221" s="62">
        <f t="shared" si="81"/>
        <v>0</v>
      </c>
      <c r="G221" s="62">
        <f t="shared" si="81"/>
        <v>0</v>
      </c>
      <c r="H221" s="61">
        <v>1</v>
      </c>
      <c r="I221" s="61">
        <v>700</v>
      </c>
      <c r="J221" s="61">
        <f t="shared" si="82"/>
        <v>1</v>
      </c>
      <c r="K221" s="61">
        <f t="shared" si="82"/>
        <v>700</v>
      </c>
      <c r="L221" s="6">
        <v>1</v>
      </c>
      <c r="M221" s="6">
        <v>35</v>
      </c>
      <c r="N221" s="62">
        <f t="shared" si="83"/>
        <v>2</v>
      </c>
      <c r="O221" s="62">
        <f t="shared" si="84"/>
        <v>70</v>
      </c>
    </row>
    <row r="222" spans="1:15" x14ac:dyDescent="0.25">
      <c r="A222" s="6" t="s">
        <v>74</v>
      </c>
      <c r="B222" s="6" t="s">
        <v>162</v>
      </c>
      <c r="C222" s="6">
        <v>5</v>
      </c>
      <c r="D222" s="63">
        <v>0</v>
      </c>
      <c r="E222" s="63">
        <v>0</v>
      </c>
      <c r="F222" s="62">
        <f t="shared" si="81"/>
        <v>0</v>
      </c>
      <c r="G222" s="62">
        <f t="shared" si="81"/>
        <v>0</v>
      </c>
      <c r="H222" s="61">
        <v>4</v>
      </c>
      <c r="I222" s="61">
        <v>15650</v>
      </c>
      <c r="J222" s="61">
        <f t="shared" si="82"/>
        <v>5</v>
      </c>
      <c r="K222" s="61">
        <f t="shared" si="82"/>
        <v>16350</v>
      </c>
      <c r="L222" s="6">
        <v>1</v>
      </c>
      <c r="M222" s="6">
        <v>1260</v>
      </c>
      <c r="N222" s="62">
        <f t="shared" si="83"/>
        <v>3</v>
      </c>
      <c r="O222" s="62">
        <f t="shared" si="84"/>
        <v>1330</v>
      </c>
    </row>
    <row r="223" spans="1:15" x14ac:dyDescent="0.25">
      <c r="A223" s="6" t="s">
        <v>74</v>
      </c>
      <c r="B223" s="6" t="s">
        <v>163</v>
      </c>
      <c r="C223" s="6">
        <v>6</v>
      </c>
      <c r="D223" s="63">
        <v>0</v>
      </c>
      <c r="E223" s="63">
        <v>0</v>
      </c>
      <c r="F223" s="62">
        <f t="shared" si="81"/>
        <v>0</v>
      </c>
      <c r="G223" s="62">
        <f t="shared" si="81"/>
        <v>0</v>
      </c>
      <c r="H223" s="61">
        <v>0</v>
      </c>
      <c r="I223" s="61">
        <v>0</v>
      </c>
      <c r="J223" s="61">
        <f t="shared" si="82"/>
        <v>5</v>
      </c>
      <c r="K223" s="61">
        <f t="shared" si="82"/>
        <v>16350</v>
      </c>
      <c r="L223" s="6">
        <v>0</v>
      </c>
      <c r="M223" s="6">
        <v>0</v>
      </c>
      <c r="N223" s="62">
        <f t="shared" si="83"/>
        <v>3</v>
      </c>
      <c r="O223" s="62">
        <f t="shared" si="84"/>
        <v>1330</v>
      </c>
    </row>
    <row r="224" spans="1:15" x14ac:dyDescent="0.25">
      <c r="A224" s="6" t="s">
        <v>74</v>
      </c>
      <c r="B224" s="6" t="s">
        <v>164</v>
      </c>
      <c r="C224" s="6">
        <v>7</v>
      </c>
      <c r="D224" s="63">
        <v>0</v>
      </c>
      <c r="E224" s="63">
        <v>0</v>
      </c>
      <c r="F224" s="62">
        <f t="shared" si="81"/>
        <v>0</v>
      </c>
      <c r="G224" s="62">
        <f t="shared" si="81"/>
        <v>0</v>
      </c>
      <c r="H224" s="61">
        <v>0</v>
      </c>
      <c r="I224" s="61">
        <v>0</v>
      </c>
      <c r="J224" s="61">
        <f t="shared" si="82"/>
        <v>5</v>
      </c>
      <c r="K224" s="61">
        <f t="shared" si="82"/>
        <v>16350</v>
      </c>
      <c r="L224" s="6">
        <v>0</v>
      </c>
      <c r="M224" s="6">
        <v>0</v>
      </c>
      <c r="N224" s="62">
        <f t="shared" si="83"/>
        <v>3</v>
      </c>
      <c r="O224" s="62">
        <f t="shared" si="84"/>
        <v>1330</v>
      </c>
    </row>
    <row r="225" spans="1:15" x14ac:dyDescent="0.25">
      <c r="A225" s="6" t="s">
        <v>74</v>
      </c>
      <c r="B225" s="6" t="s">
        <v>165</v>
      </c>
      <c r="C225" s="6">
        <v>8</v>
      </c>
      <c r="D225" s="63">
        <v>0</v>
      </c>
      <c r="E225" s="63">
        <v>0</v>
      </c>
      <c r="F225" s="62">
        <f t="shared" si="81"/>
        <v>0</v>
      </c>
      <c r="G225" s="62">
        <f t="shared" si="81"/>
        <v>0</v>
      </c>
      <c r="H225" s="61">
        <v>1</v>
      </c>
      <c r="I225" s="61">
        <v>2500</v>
      </c>
      <c r="J225" s="61">
        <f t="shared" si="82"/>
        <v>6</v>
      </c>
      <c r="K225" s="61">
        <f t="shared" si="82"/>
        <v>18850</v>
      </c>
      <c r="L225" s="6">
        <v>0</v>
      </c>
      <c r="M225" s="6">
        <v>0</v>
      </c>
      <c r="N225" s="62">
        <f t="shared" si="83"/>
        <v>3</v>
      </c>
      <c r="O225" s="62">
        <f t="shared" si="84"/>
        <v>1330</v>
      </c>
    </row>
    <row r="226" spans="1:15" x14ac:dyDescent="0.25">
      <c r="A226" s="6" t="s">
        <v>74</v>
      </c>
      <c r="B226" s="6" t="s">
        <v>166</v>
      </c>
      <c r="C226" s="6">
        <v>9</v>
      </c>
      <c r="D226" s="63">
        <v>0</v>
      </c>
      <c r="E226" s="63">
        <v>0</v>
      </c>
      <c r="F226" s="62">
        <f t="shared" si="81"/>
        <v>0</v>
      </c>
      <c r="G226" s="62">
        <f t="shared" si="81"/>
        <v>0</v>
      </c>
      <c r="H226" s="61">
        <v>0</v>
      </c>
      <c r="I226" s="61">
        <v>0</v>
      </c>
      <c r="J226" s="61">
        <f t="shared" si="82"/>
        <v>6</v>
      </c>
      <c r="K226" s="61">
        <f t="shared" si="82"/>
        <v>18850</v>
      </c>
      <c r="L226" s="6">
        <v>2</v>
      </c>
      <c r="M226" s="6">
        <v>900</v>
      </c>
      <c r="N226" s="62">
        <f t="shared" si="83"/>
        <v>5</v>
      </c>
      <c r="O226" s="62">
        <f t="shared" si="84"/>
        <v>2230</v>
      </c>
    </row>
    <row r="227" spans="1:15" x14ac:dyDescent="0.25">
      <c r="A227" s="6" t="s">
        <v>74</v>
      </c>
      <c r="B227" s="6" t="s">
        <v>167</v>
      </c>
      <c r="C227" s="6">
        <v>10</v>
      </c>
      <c r="D227" s="63">
        <v>0</v>
      </c>
      <c r="E227" s="63">
        <v>0</v>
      </c>
      <c r="F227" s="62">
        <f t="shared" si="81"/>
        <v>0</v>
      </c>
      <c r="G227" s="62">
        <f t="shared" si="81"/>
        <v>0</v>
      </c>
      <c r="H227" s="61">
        <v>0</v>
      </c>
      <c r="I227" s="61">
        <v>0</v>
      </c>
      <c r="J227" s="61">
        <f t="shared" si="82"/>
        <v>6</v>
      </c>
      <c r="K227" s="61">
        <f t="shared" si="82"/>
        <v>18850</v>
      </c>
      <c r="L227" s="6">
        <v>0</v>
      </c>
      <c r="M227" s="6">
        <v>0</v>
      </c>
      <c r="N227" s="62">
        <f t="shared" si="83"/>
        <v>5</v>
      </c>
      <c r="O227" s="62">
        <f t="shared" si="84"/>
        <v>2230</v>
      </c>
    </row>
    <row r="228" spans="1:15" x14ac:dyDescent="0.25">
      <c r="A228" s="6" t="s">
        <v>74</v>
      </c>
      <c r="B228" s="6" t="s">
        <v>168</v>
      </c>
      <c r="C228" s="6">
        <v>11</v>
      </c>
      <c r="D228" s="63">
        <v>0</v>
      </c>
      <c r="E228" s="63">
        <v>0</v>
      </c>
      <c r="F228" s="62">
        <f t="shared" si="81"/>
        <v>0</v>
      </c>
      <c r="G228" s="62">
        <f t="shared" si="81"/>
        <v>0</v>
      </c>
      <c r="H228" s="61">
        <v>0</v>
      </c>
      <c r="I228" s="61">
        <v>0</v>
      </c>
      <c r="J228" s="61">
        <f t="shared" si="82"/>
        <v>6</v>
      </c>
      <c r="K228" s="61">
        <f t="shared" si="82"/>
        <v>18850</v>
      </c>
      <c r="L228" s="6">
        <v>0</v>
      </c>
      <c r="M228" s="6">
        <v>0</v>
      </c>
      <c r="N228" s="62">
        <f t="shared" si="83"/>
        <v>5</v>
      </c>
      <c r="O228" s="62">
        <f t="shared" si="84"/>
        <v>2230</v>
      </c>
    </row>
    <row r="229" spans="1:15" x14ac:dyDescent="0.25">
      <c r="A229" s="6" t="s">
        <v>74</v>
      </c>
      <c r="B229" s="6" t="s">
        <v>169</v>
      </c>
      <c r="C229" s="6">
        <v>12</v>
      </c>
      <c r="D229" s="63">
        <v>0</v>
      </c>
      <c r="E229" s="63">
        <v>0</v>
      </c>
      <c r="F229" s="62">
        <f t="shared" si="81"/>
        <v>0</v>
      </c>
      <c r="G229" s="62">
        <f t="shared" si="81"/>
        <v>0</v>
      </c>
      <c r="H229" s="61">
        <v>0</v>
      </c>
      <c r="I229" s="61">
        <v>0</v>
      </c>
      <c r="J229" s="61">
        <f t="shared" si="82"/>
        <v>6</v>
      </c>
      <c r="K229" s="61">
        <f t="shared" si="82"/>
        <v>18850</v>
      </c>
      <c r="L229" s="6">
        <v>0</v>
      </c>
      <c r="M229" s="6">
        <v>0</v>
      </c>
      <c r="N229" s="62">
        <f t="shared" si="83"/>
        <v>5</v>
      </c>
      <c r="O229" s="62">
        <f t="shared" si="84"/>
        <v>2230</v>
      </c>
    </row>
    <row r="230" spans="1:15" x14ac:dyDescent="0.25">
      <c r="A230" s="6" t="s">
        <v>57</v>
      </c>
      <c r="B230" s="6" t="s">
        <v>158</v>
      </c>
      <c r="C230" s="6">
        <v>1</v>
      </c>
      <c r="D230" s="63">
        <v>0</v>
      </c>
      <c r="E230" s="63">
        <v>0</v>
      </c>
      <c r="F230" s="62">
        <f>D230</f>
        <v>0</v>
      </c>
      <c r="G230" s="62">
        <f>E230</f>
        <v>0</v>
      </c>
      <c r="H230" s="61">
        <v>0</v>
      </c>
      <c r="I230" s="61">
        <v>0</v>
      </c>
      <c r="J230" s="61">
        <f>H230</f>
        <v>0</v>
      </c>
      <c r="K230" s="61">
        <f>I230</f>
        <v>0</v>
      </c>
      <c r="L230" s="6">
        <v>0</v>
      </c>
      <c r="M230" s="6">
        <v>0</v>
      </c>
      <c r="N230" s="62">
        <f>L230</f>
        <v>0</v>
      </c>
      <c r="O230" s="62">
        <f>M230</f>
        <v>0</v>
      </c>
    </row>
    <row r="231" spans="1:15" x14ac:dyDescent="0.25">
      <c r="A231" s="6" t="s">
        <v>57</v>
      </c>
      <c r="B231" s="6" t="s">
        <v>159</v>
      </c>
      <c r="C231" s="6">
        <v>2</v>
      </c>
      <c r="D231" s="63">
        <v>0</v>
      </c>
      <c r="E231" s="63">
        <v>0</v>
      </c>
      <c r="F231" s="62">
        <f t="shared" ref="F231:G241" si="85">F230+D231</f>
        <v>0</v>
      </c>
      <c r="G231" s="62">
        <f t="shared" si="85"/>
        <v>0</v>
      </c>
      <c r="H231" s="61">
        <v>0</v>
      </c>
      <c r="I231" s="61">
        <v>0</v>
      </c>
      <c r="J231" s="61">
        <f t="shared" ref="J231:K241" si="86">J230+H231</f>
        <v>0</v>
      </c>
      <c r="K231" s="61">
        <f t="shared" si="86"/>
        <v>0</v>
      </c>
      <c r="L231" s="6">
        <v>1</v>
      </c>
      <c r="M231" s="6">
        <v>500</v>
      </c>
      <c r="N231" s="62">
        <f t="shared" ref="N231:N241" si="87">N230+L231</f>
        <v>1</v>
      </c>
      <c r="O231" s="62">
        <f t="shared" ref="O231:O241" si="88">O230+M231</f>
        <v>500</v>
      </c>
    </row>
    <row r="232" spans="1:15" x14ac:dyDescent="0.25">
      <c r="A232" s="6" t="s">
        <v>57</v>
      </c>
      <c r="B232" s="6" t="s">
        <v>160</v>
      </c>
      <c r="C232" s="6">
        <v>3</v>
      </c>
      <c r="D232" s="63">
        <v>0</v>
      </c>
      <c r="E232" s="63">
        <v>0</v>
      </c>
      <c r="F232" s="62">
        <f t="shared" si="85"/>
        <v>0</v>
      </c>
      <c r="G232" s="62">
        <f t="shared" si="85"/>
        <v>0</v>
      </c>
      <c r="H232" s="61">
        <v>1</v>
      </c>
      <c r="I232" s="61">
        <v>0.01</v>
      </c>
      <c r="J232" s="61">
        <f t="shared" si="86"/>
        <v>1</v>
      </c>
      <c r="K232" s="61">
        <f t="shared" si="86"/>
        <v>0.01</v>
      </c>
      <c r="L232" s="6">
        <v>0</v>
      </c>
      <c r="M232" s="6">
        <v>0</v>
      </c>
      <c r="N232" s="62">
        <f t="shared" si="87"/>
        <v>1</v>
      </c>
      <c r="O232" s="62">
        <f t="shared" si="88"/>
        <v>500</v>
      </c>
    </row>
    <row r="233" spans="1:15" x14ac:dyDescent="0.25">
      <c r="A233" s="6" t="s">
        <v>57</v>
      </c>
      <c r="B233" s="6" t="s">
        <v>161</v>
      </c>
      <c r="C233" s="6">
        <v>4</v>
      </c>
      <c r="D233" s="63">
        <v>0</v>
      </c>
      <c r="E233" s="63">
        <v>0</v>
      </c>
      <c r="F233" s="62">
        <f t="shared" si="85"/>
        <v>0</v>
      </c>
      <c r="G233" s="62">
        <f t="shared" si="85"/>
        <v>0</v>
      </c>
      <c r="H233" s="61">
        <v>0</v>
      </c>
      <c r="I233" s="61">
        <v>0</v>
      </c>
      <c r="J233" s="61">
        <f t="shared" si="86"/>
        <v>1</v>
      </c>
      <c r="K233" s="61">
        <f t="shared" si="86"/>
        <v>0.01</v>
      </c>
      <c r="L233" s="6">
        <v>2</v>
      </c>
      <c r="M233" s="6">
        <v>1580</v>
      </c>
      <c r="N233" s="62">
        <f t="shared" si="87"/>
        <v>3</v>
      </c>
      <c r="O233" s="62">
        <f t="shared" si="88"/>
        <v>2080</v>
      </c>
    </row>
    <row r="234" spans="1:15" x14ac:dyDescent="0.25">
      <c r="A234" s="6" t="s">
        <v>57</v>
      </c>
      <c r="B234" s="6" t="s">
        <v>162</v>
      </c>
      <c r="C234" s="6">
        <v>5</v>
      </c>
      <c r="D234" s="63">
        <v>0</v>
      </c>
      <c r="E234" s="63">
        <v>0</v>
      </c>
      <c r="F234" s="62">
        <f t="shared" si="85"/>
        <v>0</v>
      </c>
      <c r="G234" s="62">
        <f t="shared" si="85"/>
        <v>0</v>
      </c>
      <c r="H234" s="61">
        <v>5</v>
      </c>
      <c r="I234" s="61">
        <v>5207</v>
      </c>
      <c r="J234" s="61">
        <f t="shared" si="86"/>
        <v>6</v>
      </c>
      <c r="K234" s="61">
        <f t="shared" si="86"/>
        <v>5207.01</v>
      </c>
      <c r="L234" s="6">
        <v>3</v>
      </c>
      <c r="M234" s="6">
        <v>9240</v>
      </c>
      <c r="N234" s="62">
        <f t="shared" si="87"/>
        <v>6</v>
      </c>
      <c r="O234" s="62">
        <f t="shared" si="88"/>
        <v>11320</v>
      </c>
    </row>
    <row r="235" spans="1:15" x14ac:dyDescent="0.25">
      <c r="A235" s="6" t="s">
        <v>57</v>
      </c>
      <c r="B235" s="6" t="s">
        <v>163</v>
      </c>
      <c r="C235" s="6">
        <v>6</v>
      </c>
      <c r="D235" s="63">
        <v>0</v>
      </c>
      <c r="E235" s="63">
        <v>0</v>
      </c>
      <c r="F235" s="62">
        <f t="shared" si="85"/>
        <v>0</v>
      </c>
      <c r="G235" s="62">
        <f t="shared" si="85"/>
        <v>0</v>
      </c>
      <c r="H235" s="61">
        <v>0</v>
      </c>
      <c r="I235" s="61">
        <v>0</v>
      </c>
      <c r="J235" s="61">
        <f t="shared" si="86"/>
        <v>6</v>
      </c>
      <c r="K235" s="61">
        <f t="shared" si="86"/>
        <v>5207.01</v>
      </c>
      <c r="L235" s="6">
        <v>0</v>
      </c>
      <c r="M235" s="6">
        <v>0</v>
      </c>
      <c r="N235" s="62">
        <f t="shared" si="87"/>
        <v>6</v>
      </c>
      <c r="O235" s="62">
        <f t="shared" si="88"/>
        <v>11320</v>
      </c>
    </row>
    <row r="236" spans="1:15" x14ac:dyDescent="0.25">
      <c r="A236" s="6" t="s">
        <v>57</v>
      </c>
      <c r="B236" s="6" t="s">
        <v>164</v>
      </c>
      <c r="C236" s="6">
        <v>7</v>
      </c>
      <c r="D236" s="63">
        <v>0</v>
      </c>
      <c r="E236" s="63">
        <v>0</v>
      </c>
      <c r="F236" s="62">
        <f t="shared" si="85"/>
        <v>0</v>
      </c>
      <c r="G236" s="62">
        <f t="shared" si="85"/>
        <v>0</v>
      </c>
      <c r="H236" s="61">
        <v>0</v>
      </c>
      <c r="I236" s="61">
        <v>0</v>
      </c>
      <c r="J236" s="61">
        <f t="shared" si="86"/>
        <v>6</v>
      </c>
      <c r="K236" s="61">
        <f t="shared" si="86"/>
        <v>5207.01</v>
      </c>
      <c r="L236" s="6">
        <v>2</v>
      </c>
      <c r="M236" s="6">
        <v>10223.16</v>
      </c>
      <c r="N236" s="62">
        <f t="shared" si="87"/>
        <v>8</v>
      </c>
      <c r="O236" s="62">
        <f t="shared" si="88"/>
        <v>21543.16</v>
      </c>
    </row>
    <row r="237" spans="1:15" x14ac:dyDescent="0.25">
      <c r="A237" s="6" t="s">
        <v>57</v>
      </c>
      <c r="B237" s="6" t="s">
        <v>165</v>
      </c>
      <c r="C237" s="6">
        <v>8</v>
      </c>
      <c r="D237" s="63">
        <v>0</v>
      </c>
      <c r="E237" s="63">
        <v>0</v>
      </c>
      <c r="F237" s="62">
        <f t="shared" si="85"/>
        <v>0</v>
      </c>
      <c r="G237" s="62">
        <f t="shared" si="85"/>
        <v>0</v>
      </c>
      <c r="H237" s="61">
        <v>0</v>
      </c>
      <c r="I237" s="61">
        <v>0</v>
      </c>
      <c r="J237" s="61">
        <f t="shared" si="86"/>
        <v>6</v>
      </c>
      <c r="K237" s="61">
        <f t="shared" si="86"/>
        <v>5207.01</v>
      </c>
      <c r="L237" s="6">
        <v>1</v>
      </c>
      <c r="M237" s="6">
        <v>9000</v>
      </c>
      <c r="N237" s="62">
        <f t="shared" si="87"/>
        <v>9</v>
      </c>
      <c r="O237" s="62">
        <f t="shared" si="88"/>
        <v>30543.16</v>
      </c>
    </row>
    <row r="238" spans="1:15" x14ac:dyDescent="0.25">
      <c r="A238" s="6" t="s">
        <v>57</v>
      </c>
      <c r="B238" s="6" t="s">
        <v>166</v>
      </c>
      <c r="C238" s="6">
        <v>9</v>
      </c>
      <c r="D238" s="63">
        <v>1</v>
      </c>
      <c r="E238" s="63">
        <v>1600</v>
      </c>
      <c r="F238" s="62">
        <f t="shared" si="85"/>
        <v>1</v>
      </c>
      <c r="G238" s="62">
        <f t="shared" si="85"/>
        <v>1600</v>
      </c>
      <c r="H238" s="61">
        <v>0</v>
      </c>
      <c r="I238" s="61">
        <v>0</v>
      </c>
      <c r="J238" s="61">
        <f t="shared" si="86"/>
        <v>6</v>
      </c>
      <c r="K238" s="61">
        <f t="shared" si="86"/>
        <v>5207.01</v>
      </c>
      <c r="L238" s="6">
        <v>0</v>
      </c>
      <c r="M238" s="6">
        <v>0</v>
      </c>
      <c r="N238" s="62">
        <f t="shared" si="87"/>
        <v>9</v>
      </c>
      <c r="O238" s="62">
        <f t="shared" si="88"/>
        <v>30543.16</v>
      </c>
    </row>
    <row r="239" spans="1:15" x14ac:dyDescent="0.25">
      <c r="A239" s="6" t="s">
        <v>57</v>
      </c>
      <c r="B239" s="6" t="s">
        <v>167</v>
      </c>
      <c r="C239" s="6">
        <v>10</v>
      </c>
      <c r="D239" s="63">
        <v>0</v>
      </c>
      <c r="E239" s="63">
        <v>0</v>
      </c>
      <c r="F239" s="62">
        <f t="shared" si="85"/>
        <v>1</v>
      </c>
      <c r="G239" s="62">
        <f t="shared" si="85"/>
        <v>1600</v>
      </c>
      <c r="H239" s="61">
        <v>0</v>
      </c>
      <c r="I239" s="61">
        <v>0</v>
      </c>
      <c r="J239" s="61">
        <f t="shared" si="86"/>
        <v>6</v>
      </c>
      <c r="K239" s="61">
        <f t="shared" si="86"/>
        <v>5207.01</v>
      </c>
      <c r="L239" s="6">
        <v>1</v>
      </c>
      <c r="M239" s="6">
        <v>5000</v>
      </c>
      <c r="N239" s="62">
        <f t="shared" si="87"/>
        <v>10</v>
      </c>
      <c r="O239" s="62">
        <f t="shared" si="88"/>
        <v>35543.160000000003</v>
      </c>
    </row>
    <row r="240" spans="1:15" x14ac:dyDescent="0.25">
      <c r="A240" s="6" t="s">
        <v>57</v>
      </c>
      <c r="B240" s="6" t="s">
        <v>168</v>
      </c>
      <c r="C240" s="6">
        <v>11</v>
      </c>
      <c r="D240" s="63">
        <v>1</v>
      </c>
      <c r="E240" s="63">
        <v>1970</v>
      </c>
      <c r="F240" s="62">
        <f t="shared" si="85"/>
        <v>2</v>
      </c>
      <c r="G240" s="62">
        <f t="shared" si="85"/>
        <v>3570</v>
      </c>
      <c r="H240" s="61">
        <v>0</v>
      </c>
      <c r="I240" s="61">
        <v>0</v>
      </c>
      <c r="J240" s="61">
        <f t="shared" si="86"/>
        <v>6</v>
      </c>
      <c r="K240" s="61">
        <f t="shared" si="86"/>
        <v>5207.01</v>
      </c>
      <c r="L240" s="6">
        <v>1</v>
      </c>
      <c r="M240" s="6">
        <v>600</v>
      </c>
      <c r="N240" s="62">
        <f t="shared" si="87"/>
        <v>11</v>
      </c>
      <c r="O240" s="62">
        <f t="shared" si="88"/>
        <v>36143.160000000003</v>
      </c>
    </row>
    <row r="241" spans="1:15" x14ac:dyDescent="0.25">
      <c r="A241" s="6" t="s">
        <v>57</v>
      </c>
      <c r="B241" s="6" t="s">
        <v>169</v>
      </c>
      <c r="C241" s="6">
        <v>12</v>
      </c>
      <c r="D241" s="63">
        <v>0</v>
      </c>
      <c r="E241" s="63">
        <v>0</v>
      </c>
      <c r="F241" s="62">
        <f t="shared" si="85"/>
        <v>2</v>
      </c>
      <c r="G241" s="62">
        <f t="shared" si="85"/>
        <v>3570</v>
      </c>
      <c r="H241" s="61">
        <v>0</v>
      </c>
      <c r="I241" s="61">
        <v>0</v>
      </c>
      <c r="J241" s="61">
        <f t="shared" si="86"/>
        <v>6</v>
      </c>
      <c r="K241" s="61">
        <f t="shared" si="86"/>
        <v>5207.01</v>
      </c>
      <c r="L241" s="6">
        <v>0</v>
      </c>
      <c r="M241" s="6">
        <v>0</v>
      </c>
      <c r="N241" s="62">
        <f t="shared" si="87"/>
        <v>11</v>
      </c>
      <c r="O241" s="62">
        <f t="shared" si="88"/>
        <v>36143.160000000003</v>
      </c>
    </row>
    <row r="242" spans="1:15" x14ac:dyDescent="0.25">
      <c r="A242" s="6" t="s">
        <v>94</v>
      </c>
      <c r="B242" s="6" t="s">
        <v>158</v>
      </c>
      <c r="C242" s="6">
        <v>1</v>
      </c>
      <c r="D242" s="63">
        <v>0</v>
      </c>
      <c r="E242" s="63">
        <v>0</v>
      </c>
      <c r="F242" s="62">
        <f>D242</f>
        <v>0</v>
      </c>
      <c r="G242" s="62">
        <f>E242</f>
        <v>0</v>
      </c>
      <c r="H242" s="61">
        <v>1</v>
      </c>
      <c r="I242" s="61">
        <v>10013.44</v>
      </c>
      <c r="J242" s="61">
        <f>H242</f>
        <v>1</v>
      </c>
      <c r="K242" s="61">
        <f>I242</f>
        <v>10013.44</v>
      </c>
      <c r="L242" s="6">
        <v>0</v>
      </c>
      <c r="M242" s="6">
        <v>0</v>
      </c>
      <c r="N242" s="62">
        <f>L242</f>
        <v>0</v>
      </c>
      <c r="O242" s="62">
        <f>M242</f>
        <v>0</v>
      </c>
    </row>
    <row r="243" spans="1:15" x14ac:dyDescent="0.25">
      <c r="A243" s="6" t="s">
        <v>94</v>
      </c>
      <c r="B243" s="6" t="s">
        <v>159</v>
      </c>
      <c r="C243" s="6">
        <v>2</v>
      </c>
      <c r="D243" s="63">
        <v>0</v>
      </c>
      <c r="E243" s="63">
        <v>0</v>
      </c>
      <c r="F243" s="62">
        <f t="shared" ref="F243:G253" si="89">F242+D243</f>
        <v>0</v>
      </c>
      <c r="G243" s="62">
        <f t="shared" si="89"/>
        <v>0</v>
      </c>
      <c r="H243" s="61">
        <v>3</v>
      </c>
      <c r="I243" s="61">
        <v>35500</v>
      </c>
      <c r="J243" s="61">
        <f t="shared" ref="J243:K253" si="90">J242+H243</f>
        <v>4</v>
      </c>
      <c r="K243" s="61">
        <f t="shared" si="90"/>
        <v>45513.440000000002</v>
      </c>
      <c r="L243" s="6">
        <v>3</v>
      </c>
      <c r="M243" s="6">
        <v>59420</v>
      </c>
      <c r="N243" s="62">
        <f t="shared" ref="N243:N253" si="91">N242+L243</f>
        <v>3</v>
      </c>
      <c r="O243" s="62">
        <f t="shared" ref="O243:O253" si="92">O242+M243</f>
        <v>59420</v>
      </c>
    </row>
    <row r="244" spans="1:15" x14ac:dyDescent="0.25">
      <c r="A244" s="6" t="s">
        <v>94</v>
      </c>
      <c r="B244" s="6" t="s">
        <v>160</v>
      </c>
      <c r="C244" s="6">
        <v>3</v>
      </c>
      <c r="D244" s="63">
        <v>1</v>
      </c>
      <c r="E244" s="62">
        <v>6049.93</v>
      </c>
      <c r="F244" s="62">
        <f t="shared" si="89"/>
        <v>1</v>
      </c>
      <c r="G244" s="62">
        <f t="shared" si="89"/>
        <v>6049.93</v>
      </c>
      <c r="H244" s="61">
        <v>2</v>
      </c>
      <c r="I244" s="61">
        <v>17974.95</v>
      </c>
      <c r="J244" s="61">
        <f t="shared" si="90"/>
        <v>6</v>
      </c>
      <c r="K244" s="61">
        <f t="shared" si="90"/>
        <v>63488.39</v>
      </c>
      <c r="L244" s="6">
        <v>2</v>
      </c>
      <c r="M244" s="6">
        <v>25500</v>
      </c>
      <c r="N244" s="62">
        <f t="shared" si="91"/>
        <v>5</v>
      </c>
      <c r="O244" s="62">
        <f t="shared" si="92"/>
        <v>84920</v>
      </c>
    </row>
    <row r="245" spans="1:15" x14ac:dyDescent="0.25">
      <c r="A245" s="6" t="s">
        <v>94</v>
      </c>
      <c r="B245" s="6" t="s">
        <v>161</v>
      </c>
      <c r="C245" s="6">
        <v>4</v>
      </c>
      <c r="D245" s="63">
        <v>0</v>
      </c>
      <c r="E245" s="63">
        <v>0</v>
      </c>
      <c r="F245" s="62">
        <f t="shared" si="89"/>
        <v>1</v>
      </c>
      <c r="G245" s="62">
        <f t="shared" si="89"/>
        <v>6049.93</v>
      </c>
      <c r="H245" s="61">
        <v>1</v>
      </c>
      <c r="I245" s="61">
        <v>15000</v>
      </c>
      <c r="J245" s="61">
        <f t="shared" si="90"/>
        <v>7</v>
      </c>
      <c r="K245" s="61">
        <f t="shared" si="90"/>
        <v>78488.39</v>
      </c>
      <c r="L245" s="6">
        <v>1</v>
      </c>
      <c r="M245" s="6">
        <v>9900</v>
      </c>
      <c r="N245" s="62">
        <f t="shared" si="91"/>
        <v>6</v>
      </c>
      <c r="O245" s="62">
        <f t="shared" si="92"/>
        <v>94820</v>
      </c>
    </row>
    <row r="246" spans="1:15" x14ac:dyDescent="0.25">
      <c r="A246" s="6" t="s">
        <v>94</v>
      </c>
      <c r="B246" s="6" t="s">
        <v>162</v>
      </c>
      <c r="C246" s="6">
        <v>5</v>
      </c>
      <c r="D246" s="63">
        <v>1</v>
      </c>
      <c r="E246" s="63">
        <v>10000</v>
      </c>
      <c r="F246" s="62">
        <f t="shared" si="89"/>
        <v>2</v>
      </c>
      <c r="G246" s="62">
        <f t="shared" si="89"/>
        <v>16049.93</v>
      </c>
      <c r="H246" s="61">
        <v>0</v>
      </c>
      <c r="I246" s="61">
        <v>0</v>
      </c>
      <c r="J246" s="61">
        <f t="shared" si="90"/>
        <v>7</v>
      </c>
      <c r="K246" s="61">
        <f t="shared" si="90"/>
        <v>78488.39</v>
      </c>
      <c r="L246" s="6">
        <v>2</v>
      </c>
      <c r="M246" s="6">
        <v>36300</v>
      </c>
      <c r="N246" s="62">
        <f t="shared" si="91"/>
        <v>8</v>
      </c>
      <c r="O246" s="62">
        <f t="shared" si="92"/>
        <v>131120</v>
      </c>
    </row>
    <row r="247" spans="1:15" x14ac:dyDescent="0.25">
      <c r="A247" s="6" t="s">
        <v>94</v>
      </c>
      <c r="B247" s="6" t="s">
        <v>163</v>
      </c>
      <c r="C247" s="6">
        <v>6</v>
      </c>
      <c r="D247" s="63">
        <v>1</v>
      </c>
      <c r="E247" s="63">
        <v>32760.36</v>
      </c>
      <c r="F247" s="62">
        <f t="shared" si="89"/>
        <v>3</v>
      </c>
      <c r="G247" s="62">
        <f t="shared" si="89"/>
        <v>48810.29</v>
      </c>
      <c r="H247" s="61">
        <v>3</v>
      </c>
      <c r="I247" s="61">
        <v>50710</v>
      </c>
      <c r="J247" s="61">
        <f t="shared" si="90"/>
        <v>10</v>
      </c>
      <c r="K247" s="61">
        <f t="shared" si="90"/>
        <v>129198.39</v>
      </c>
      <c r="L247" s="6">
        <v>4</v>
      </c>
      <c r="M247" s="6">
        <v>91100</v>
      </c>
      <c r="N247" s="62">
        <f t="shared" si="91"/>
        <v>12</v>
      </c>
      <c r="O247" s="62">
        <f t="shared" si="92"/>
        <v>222220</v>
      </c>
    </row>
    <row r="248" spans="1:15" x14ac:dyDescent="0.25">
      <c r="A248" s="6" t="s">
        <v>94</v>
      </c>
      <c r="B248" s="6" t="s">
        <v>164</v>
      </c>
      <c r="C248" s="6">
        <v>7</v>
      </c>
      <c r="D248" s="63">
        <v>1</v>
      </c>
      <c r="E248" s="63">
        <v>10058.42</v>
      </c>
      <c r="F248" s="62">
        <f t="shared" si="89"/>
        <v>4</v>
      </c>
      <c r="G248" s="62">
        <f t="shared" si="89"/>
        <v>58868.71</v>
      </c>
      <c r="H248" s="61">
        <v>1</v>
      </c>
      <c r="I248" s="61">
        <v>20000</v>
      </c>
      <c r="J248" s="61">
        <f t="shared" si="90"/>
        <v>11</v>
      </c>
      <c r="K248" s="61">
        <f t="shared" si="90"/>
        <v>149198.39000000001</v>
      </c>
      <c r="L248" s="6">
        <v>0</v>
      </c>
      <c r="M248" s="6">
        <v>0</v>
      </c>
      <c r="N248" s="62">
        <f t="shared" si="91"/>
        <v>12</v>
      </c>
      <c r="O248" s="62">
        <f t="shared" si="92"/>
        <v>222220</v>
      </c>
    </row>
    <row r="249" spans="1:15" x14ac:dyDescent="0.25">
      <c r="A249" s="6" t="s">
        <v>94</v>
      </c>
      <c r="B249" s="6" t="s">
        <v>165</v>
      </c>
      <c r="C249" s="6">
        <v>8</v>
      </c>
      <c r="D249" s="63">
        <v>2</v>
      </c>
      <c r="E249" s="63">
        <v>33321</v>
      </c>
      <c r="F249" s="62">
        <f t="shared" si="89"/>
        <v>6</v>
      </c>
      <c r="G249" s="62">
        <f t="shared" si="89"/>
        <v>92189.709999999992</v>
      </c>
      <c r="H249" s="61">
        <v>0</v>
      </c>
      <c r="I249" s="61">
        <v>0</v>
      </c>
      <c r="J249" s="61">
        <f t="shared" si="90"/>
        <v>11</v>
      </c>
      <c r="K249" s="61">
        <f t="shared" si="90"/>
        <v>149198.39000000001</v>
      </c>
      <c r="L249" s="6">
        <v>1</v>
      </c>
      <c r="M249" s="6">
        <v>18700</v>
      </c>
      <c r="N249" s="62">
        <f t="shared" si="91"/>
        <v>13</v>
      </c>
      <c r="O249" s="62">
        <f t="shared" si="92"/>
        <v>240920</v>
      </c>
    </row>
    <row r="250" spans="1:15" x14ac:dyDescent="0.25">
      <c r="A250" s="6" t="s">
        <v>94</v>
      </c>
      <c r="B250" s="6" t="s">
        <v>166</v>
      </c>
      <c r="C250" s="6">
        <v>9</v>
      </c>
      <c r="D250" s="63">
        <v>3</v>
      </c>
      <c r="E250" s="62">
        <v>41258.67</v>
      </c>
      <c r="F250" s="62">
        <f t="shared" si="89"/>
        <v>9</v>
      </c>
      <c r="G250" s="62">
        <f t="shared" si="89"/>
        <v>133448.38</v>
      </c>
      <c r="H250" s="61">
        <v>3</v>
      </c>
      <c r="I250" s="61">
        <v>28180</v>
      </c>
      <c r="J250" s="61">
        <f t="shared" si="90"/>
        <v>14</v>
      </c>
      <c r="K250" s="61">
        <f t="shared" si="90"/>
        <v>177378.39</v>
      </c>
      <c r="L250" s="6">
        <v>4</v>
      </c>
      <c r="M250" s="6">
        <v>54200</v>
      </c>
      <c r="N250" s="62">
        <f t="shared" si="91"/>
        <v>17</v>
      </c>
      <c r="O250" s="62">
        <f t="shared" si="92"/>
        <v>295120</v>
      </c>
    </row>
    <row r="251" spans="1:15" x14ac:dyDescent="0.25">
      <c r="A251" s="6" t="s">
        <v>94</v>
      </c>
      <c r="B251" s="6" t="s">
        <v>167</v>
      </c>
      <c r="C251" s="6">
        <v>10</v>
      </c>
      <c r="D251" s="63">
        <v>5</v>
      </c>
      <c r="E251" s="62">
        <v>40835.770000000004</v>
      </c>
      <c r="F251" s="62">
        <f t="shared" si="89"/>
        <v>14</v>
      </c>
      <c r="G251" s="62">
        <f t="shared" si="89"/>
        <v>174284.15000000002</v>
      </c>
      <c r="H251" s="61">
        <v>2</v>
      </c>
      <c r="I251" s="61">
        <v>33300</v>
      </c>
      <c r="J251" s="61">
        <f t="shared" si="90"/>
        <v>16</v>
      </c>
      <c r="K251" s="61">
        <f t="shared" si="90"/>
        <v>210678.39</v>
      </c>
      <c r="L251" s="6">
        <v>3</v>
      </c>
      <c r="M251" s="6">
        <v>25700</v>
      </c>
      <c r="N251" s="62">
        <f t="shared" si="91"/>
        <v>20</v>
      </c>
      <c r="O251" s="62">
        <f t="shared" si="92"/>
        <v>320820</v>
      </c>
    </row>
    <row r="252" spans="1:15" x14ac:dyDescent="0.25">
      <c r="A252" s="6" t="s">
        <v>94</v>
      </c>
      <c r="B252" s="6" t="s">
        <v>168</v>
      </c>
      <c r="C252" s="6">
        <v>11</v>
      </c>
      <c r="D252" s="63">
        <v>5</v>
      </c>
      <c r="E252" s="62">
        <v>35469.64</v>
      </c>
      <c r="F252" s="62">
        <f t="shared" si="89"/>
        <v>19</v>
      </c>
      <c r="G252" s="62">
        <f t="shared" si="89"/>
        <v>209753.79000000004</v>
      </c>
      <c r="H252" s="61">
        <v>4</v>
      </c>
      <c r="I252" s="61">
        <v>61845</v>
      </c>
      <c r="J252" s="61">
        <f t="shared" si="90"/>
        <v>20</v>
      </c>
      <c r="K252" s="61">
        <f t="shared" si="90"/>
        <v>272523.39</v>
      </c>
      <c r="L252" s="6">
        <v>2</v>
      </c>
      <c r="M252" s="6">
        <v>27400</v>
      </c>
      <c r="N252" s="62">
        <f t="shared" si="91"/>
        <v>22</v>
      </c>
      <c r="O252" s="62">
        <f t="shared" si="92"/>
        <v>348220</v>
      </c>
    </row>
    <row r="253" spans="1:15" x14ac:dyDescent="0.25">
      <c r="A253" s="6" t="s">
        <v>94</v>
      </c>
      <c r="B253" s="6" t="s">
        <v>169</v>
      </c>
      <c r="C253" s="6">
        <v>12</v>
      </c>
      <c r="D253" s="63">
        <v>2</v>
      </c>
      <c r="E253" s="62">
        <v>22052.27</v>
      </c>
      <c r="F253" s="62">
        <f t="shared" si="89"/>
        <v>21</v>
      </c>
      <c r="G253" s="62">
        <f t="shared" si="89"/>
        <v>231806.06000000003</v>
      </c>
      <c r="H253" s="61">
        <v>3</v>
      </c>
      <c r="I253" s="61">
        <v>25495</v>
      </c>
      <c r="J253" s="61">
        <f t="shared" si="90"/>
        <v>23</v>
      </c>
      <c r="K253" s="61">
        <f t="shared" si="90"/>
        <v>298018.39</v>
      </c>
      <c r="L253" s="6">
        <v>3</v>
      </c>
      <c r="M253" s="6">
        <v>83450</v>
      </c>
      <c r="N253" s="62">
        <f t="shared" si="91"/>
        <v>25</v>
      </c>
      <c r="O253" s="62">
        <f t="shared" si="92"/>
        <v>431670</v>
      </c>
    </row>
    <row r="254" spans="1:15" x14ac:dyDescent="0.25">
      <c r="A254" s="6" t="s">
        <v>55</v>
      </c>
      <c r="B254" s="6" t="s">
        <v>158</v>
      </c>
      <c r="C254" s="6">
        <v>1</v>
      </c>
      <c r="D254" s="63">
        <v>0</v>
      </c>
      <c r="E254" s="63">
        <v>0</v>
      </c>
      <c r="F254" s="62">
        <f>D254</f>
        <v>0</v>
      </c>
      <c r="G254" s="62">
        <f>E254</f>
        <v>0</v>
      </c>
      <c r="H254" s="61">
        <v>9</v>
      </c>
      <c r="I254" s="61">
        <v>145</v>
      </c>
      <c r="J254" s="61">
        <f>H254</f>
        <v>9</v>
      </c>
      <c r="K254" s="61">
        <f>I254</f>
        <v>145</v>
      </c>
      <c r="L254" s="6">
        <v>28</v>
      </c>
      <c r="M254" s="6">
        <v>6475</v>
      </c>
      <c r="N254" s="62">
        <f>L254</f>
        <v>28</v>
      </c>
      <c r="O254" s="62">
        <f>M254</f>
        <v>6475</v>
      </c>
    </row>
    <row r="255" spans="1:15" x14ac:dyDescent="0.25">
      <c r="A255" s="6" t="s">
        <v>55</v>
      </c>
      <c r="B255" s="6" t="s">
        <v>159</v>
      </c>
      <c r="C255" s="6">
        <v>2</v>
      </c>
      <c r="D255" s="63">
        <v>0</v>
      </c>
      <c r="E255" s="63">
        <v>0</v>
      </c>
      <c r="F255" s="62">
        <f t="shared" ref="F255:G265" si="93">F254+D255</f>
        <v>0</v>
      </c>
      <c r="G255" s="62">
        <f t="shared" si="93"/>
        <v>0</v>
      </c>
      <c r="H255" s="61">
        <v>0</v>
      </c>
      <c r="I255" s="61">
        <v>0</v>
      </c>
      <c r="J255" s="61">
        <f t="shared" ref="J255:K265" si="94">J254+H255</f>
        <v>9</v>
      </c>
      <c r="K255" s="61">
        <f t="shared" si="94"/>
        <v>145</v>
      </c>
      <c r="L255" s="6">
        <v>25</v>
      </c>
      <c r="M255" s="6">
        <v>9405</v>
      </c>
      <c r="N255" s="62">
        <f t="shared" ref="N255:N265" si="95">N254+L255</f>
        <v>53</v>
      </c>
      <c r="O255" s="62">
        <f t="shared" ref="O255:O265" si="96">O254+M255</f>
        <v>15880</v>
      </c>
    </row>
    <row r="256" spans="1:15" x14ac:dyDescent="0.25">
      <c r="A256" s="6" t="s">
        <v>55</v>
      </c>
      <c r="B256" s="6" t="s">
        <v>160</v>
      </c>
      <c r="C256" s="6">
        <v>3</v>
      </c>
      <c r="D256" s="63">
        <v>1</v>
      </c>
      <c r="E256" s="63">
        <v>855</v>
      </c>
      <c r="F256" s="62">
        <f t="shared" si="93"/>
        <v>1</v>
      </c>
      <c r="G256" s="62">
        <f t="shared" si="93"/>
        <v>855</v>
      </c>
      <c r="H256" s="61">
        <v>10</v>
      </c>
      <c r="I256" s="61">
        <v>580</v>
      </c>
      <c r="J256" s="61">
        <f t="shared" si="94"/>
        <v>19</v>
      </c>
      <c r="K256" s="61">
        <f t="shared" si="94"/>
        <v>725</v>
      </c>
      <c r="L256" s="6">
        <v>35</v>
      </c>
      <c r="M256" s="6">
        <v>3350</v>
      </c>
      <c r="N256" s="62">
        <f t="shared" si="95"/>
        <v>88</v>
      </c>
      <c r="O256" s="62">
        <f t="shared" si="96"/>
        <v>19230</v>
      </c>
    </row>
    <row r="257" spans="1:15" x14ac:dyDescent="0.25">
      <c r="A257" s="6" t="s">
        <v>55</v>
      </c>
      <c r="B257" s="6" t="s">
        <v>161</v>
      </c>
      <c r="C257" s="6">
        <v>4</v>
      </c>
      <c r="D257" s="63">
        <v>0</v>
      </c>
      <c r="E257" s="63">
        <v>0</v>
      </c>
      <c r="F257" s="62">
        <f t="shared" si="93"/>
        <v>1</v>
      </c>
      <c r="G257" s="62">
        <f t="shared" si="93"/>
        <v>855</v>
      </c>
      <c r="H257" s="61">
        <v>15</v>
      </c>
      <c r="I257" s="61">
        <v>960</v>
      </c>
      <c r="J257" s="61">
        <f t="shared" si="94"/>
        <v>34</v>
      </c>
      <c r="K257" s="61">
        <f t="shared" si="94"/>
        <v>1685</v>
      </c>
      <c r="L257" s="6">
        <v>53</v>
      </c>
      <c r="M257" s="6">
        <v>4825</v>
      </c>
      <c r="N257" s="62">
        <f t="shared" si="95"/>
        <v>141</v>
      </c>
      <c r="O257" s="62">
        <f t="shared" si="96"/>
        <v>24055</v>
      </c>
    </row>
    <row r="258" spans="1:15" x14ac:dyDescent="0.25">
      <c r="A258" s="6" t="s">
        <v>55</v>
      </c>
      <c r="B258" s="6" t="s">
        <v>162</v>
      </c>
      <c r="C258" s="6">
        <v>5</v>
      </c>
      <c r="D258" s="63">
        <v>0</v>
      </c>
      <c r="E258" s="63">
        <v>0</v>
      </c>
      <c r="F258" s="62">
        <f t="shared" si="93"/>
        <v>1</v>
      </c>
      <c r="G258" s="62">
        <f t="shared" si="93"/>
        <v>855</v>
      </c>
      <c r="H258" s="61">
        <v>9</v>
      </c>
      <c r="I258" s="61">
        <v>13482.369999999999</v>
      </c>
      <c r="J258" s="61">
        <f t="shared" si="94"/>
        <v>43</v>
      </c>
      <c r="K258" s="61">
        <f t="shared" si="94"/>
        <v>15167.369999999999</v>
      </c>
      <c r="L258" s="6">
        <v>7</v>
      </c>
      <c r="M258" s="6">
        <v>400</v>
      </c>
      <c r="N258" s="62">
        <f t="shared" si="95"/>
        <v>148</v>
      </c>
      <c r="O258" s="62">
        <f t="shared" si="96"/>
        <v>24455</v>
      </c>
    </row>
    <row r="259" spans="1:15" x14ac:dyDescent="0.25">
      <c r="A259" s="6" t="s">
        <v>55</v>
      </c>
      <c r="B259" s="6" t="s">
        <v>163</v>
      </c>
      <c r="C259" s="6">
        <v>6</v>
      </c>
      <c r="D259" s="63">
        <v>4</v>
      </c>
      <c r="E259" s="62">
        <v>6250</v>
      </c>
      <c r="F259" s="62">
        <f t="shared" si="93"/>
        <v>5</v>
      </c>
      <c r="G259" s="62">
        <f t="shared" si="93"/>
        <v>7105</v>
      </c>
      <c r="H259" s="61">
        <v>11</v>
      </c>
      <c r="I259" s="61">
        <v>260</v>
      </c>
      <c r="J259" s="61">
        <f t="shared" si="94"/>
        <v>54</v>
      </c>
      <c r="K259" s="61">
        <f t="shared" si="94"/>
        <v>15427.369999999999</v>
      </c>
      <c r="L259" s="6">
        <v>4</v>
      </c>
      <c r="M259" s="6">
        <v>385</v>
      </c>
      <c r="N259" s="62">
        <f t="shared" si="95"/>
        <v>152</v>
      </c>
      <c r="O259" s="62">
        <f t="shared" si="96"/>
        <v>24840</v>
      </c>
    </row>
    <row r="260" spans="1:15" x14ac:dyDescent="0.25">
      <c r="A260" s="6" t="s">
        <v>55</v>
      </c>
      <c r="B260" s="6" t="s">
        <v>164</v>
      </c>
      <c r="C260" s="6">
        <v>7</v>
      </c>
      <c r="D260" s="63">
        <v>1</v>
      </c>
      <c r="E260" s="63">
        <v>3300</v>
      </c>
      <c r="F260" s="62">
        <f t="shared" si="93"/>
        <v>6</v>
      </c>
      <c r="G260" s="62">
        <f t="shared" si="93"/>
        <v>10405</v>
      </c>
      <c r="H260" s="61">
        <v>12</v>
      </c>
      <c r="I260" s="61">
        <v>7595</v>
      </c>
      <c r="J260" s="61">
        <f t="shared" si="94"/>
        <v>66</v>
      </c>
      <c r="K260" s="61">
        <f t="shared" si="94"/>
        <v>23022.37</v>
      </c>
      <c r="L260" s="6">
        <v>19</v>
      </c>
      <c r="M260" s="6">
        <v>11555</v>
      </c>
      <c r="N260" s="62">
        <f t="shared" si="95"/>
        <v>171</v>
      </c>
      <c r="O260" s="62">
        <f t="shared" si="96"/>
        <v>36395</v>
      </c>
    </row>
    <row r="261" spans="1:15" x14ac:dyDescent="0.25">
      <c r="A261" s="6" t="s">
        <v>55</v>
      </c>
      <c r="B261" s="6" t="s">
        <v>165</v>
      </c>
      <c r="C261" s="6">
        <v>8</v>
      </c>
      <c r="D261" s="63">
        <v>2</v>
      </c>
      <c r="E261" s="62">
        <v>7250</v>
      </c>
      <c r="F261" s="62">
        <f t="shared" si="93"/>
        <v>8</v>
      </c>
      <c r="G261" s="62">
        <f t="shared" si="93"/>
        <v>17655</v>
      </c>
      <c r="H261" s="61">
        <v>20</v>
      </c>
      <c r="I261" s="61">
        <v>4720</v>
      </c>
      <c r="J261" s="61">
        <f t="shared" si="94"/>
        <v>86</v>
      </c>
      <c r="K261" s="61">
        <f t="shared" si="94"/>
        <v>27742.37</v>
      </c>
      <c r="L261" s="6">
        <v>22</v>
      </c>
      <c r="M261" s="6">
        <v>2280</v>
      </c>
      <c r="N261" s="62">
        <f t="shared" si="95"/>
        <v>193</v>
      </c>
      <c r="O261" s="62">
        <f t="shared" si="96"/>
        <v>38675</v>
      </c>
    </row>
    <row r="262" spans="1:15" x14ac:dyDescent="0.25">
      <c r="A262" s="6" t="s">
        <v>55</v>
      </c>
      <c r="B262" s="6" t="s">
        <v>166</v>
      </c>
      <c r="C262" s="6">
        <v>9</v>
      </c>
      <c r="D262" s="63">
        <v>3</v>
      </c>
      <c r="E262" s="63">
        <v>2315</v>
      </c>
      <c r="F262" s="62">
        <f t="shared" si="93"/>
        <v>11</v>
      </c>
      <c r="G262" s="62">
        <f t="shared" si="93"/>
        <v>19970</v>
      </c>
      <c r="H262" s="61">
        <v>19</v>
      </c>
      <c r="I262" s="61">
        <v>4250</v>
      </c>
      <c r="J262" s="61">
        <f t="shared" si="94"/>
        <v>105</v>
      </c>
      <c r="K262" s="61">
        <f t="shared" si="94"/>
        <v>31992.37</v>
      </c>
      <c r="L262" s="6">
        <v>21</v>
      </c>
      <c r="M262" s="6">
        <v>3955</v>
      </c>
      <c r="N262" s="62">
        <f t="shared" si="95"/>
        <v>214</v>
      </c>
      <c r="O262" s="62">
        <f t="shared" si="96"/>
        <v>42630</v>
      </c>
    </row>
    <row r="263" spans="1:15" x14ac:dyDescent="0.25">
      <c r="A263" s="6" t="s">
        <v>55</v>
      </c>
      <c r="B263" s="6" t="s">
        <v>167</v>
      </c>
      <c r="C263" s="6">
        <v>10</v>
      </c>
      <c r="D263" s="63">
        <v>1</v>
      </c>
      <c r="E263" s="63">
        <v>15</v>
      </c>
      <c r="F263" s="62">
        <f t="shared" si="93"/>
        <v>12</v>
      </c>
      <c r="G263" s="62">
        <f t="shared" si="93"/>
        <v>19985</v>
      </c>
      <c r="H263" s="61">
        <v>13</v>
      </c>
      <c r="I263" s="61">
        <v>4380</v>
      </c>
      <c r="J263" s="61">
        <f t="shared" si="94"/>
        <v>118</v>
      </c>
      <c r="K263" s="61">
        <f t="shared" si="94"/>
        <v>36372.369999999995</v>
      </c>
      <c r="L263" s="6">
        <v>9</v>
      </c>
      <c r="M263" s="6">
        <v>1235</v>
      </c>
      <c r="N263" s="62">
        <f t="shared" si="95"/>
        <v>223</v>
      </c>
      <c r="O263" s="62">
        <f t="shared" si="96"/>
        <v>43865</v>
      </c>
    </row>
    <row r="264" spans="1:15" x14ac:dyDescent="0.25">
      <c r="A264" s="6" t="s">
        <v>55</v>
      </c>
      <c r="B264" s="6" t="s">
        <v>168</v>
      </c>
      <c r="C264" s="6">
        <v>11</v>
      </c>
      <c r="D264" s="63">
        <v>14</v>
      </c>
      <c r="E264" s="62">
        <v>730</v>
      </c>
      <c r="F264" s="62">
        <f t="shared" si="93"/>
        <v>26</v>
      </c>
      <c r="G264" s="62">
        <f t="shared" si="93"/>
        <v>20715</v>
      </c>
      <c r="H264" s="61">
        <v>7</v>
      </c>
      <c r="I264" s="61">
        <v>3065</v>
      </c>
      <c r="J264" s="61">
        <f t="shared" si="94"/>
        <v>125</v>
      </c>
      <c r="K264" s="61">
        <f t="shared" si="94"/>
        <v>39437.369999999995</v>
      </c>
      <c r="L264" s="6">
        <v>7</v>
      </c>
      <c r="M264" s="6">
        <v>11500</v>
      </c>
      <c r="N264" s="62">
        <f t="shared" si="95"/>
        <v>230</v>
      </c>
      <c r="O264" s="62">
        <f t="shared" si="96"/>
        <v>55365</v>
      </c>
    </row>
    <row r="265" spans="1:15" x14ac:dyDescent="0.25">
      <c r="A265" s="6" t="s">
        <v>55</v>
      </c>
      <c r="B265" s="6" t="s">
        <v>169</v>
      </c>
      <c r="C265" s="6">
        <v>12</v>
      </c>
      <c r="D265" s="62">
        <v>11</v>
      </c>
      <c r="E265" s="62">
        <v>5395</v>
      </c>
      <c r="F265" s="62">
        <f t="shared" si="93"/>
        <v>37</v>
      </c>
      <c r="G265" s="62">
        <f t="shared" si="93"/>
        <v>26110</v>
      </c>
      <c r="H265" s="61">
        <v>24</v>
      </c>
      <c r="I265" s="61">
        <v>4510</v>
      </c>
      <c r="J265" s="61">
        <f t="shared" si="94"/>
        <v>149</v>
      </c>
      <c r="K265" s="61">
        <f t="shared" si="94"/>
        <v>43947.369999999995</v>
      </c>
      <c r="L265" s="6">
        <v>1</v>
      </c>
      <c r="M265" s="6">
        <v>720</v>
      </c>
      <c r="N265" s="62">
        <f t="shared" si="95"/>
        <v>231</v>
      </c>
      <c r="O265" s="62">
        <f t="shared" si="96"/>
        <v>56085</v>
      </c>
    </row>
    <row r="266" spans="1:15" x14ac:dyDescent="0.25">
      <c r="A266" s="6" t="s">
        <v>154</v>
      </c>
      <c r="B266" s="6" t="s">
        <v>158</v>
      </c>
      <c r="C266" s="6">
        <v>1</v>
      </c>
      <c r="D266" s="63">
        <v>0</v>
      </c>
      <c r="E266" s="63">
        <v>0</v>
      </c>
      <c r="F266" s="62">
        <f>D266</f>
        <v>0</v>
      </c>
      <c r="G266" s="62">
        <f>E266</f>
        <v>0</v>
      </c>
      <c r="H266" s="62">
        <v>0</v>
      </c>
      <c r="I266" s="62">
        <v>0</v>
      </c>
      <c r="J266" s="62">
        <f>H266</f>
        <v>0</v>
      </c>
      <c r="K266" s="62">
        <f>I266</f>
        <v>0</v>
      </c>
      <c r="L266" s="6">
        <v>0</v>
      </c>
      <c r="M266" s="6">
        <v>0</v>
      </c>
      <c r="N266" s="62">
        <f>L266</f>
        <v>0</v>
      </c>
      <c r="O266" s="62">
        <f>M266</f>
        <v>0</v>
      </c>
    </row>
    <row r="267" spans="1:15" x14ac:dyDescent="0.25">
      <c r="A267" s="6" t="s">
        <v>154</v>
      </c>
      <c r="B267" s="6" t="s">
        <v>159</v>
      </c>
      <c r="C267" s="6">
        <v>2</v>
      </c>
      <c r="D267" s="63">
        <v>0</v>
      </c>
      <c r="E267" s="63">
        <v>0</v>
      </c>
      <c r="F267" s="62">
        <f t="shared" ref="F267:F277" si="97">F266+D267</f>
        <v>0</v>
      </c>
      <c r="G267" s="62">
        <f t="shared" ref="G267:G277" si="98">G266+E267</f>
        <v>0</v>
      </c>
      <c r="H267" s="62">
        <v>0</v>
      </c>
      <c r="I267" s="62">
        <v>0</v>
      </c>
      <c r="J267" s="62">
        <f t="shared" ref="J267:J277" si="99">J266+H267</f>
        <v>0</v>
      </c>
      <c r="K267" s="62">
        <f t="shared" ref="K267:K277" si="100">K266+I267</f>
        <v>0</v>
      </c>
      <c r="L267" s="6">
        <v>0</v>
      </c>
      <c r="M267" s="6">
        <v>0</v>
      </c>
      <c r="N267" s="62">
        <f t="shared" ref="N267:N277" si="101">N266+L267</f>
        <v>0</v>
      </c>
      <c r="O267" s="62">
        <f t="shared" ref="O267:O277" si="102">O266+M267</f>
        <v>0</v>
      </c>
    </row>
    <row r="268" spans="1:15" x14ac:dyDescent="0.25">
      <c r="A268" s="6" t="s">
        <v>154</v>
      </c>
      <c r="B268" s="6" t="s">
        <v>160</v>
      </c>
      <c r="C268" s="6">
        <v>3</v>
      </c>
      <c r="D268" s="63">
        <v>0</v>
      </c>
      <c r="E268" s="63">
        <v>0</v>
      </c>
      <c r="F268" s="62">
        <f t="shared" si="97"/>
        <v>0</v>
      </c>
      <c r="G268" s="62">
        <f t="shared" si="98"/>
        <v>0</v>
      </c>
      <c r="H268" s="62">
        <v>0</v>
      </c>
      <c r="I268" s="62">
        <v>0</v>
      </c>
      <c r="J268" s="62">
        <f t="shared" si="99"/>
        <v>0</v>
      </c>
      <c r="K268" s="62">
        <f t="shared" si="100"/>
        <v>0</v>
      </c>
      <c r="L268" s="6">
        <v>0</v>
      </c>
      <c r="M268" s="6">
        <v>0</v>
      </c>
      <c r="N268" s="62">
        <f t="shared" si="101"/>
        <v>0</v>
      </c>
      <c r="O268" s="62">
        <f t="shared" si="102"/>
        <v>0</v>
      </c>
    </row>
    <row r="269" spans="1:15" x14ac:dyDescent="0.25">
      <c r="A269" s="6" t="s">
        <v>154</v>
      </c>
      <c r="B269" s="6" t="s">
        <v>161</v>
      </c>
      <c r="C269" s="6">
        <v>4</v>
      </c>
      <c r="D269" s="63">
        <v>0</v>
      </c>
      <c r="E269" s="63">
        <v>0</v>
      </c>
      <c r="F269" s="62">
        <f t="shared" si="97"/>
        <v>0</v>
      </c>
      <c r="G269" s="62">
        <f t="shared" si="98"/>
        <v>0</v>
      </c>
      <c r="H269" s="62">
        <v>0</v>
      </c>
      <c r="I269" s="62">
        <v>0</v>
      </c>
      <c r="J269" s="62">
        <f t="shared" si="99"/>
        <v>0</v>
      </c>
      <c r="K269" s="62">
        <f t="shared" si="100"/>
        <v>0</v>
      </c>
      <c r="L269" s="6">
        <v>0</v>
      </c>
      <c r="M269" s="6">
        <v>0</v>
      </c>
      <c r="N269" s="62">
        <f t="shared" si="101"/>
        <v>0</v>
      </c>
      <c r="O269" s="62">
        <f t="shared" si="102"/>
        <v>0</v>
      </c>
    </row>
    <row r="270" spans="1:15" x14ac:dyDescent="0.25">
      <c r="A270" s="6" t="s">
        <v>154</v>
      </c>
      <c r="B270" s="6" t="s">
        <v>162</v>
      </c>
      <c r="C270" s="6">
        <v>5</v>
      </c>
      <c r="D270" s="63">
        <v>0</v>
      </c>
      <c r="E270" s="63">
        <v>0</v>
      </c>
      <c r="F270" s="62">
        <f t="shared" si="97"/>
        <v>0</v>
      </c>
      <c r="G270" s="62">
        <f t="shared" si="98"/>
        <v>0</v>
      </c>
      <c r="H270" s="62">
        <v>0</v>
      </c>
      <c r="I270" s="62">
        <v>0</v>
      </c>
      <c r="J270" s="62">
        <f t="shared" si="99"/>
        <v>0</v>
      </c>
      <c r="K270" s="62">
        <f t="shared" si="100"/>
        <v>0</v>
      </c>
      <c r="L270" s="6">
        <v>0</v>
      </c>
      <c r="M270" s="6">
        <v>0</v>
      </c>
      <c r="N270" s="62">
        <f t="shared" si="101"/>
        <v>0</v>
      </c>
      <c r="O270" s="62">
        <f t="shared" si="102"/>
        <v>0</v>
      </c>
    </row>
    <row r="271" spans="1:15" x14ac:dyDescent="0.25">
      <c r="A271" s="6" t="s">
        <v>154</v>
      </c>
      <c r="B271" s="6" t="s">
        <v>163</v>
      </c>
      <c r="C271" s="6">
        <v>6</v>
      </c>
      <c r="D271" s="63">
        <v>0</v>
      </c>
      <c r="E271" s="63">
        <v>0</v>
      </c>
      <c r="F271" s="62">
        <f t="shared" si="97"/>
        <v>0</v>
      </c>
      <c r="G271" s="62">
        <f t="shared" si="98"/>
        <v>0</v>
      </c>
      <c r="H271" s="62">
        <v>0</v>
      </c>
      <c r="I271" s="62">
        <v>0</v>
      </c>
      <c r="J271" s="62">
        <f t="shared" si="99"/>
        <v>0</v>
      </c>
      <c r="K271" s="62">
        <f t="shared" si="100"/>
        <v>0</v>
      </c>
      <c r="L271" s="6">
        <v>0</v>
      </c>
      <c r="M271" s="6">
        <v>0</v>
      </c>
      <c r="N271" s="62">
        <f t="shared" si="101"/>
        <v>0</v>
      </c>
      <c r="O271" s="62">
        <f t="shared" si="102"/>
        <v>0</v>
      </c>
    </row>
    <row r="272" spans="1:15" x14ac:dyDescent="0.25">
      <c r="A272" s="6" t="s">
        <v>154</v>
      </c>
      <c r="B272" s="6" t="s">
        <v>164</v>
      </c>
      <c r="C272" s="6">
        <v>7</v>
      </c>
      <c r="D272" s="63">
        <v>0</v>
      </c>
      <c r="E272" s="63">
        <v>0</v>
      </c>
      <c r="F272" s="62">
        <f t="shared" si="97"/>
        <v>0</v>
      </c>
      <c r="G272" s="62">
        <f t="shared" si="98"/>
        <v>0</v>
      </c>
      <c r="H272" s="62">
        <v>0</v>
      </c>
      <c r="I272" s="62">
        <v>0</v>
      </c>
      <c r="J272" s="62">
        <f t="shared" si="99"/>
        <v>0</v>
      </c>
      <c r="K272" s="62">
        <f t="shared" si="100"/>
        <v>0</v>
      </c>
      <c r="L272" s="6">
        <v>0</v>
      </c>
      <c r="M272" s="6">
        <v>0</v>
      </c>
      <c r="N272" s="62">
        <f t="shared" si="101"/>
        <v>0</v>
      </c>
      <c r="O272" s="62">
        <f t="shared" si="102"/>
        <v>0</v>
      </c>
    </row>
    <row r="273" spans="1:15" x14ac:dyDescent="0.25">
      <c r="A273" s="6" t="s">
        <v>154</v>
      </c>
      <c r="B273" s="6" t="s">
        <v>165</v>
      </c>
      <c r="C273" s="6">
        <v>8</v>
      </c>
      <c r="D273" s="63">
        <v>0</v>
      </c>
      <c r="E273" s="63">
        <v>0</v>
      </c>
      <c r="F273" s="62">
        <f t="shared" si="97"/>
        <v>0</v>
      </c>
      <c r="G273" s="62">
        <f t="shared" si="98"/>
        <v>0</v>
      </c>
      <c r="H273" s="62">
        <v>0</v>
      </c>
      <c r="I273" s="62">
        <v>0</v>
      </c>
      <c r="J273" s="62">
        <f t="shared" si="99"/>
        <v>0</v>
      </c>
      <c r="K273" s="62">
        <f t="shared" si="100"/>
        <v>0</v>
      </c>
      <c r="L273" s="6">
        <v>0</v>
      </c>
      <c r="M273" s="6">
        <v>0</v>
      </c>
      <c r="N273" s="62">
        <f t="shared" si="101"/>
        <v>0</v>
      </c>
      <c r="O273" s="62">
        <f t="shared" si="102"/>
        <v>0</v>
      </c>
    </row>
    <row r="274" spans="1:15" x14ac:dyDescent="0.25">
      <c r="A274" s="6" t="s">
        <v>154</v>
      </c>
      <c r="B274" s="6" t="s">
        <v>166</v>
      </c>
      <c r="C274" s="6">
        <v>9</v>
      </c>
      <c r="D274" s="63">
        <v>0</v>
      </c>
      <c r="E274" s="63">
        <v>0</v>
      </c>
      <c r="F274" s="62">
        <f t="shared" si="97"/>
        <v>0</v>
      </c>
      <c r="G274" s="62">
        <f t="shared" si="98"/>
        <v>0</v>
      </c>
      <c r="H274" s="62">
        <v>0</v>
      </c>
      <c r="I274" s="62">
        <v>0</v>
      </c>
      <c r="J274" s="62">
        <f t="shared" si="99"/>
        <v>0</v>
      </c>
      <c r="K274" s="62">
        <f t="shared" si="100"/>
        <v>0</v>
      </c>
      <c r="L274" s="6">
        <v>0</v>
      </c>
      <c r="M274" s="6">
        <v>0</v>
      </c>
      <c r="N274" s="62">
        <f t="shared" si="101"/>
        <v>0</v>
      </c>
      <c r="O274" s="62">
        <f t="shared" si="102"/>
        <v>0</v>
      </c>
    </row>
    <row r="275" spans="1:15" x14ac:dyDescent="0.25">
      <c r="A275" s="6" t="s">
        <v>154</v>
      </c>
      <c r="B275" s="6" t="s">
        <v>167</v>
      </c>
      <c r="C275" s="6">
        <v>10</v>
      </c>
      <c r="D275" s="63">
        <v>0</v>
      </c>
      <c r="E275" s="63">
        <v>0</v>
      </c>
      <c r="F275" s="62">
        <f t="shared" si="97"/>
        <v>0</v>
      </c>
      <c r="G275" s="62">
        <f t="shared" si="98"/>
        <v>0</v>
      </c>
      <c r="H275" s="62">
        <v>0</v>
      </c>
      <c r="I275" s="62">
        <v>0</v>
      </c>
      <c r="J275" s="62">
        <f t="shared" si="99"/>
        <v>0</v>
      </c>
      <c r="K275" s="62">
        <f t="shared" si="100"/>
        <v>0</v>
      </c>
      <c r="L275" s="6">
        <v>0</v>
      </c>
      <c r="M275" s="6">
        <v>0</v>
      </c>
      <c r="N275" s="62">
        <f t="shared" si="101"/>
        <v>0</v>
      </c>
      <c r="O275" s="62">
        <f t="shared" si="102"/>
        <v>0</v>
      </c>
    </row>
    <row r="276" spans="1:15" x14ac:dyDescent="0.25">
      <c r="A276" s="6" t="s">
        <v>154</v>
      </c>
      <c r="B276" s="6" t="s">
        <v>168</v>
      </c>
      <c r="C276" s="6">
        <v>11</v>
      </c>
      <c r="D276" s="63">
        <v>0</v>
      </c>
      <c r="E276" s="63">
        <v>0</v>
      </c>
      <c r="F276" s="62">
        <f t="shared" si="97"/>
        <v>0</v>
      </c>
      <c r="G276" s="62">
        <f t="shared" si="98"/>
        <v>0</v>
      </c>
      <c r="H276" s="62">
        <v>0</v>
      </c>
      <c r="I276" s="62">
        <v>0</v>
      </c>
      <c r="J276" s="62">
        <f t="shared" si="99"/>
        <v>0</v>
      </c>
      <c r="K276" s="62">
        <f t="shared" si="100"/>
        <v>0</v>
      </c>
      <c r="L276" s="6">
        <v>0</v>
      </c>
      <c r="M276" s="6">
        <v>0</v>
      </c>
      <c r="N276" s="62">
        <f t="shared" si="101"/>
        <v>0</v>
      </c>
      <c r="O276" s="62">
        <f t="shared" si="102"/>
        <v>0</v>
      </c>
    </row>
    <row r="277" spans="1:15" x14ac:dyDescent="0.25">
      <c r="A277" s="6" t="s">
        <v>154</v>
      </c>
      <c r="B277" s="6" t="s">
        <v>169</v>
      </c>
      <c r="C277" s="6">
        <v>12</v>
      </c>
      <c r="D277" s="63">
        <v>0</v>
      </c>
      <c r="E277" s="63">
        <v>0</v>
      </c>
      <c r="F277" s="62">
        <f t="shared" si="97"/>
        <v>0</v>
      </c>
      <c r="G277" s="62">
        <f t="shared" si="98"/>
        <v>0</v>
      </c>
      <c r="H277" s="62">
        <v>0</v>
      </c>
      <c r="I277" s="62">
        <v>0</v>
      </c>
      <c r="J277" s="62">
        <f t="shared" si="99"/>
        <v>0</v>
      </c>
      <c r="K277" s="62">
        <f t="shared" si="100"/>
        <v>0</v>
      </c>
      <c r="L277" s="6">
        <v>0</v>
      </c>
      <c r="M277" s="6">
        <v>0</v>
      </c>
      <c r="N277" s="62">
        <f t="shared" si="101"/>
        <v>0</v>
      </c>
      <c r="O277" s="62">
        <f t="shared" si="102"/>
        <v>0</v>
      </c>
    </row>
    <row r="278" spans="1:15" x14ac:dyDescent="0.25">
      <c r="A278" s="6" t="s">
        <v>72</v>
      </c>
      <c r="B278" s="6" t="s">
        <v>158</v>
      </c>
      <c r="C278" s="6">
        <v>1</v>
      </c>
      <c r="D278" s="63">
        <v>0</v>
      </c>
      <c r="E278" s="63">
        <v>0</v>
      </c>
      <c r="F278" s="62">
        <f>D278</f>
        <v>0</v>
      </c>
      <c r="G278" s="62">
        <f>E278</f>
        <v>0</v>
      </c>
      <c r="H278" s="61">
        <v>0</v>
      </c>
      <c r="I278" s="61">
        <v>0</v>
      </c>
      <c r="J278" s="61">
        <f>H278</f>
        <v>0</v>
      </c>
      <c r="K278" s="61">
        <f>I278</f>
        <v>0</v>
      </c>
      <c r="L278" s="6">
        <v>0</v>
      </c>
      <c r="M278" s="6">
        <v>0</v>
      </c>
      <c r="N278" s="62">
        <f>L278</f>
        <v>0</v>
      </c>
      <c r="O278" s="62">
        <f>M278</f>
        <v>0</v>
      </c>
    </row>
    <row r="279" spans="1:15" x14ac:dyDescent="0.25">
      <c r="A279" s="6" t="s">
        <v>72</v>
      </c>
      <c r="B279" s="6" t="s">
        <v>159</v>
      </c>
      <c r="C279" s="6">
        <v>2</v>
      </c>
      <c r="D279" s="63">
        <v>0</v>
      </c>
      <c r="E279" s="63">
        <v>0</v>
      </c>
      <c r="F279" s="62">
        <f t="shared" ref="F279:G289" si="103">F278+D279</f>
        <v>0</v>
      </c>
      <c r="G279" s="62">
        <f t="shared" si="103"/>
        <v>0</v>
      </c>
      <c r="H279" s="61">
        <v>0</v>
      </c>
      <c r="I279" s="61">
        <v>0</v>
      </c>
      <c r="J279" s="61">
        <f t="shared" ref="J279:K289" si="104">J278+H279</f>
        <v>0</v>
      </c>
      <c r="K279" s="61">
        <f t="shared" si="104"/>
        <v>0</v>
      </c>
      <c r="L279" s="6">
        <v>0</v>
      </c>
      <c r="M279" s="6">
        <v>0</v>
      </c>
      <c r="N279" s="62">
        <f t="shared" ref="N279:N289" si="105">N278+L279</f>
        <v>0</v>
      </c>
      <c r="O279" s="62">
        <f t="shared" ref="O279:O289" si="106">O278+M279</f>
        <v>0</v>
      </c>
    </row>
    <row r="280" spans="1:15" x14ac:dyDescent="0.25">
      <c r="A280" s="6" t="s">
        <v>72</v>
      </c>
      <c r="B280" s="6" t="s">
        <v>160</v>
      </c>
      <c r="C280" s="6">
        <v>3</v>
      </c>
      <c r="D280" s="63">
        <v>0</v>
      </c>
      <c r="E280" s="63">
        <v>0</v>
      </c>
      <c r="F280" s="62">
        <f t="shared" si="103"/>
        <v>0</v>
      </c>
      <c r="G280" s="62">
        <f t="shared" si="103"/>
        <v>0</v>
      </c>
      <c r="H280" s="61">
        <v>0</v>
      </c>
      <c r="I280" s="61">
        <v>0</v>
      </c>
      <c r="J280" s="61">
        <f t="shared" si="104"/>
        <v>0</v>
      </c>
      <c r="K280" s="61">
        <f t="shared" si="104"/>
        <v>0</v>
      </c>
      <c r="L280" s="6">
        <v>0</v>
      </c>
      <c r="M280" s="6">
        <v>0</v>
      </c>
      <c r="N280" s="62">
        <f t="shared" si="105"/>
        <v>0</v>
      </c>
      <c r="O280" s="62">
        <f t="shared" si="106"/>
        <v>0</v>
      </c>
    </row>
    <row r="281" spans="1:15" x14ac:dyDescent="0.25">
      <c r="A281" s="6" t="s">
        <v>72</v>
      </c>
      <c r="B281" s="6" t="s">
        <v>161</v>
      </c>
      <c r="C281" s="6">
        <v>4</v>
      </c>
      <c r="D281" s="63">
        <v>0</v>
      </c>
      <c r="E281" s="63">
        <v>0</v>
      </c>
      <c r="F281" s="62">
        <f t="shared" si="103"/>
        <v>0</v>
      </c>
      <c r="G281" s="62">
        <f t="shared" si="103"/>
        <v>0</v>
      </c>
      <c r="H281" s="61">
        <v>0</v>
      </c>
      <c r="I281" s="61">
        <v>0</v>
      </c>
      <c r="J281" s="61">
        <f t="shared" si="104"/>
        <v>0</v>
      </c>
      <c r="K281" s="61">
        <f t="shared" si="104"/>
        <v>0</v>
      </c>
      <c r="L281" s="6">
        <v>3</v>
      </c>
      <c r="M281" s="6">
        <v>960</v>
      </c>
      <c r="N281" s="62">
        <f t="shared" si="105"/>
        <v>3</v>
      </c>
      <c r="O281" s="62">
        <f t="shared" si="106"/>
        <v>960</v>
      </c>
    </row>
    <row r="282" spans="1:15" x14ac:dyDescent="0.25">
      <c r="A282" s="6" t="s">
        <v>72</v>
      </c>
      <c r="B282" s="6" t="s">
        <v>162</v>
      </c>
      <c r="C282" s="6">
        <v>5</v>
      </c>
      <c r="D282" s="63">
        <v>0</v>
      </c>
      <c r="E282" s="63">
        <v>0</v>
      </c>
      <c r="F282" s="62">
        <f t="shared" si="103"/>
        <v>0</v>
      </c>
      <c r="G282" s="62">
        <f t="shared" si="103"/>
        <v>0</v>
      </c>
      <c r="H282" s="61">
        <v>3</v>
      </c>
      <c r="I282" s="61">
        <v>4871</v>
      </c>
      <c r="J282" s="61">
        <f t="shared" si="104"/>
        <v>3</v>
      </c>
      <c r="K282" s="61">
        <f t="shared" si="104"/>
        <v>4871</v>
      </c>
      <c r="L282" s="6">
        <v>0</v>
      </c>
      <c r="M282" s="6">
        <v>0</v>
      </c>
      <c r="N282" s="62">
        <f t="shared" si="105"/>
        <v>3</v>
      </c>
      <c r="O282" s="62">
        <f t="shared" si="106"/>
        <v>960</v>
      </c>
    </row>
    <row r="283" spans="1:15" x14ac:dyDescent="0.25">
      <c r="A283" s="6" t="s">
        <v>72</v>
      </c>
      <c r="B283" s="6" t="s">
        <v>163</v>
      </c>
      <c r="C283" s="6">
        <v>6</v>
      </c>
      <c r="D283" s="63">
        <v>0</v>
      </c>
      <c r="E283" s="63">
        <v>0</v>
      </c>
      <c r="F283" s="62">
        <f t="shared" si="103"/>
        <v>0</v>
      </c>
      <c r="G283" s="62">
        <f t="shared" si="103"/>
        <v>0</v>
      </c>
      <c r="H283" s="61">
        <v>0</v>
      </c>
      <c r="I283" s="61">
        <v>0</v>
      </c>
      <c r="J283" s="61">
        <f t="shared" si="104"/>
        <v>3</v>
      </c>
      <c r="K283" s="61">
        <f t="shared" si="104"/>
        <v>4871</v>
      </c>
      <c r="L283" s="6">
        <v>0</v>
      </c>
      <c r="M283" s="6">
        <v>0</v>
      </c>
      <c r="N283" s="62">
        <f t="shared" si="105"/>
        <v>3</v>
      </c>
      <c r="O283" s="62">
        <f t="shared" si="106"/>
        <v>960</v>
      </c>
    </row>
    <row r="284" spans="1:15" x14ac:dyDescent="0.25">
      <c r="A284" s="6" t="s">
        <v>72</v>
      </c>
      <c r="B284" s="6" t="s">
        <v>164</v>
      </c>
      <c r="C284" s="6">
        <v>7</v>
      </c>
      <c r="D284" s="63">
        <v>0</v>
      </c>
      <c r="E284" s="63">
        <v>0</v>
      </c>
      <c r="F284" s="62">
        <f t="shared" si="103"/>
        <v>0</v>
      </c>
      <c r="G284" s="62">
        <f t="shared" si="103"/>
        <v>0</v>
      </c>
      <c r="H284" s="61">
        <v>0</v>
      </c>
      <c r="I284" s="61">
        <v>0</v>
      </c>
      <c r="J284" s="61">
        <f t="shared" si="104"/>
        <v>3</v>
      </c>
      <c r="K284" s="61">
        <f t="shared" si="104"/>
        <v>4871</v>
      </c>
      <c r="L284" s="6">
        <v>0</v>
      </c>
      <c r="M284" s="6">
        <v>0</v>
      </c>
      <c r="N284" s="62">
        <f t="shared" si="105"/>
        <v>3</v>
      </c>
      <c r="O284" s="62">
        <f t="shared" si="106"/>
        <v>960</v>
      </c>
    </row>
    <row r="285" spans="1:15" x14ac:dyDescent="0.25">
      <c r="A285" s="6" t="s">
        <v>72</v>
      </c>
      <c r="B285" s="6" t="s">
        <v>165</v>
      </c>
      <c r="C285" s="6">
        <v>8</v>
      </c>
      <c r="D285" s="63">
        <v>0</v>
      </c>
      <c r="E285" s="63">
        <v>0</v>
      </c>
      <c r="F285" s="62">
        <f t="shared" si="103"/>
        <v>0</v>
      </c>
      <c r="G285" s="62">
        <f t="shared" si="103"/>
        <v>0</v>
      </c>
      <c r="H285" s="61">
        <v>0</v>
      </c>
      <c r="I285" s="61">
        <v>0</v>
      </c>
      <c r="J285" s="61">
        <f t="shared" si="104"/>
        <v>3</v>
      </c>
      <c r="K285" s="61">
        <f t="shared" si="104"/>
        <v>4871</v>
      </c>
      <c r="L285" s="6">
        <v>2</v>
      </c>
      <c r="M285" s="6">
        <v>1290</v>
      </c>
      <c r="N285" s="62">
        <f t="shared" si="105"/>
        <v>5</v>
      </c>
      <c r="O285" s="62">
        <f t="shared" si="106"/>
        <v>2250</v>
      </c>
    </row>
    <row r="286" spans="1:15" x14ac:dyDescent="0.25">
      <c r="A286" s="6" t="s">
        <v>72</v>
      </c>
      <c r="B286" s="6" t="s">
        <v>166</v>
      </c>
      <c r="C286" s="6">
        <v>9</v>
      </c>
      <c r="D286" s="63">
        <v>0</v>
      </c>
      <c r="E286" s="63">
        <v>0</v>
      </c>
      <c r="F286" s="62">
        <f t="shared" si="103"/>
        <v>0</v>
      </c>
      <c r="G286" s="62">
        <f t="shared" si="103"/>
        <v>0</v>
      </c>
      <c r="H286" s="61">
        <v>0</v>
      </c>
      <c r="I286" s="61">
        <v>0</v>
      </c>
      <c r="J286" s="61">
        <f t="shared" si="104"/>
        <v>3</v>
      </c>
      <c r="K286" s="61">
        <f t="shared" si="104"/>
        <v>4871</v>
      </c>
      <c r="L286" s="6">
        <v>0</v>
      </c>
      <c r="M286" s="6">
        <v>0</v>
      </c>
      <c r="N286" s="62">
        <f t="shared" si="105"/>
        <v>5</v>
      </c>
      <c r="O286" s="62">
        <f t="shared" si="106"/>
        <v>2250</v>
      </c>
    </row>
    <row r="287" spans="1:15" x14ac:dyDescent="0.25">
      <c r="A287" s="6" t="s">
        <v>72</v>
      </c>
      <c r="B287" s="6" t="s">
        <v>167</v>
      </c>
      <c r="C287" s="6">
        <v>10</v>
      </c>
      <c r="D287" s="63">
        <v>0</v>
      </c>
      <c r="E287" s="63">
        <v>0</v>
      </c>
      <c r="F287" s="62">
        <f t="shared" si="103"/>
        <v>0</v>
      </c>
      <c r="G287" s="62">
        <f t="shared" si="103"/>
        <v>0</v>
      </c>
      <c r="H287" s="61">
        <v>1</v>
      </c>
      <c r="I287" s="61">
        <v>50</v>
      </c>
      <c r="J287" s="61">
        <f t="shared" si="104"/>
        <v>4</v>
      </c>
      <c r="K287" s="61">
        <f t="shared" si="104"/>
        <v>4921</v>
      </c>
      <c r="L287" s="6">
        <v>0</v>
      </c>
      <c r="M287" s="6">
        <v>0</v>
      </c>
      <c r="N287" s="62">
        <f t="shared" si="105"/>
        <v>5</v>
      </c>
      <c r="O287" s="62">
        <f t="shared" si="106"/>
        <v>2250</v>
      </c>
    </row>
    <row r="288" spans="1:15" x14ac:dyDescent="0.25">
      <c r="A288" s="6" t="s">
        <v>72</v>
      </c>
      <c r="B288" s="6" t="s">
        <v>168</v>
      </c>
      <c r="C288" s="6">
        <v>11</v>
      </c>
      <c r="D288" s="63">
        <v>0</v>
      </c>
      <c r="E288" s="63">
        <v>0</v>
      </c>
      <c r="F288" s="62">
        <f t="shared" si="103"/>
        <v>0</v>
      </c>
      <c r="G288" s="62">
        <f t="shared" si="103"/>
        <v>0</v>
      </c>
      <c r="H288" s="61">
        <v>0</v>
      </c>
      <c r="I288" s="61">
        <v>0</v>
      </c>
      <c r="J288" s="61">
        <f t="shared" si="104"/>
        <v>4</v>
      </c>
      <c r="K288" s="61">
        <f t="shared" si="104"/>
        <v>4921</v>
      </c>
      <c r="L288" s="6">
        <v>0</v>
      </c>
      <c r="M288" s="6">
        <v>0</v>
      </c>
      <c r="N288" s="62">
        <f t="shared" si="105"/>
        <v>5</v>
      </c>
      <c r="O288" s="62">
        <f t="shared" si="106"/>
        <v>2250</v>
      </c>
    </row>
    <row r="289" spans="1:15" x14ac:dyDescent="0.25">
      <c r="A289" s="6" t="s">
        <v>72</v>
      </c>
      <c r="B289" s="6" t="s">
        <v>169</v>
      </c>
      <c r="C289" s="6">
        <v>12</v>
      </c>
      <c r="D289" s="63">
        <v>0</v>
      </c>
      <c r="E289" s="63">
        <v>0</v>
      </c>
      <c r="F289" s="62">
        <f t="shared" si="103"/>
        <v>0</v>
      </c>
      <c r="G289" s="62">
        <f t="shared" si="103"/>
        <v>0</v>
      </c>
      <c r="H289" s="61">
        <v>0</v>
      </c>
      <c r="I289" s="61">
        <v>0</v>
      </c>
      <c r="J289" s="61">
        <f t="shared" si="104"/>
        <v>4</v>
      </c>
      <c r="K289" s="61">
        <f t="shared" si="104"/>
        <v>4921</v>
      </c>
      <c r="L289" s="6">
        <v>0</v>
      </c>
      <c r="M289" s="6">
        <v>0</v>
      </c>
      <c r="N289" s="62">
        <f t="shared" si="105"/>
        <v>5</v>
      </c>
      <c r="O289" s="62">
        <f t="shared" si="106"/>
        <v>2250</v>
      </c>
    </row>
    <row r="290" spans="1:15" x14ac:dyDescent="0.25">
      <c r="A290" s="6" t="s">
        <v>76</v>
      </c>
      <c r="B290" s="6" t="s">
        <v>158</v>
      </c>
      <c r="C290" s="6">
        <v>1</v>
      </c>
      <c r="D290" s="63">
        <v>2</v>
      </c>
      <c r="E290" s="63">
        <v>1340</v>
      </c>
      <c r="F290" s="62">
        <f>D290</f>
        <v>2</v>
      </c>
      <c r="G290" s="62">
        <f>E290</f>
        <v>1340</v>
      </c>
      <c r="H290" s="61">
        <v>1</v>
      </c>
      <c r="I290" s="61">
        <v>1050</v>
      </c>
      <c r="J290" s="61">
        <f>H290</f>
        <v>1</v>
      </c>
      <c r="K290" s="61">
        <f>I290</f>
        <v>1050</v>
      </c>
      <c r="L290" s="6">
        <v>5</v>
      </c>
      <c r="M290" s="6">
        <v>6410.18</v>
      </c>
      <c r="N290" s="62">
        <f>L290</f>
        <v>5</v>
      </c>
      <c r="O290" s="62">
        <f>M290</f>
        <v>6410.18</v>
      </c>
    </row>
    <row r="291" spans="1:15" x14ac:dyDescent="0.25">
      <c r="A291" s="6" t="s">
        <v>76</v>
      </c>
      <c r="B291" s="6" t="s">
        <v>159</v>
      </c>
      <c r="C291" s="6">
        <v>2</v>
      </c>
      <c r="D291" s="63">
        <v>0</v>
      </c>
      <c r="E291" s="63">
        <v>0</v>
      </c>
      <c r="F291" s="62">
        <f t="shared" ref="F291:G301" si="107">F290+D291</f>
        <v>2</v>
      </c>
      <c r="G291" s="62">
        <f t="shared" si="107"/>
        <v>1340</v>
      </c>
      <c r="H291" s="61">
        <v>1</v>
      </c>
      <c r="I291" s="61">
        <v>700</v>
      </c>
      <c r="J291" s="61">
        <f t="shared" ref="J291:K301" si="108">J290+H291</f>
        <v>2</v>
      </c>
      <c r="K291" s="61">
        <f t="shared" si="108"/>
        <v>1750</v>
      </c>
      <c r="L291" s="6">
        <v>3</v>
      </c>
      <c r="M291" s="6">
        <v>1200</v>
      </c>
      <c r="N291" s="62">
        <f t="shared" ref="N291:N301" si="109">N290+L291</f>
        <v>8</v>
      </c>
      <c r="O291" s="62">
        <f t="shared" ref="O291:O301" si="110">O290+M291</f>
        <v>7610.18</v>
      </c>
    </row>
    <row r="292" spans="1:15" x14ac:dyDescent="0.25">
      <c r="A292" s="6" t="s">
        <v>76</v>
      </c>
      <c r="B292" s="6" t="s">
        <v>160</v>
      </c>
      <c r="C292" s="6">
        <v>3</v>
      </c>
      <c r="D292" s="63">
        <v>0</v>
      </c>
      <c r="E292" s="63">
        <v>0</v>
      </c>
      <c r="F292" s="62">
        <f t="shared" si="107"/>
        <v>2</v>
      </c>
      <c r="G292" s="62">
        <f t="shared" si="107"/>
        <v>1340</v>
      </c>
      <c r="H292" s="61">
        <v>0</v>
      </c>
      <c r="I292" s="61">
        <v>0</v>
      </c>
      <c r="J292" s="61">
        <f t="shared" si="108"/>
        <v>2</v>
      </c>
      <c r="K292" s="61">
        <f t="shared" si="108"/>
        <v>1750</v>
      </c>
      <c r="L292" s="6">
        <v>2</v>
      </c>
      <c r="M292" s="6">
        <v>1530</v>
      </c>
      <c r="N292" s="62">
        <f t="shared" si="109"/>
        <v>10</v>
      </c>
      <c r="O292" s="62">
        <f t="shared" si="110"/>
        <v>9140.18</v>
      </c>
    </row>
    <row r="293" spans="1:15" x14ac:dyDescent="0.25">
      <c r="A293" s="6" t="s">
        <v>76</v>
      </c>
      <c r="B293" s="6" t="s">
        <v>161</v>
      </c>
      <c r="C293" s="6">
        <v>4</v>
      </c>
      <c r="D293" s="63">
        <v>1</v>
      </c>
      <c r="E293" s="63">
        <v>750</v>
      </c>
      <c r="F293" s="62">
        <f t="shared" si="107"/>
        <v>3</v>
      </c>
      <c r="G293" s="62">
        <f t="shared" si="107"/>
        <v>2090</v>
      </c>
      <c r="H293" s="61">
        <v>5</v>
      </c>
      <c r="I293" s="61">
        <v>5050</v>
      </c>
      <c r="J293" s="61">
        <f t="shared" si="108"/>
        <v>7</v>
      </c>
      <c r="K293" s="61">
        <f t="shared" si="108"/>
        <v>6800</v>
      </c>
      <c r="L293" s="6">
        <v>4</v>
      </c>
      <c r="M293" s="6">
        <v>4</v>
      </c>
      <c r="N293" s="62">
        <f t="shared" si="109"/>
        <v>14</v>
      </c>
      <c r="O293" s="62">
        <f t="shared" si="110"/>
        <v>9144.18</v>
      </c>
    </row>
    <row r="294" spans="1:15" x14ac:dyDescent="0.25">
      <c r="A294" s="6" t="s">
        <v>76</v>
      </c>
      <c r="B294" s="6" t="s">
        <v>162</v>
      </c>
      <c r="C294" s="6">
        <v>5</v>
      </c>
      <c r="D294" s="63">
        <v>1</v>
      </c>
      <c r="E294" s="63">
        <v>900</v>
      </c>
      <c r="F294" s="62">
        <f t="shared" si="107"/>
        <v>4</v>
      </c>
      <c r="G294" s="62">
        <f t="shared" si="107"/>
        <v>2990</v>
      </c>
      <c r="H294" s="61">
        <v>2</v>
      </c>
      <c r="I294" s="61">
        <v>900</v>
      </c>
      <c r="J294" s="61">
        <f t="shared" si="108"/>
        <v>9</v>
      </c>
      <c r="K294" s="61">
        <f t="shared" si="108"/>
        <v>7700</v>
      </c>
      <c r="L294" s="6">
        <v>2</v>
      </c>
      <c r="M294" s="6">
        <v>2628</v>
      </c>
      <c r="N294" s="62">
        <f t="shared" si="109"/>
        <v>16</v>
      </c>
      <c r="O294" s="62">
        <f t="shared" si="110"/>
        <v>11772.18</v>
      </c>
    </row>
    <row r="295" spans="1:15" x14ac:dyDescent="0.25">
      <c r="A295" s="6" t="s">
        <v>76</v>
      </c>
      <c r="B295" s="6" t="s">
        <v>163</v>
      </c>
      <c r="C295" s="6">
        <v>6</v>
      </c>
      <c r="D295" s="63">
        <v>0</v>
      </c>
      <c r="E295" s="63">
        <v>0</v>
      </c>
      <c r="F295" s="62">
        <f t="shared" si="107"/>
        <v>4</v>
      </c>
      <c r="G295" s="62">
        <f t="shared" si="107"/>
        <v>2990</v>
      </c>
      <c r="H295" s="61">
        <v>5</v>
      </c>
      <c r="I295" s="61">
        <v>5385</v>
      </c>
      <c r="J295" s="61">
        <f t="shared" si="108"/>
        <v>14</v>
      </c>
      <c r="K295" s="61">
        <f t="shared" si="108"/>
        <v>13085</v>
      </c>
      <c r="L295" s="6">
        <v>1</v>
      </c>
      <c r="M295" s="6">
        <v>710</v>
      </c>
      <c r="N295" s="62">
        <f t="shared" si="109"/>
        <v>17</v>
      </c>
      <c r="O295" s="62">
        <f t="shared" si="110"/>
        <v>12482.18</v>
      </c>
    </row>
    <row r="296" spans="1:15" x14ac:dyDescent="0.25">
      <c r="A296" s="6" t="s">
        <v>76</v>
      </c>
      <c r="B296" s="6" t="s">
        <v>164</v>
      </c>
      <c r="C296" s="6">
        <v>7</v>
      </c>
      <c r="D296" s="63">
        <v>0</v>
      </c>
      <c r="E296" s="63">
        <v>0</v>
      </c>
      <c r="F296" s="62">
        <f t="shared" si="107"/>
        <v>4</v>
      </c>
      <c r="G296" s="62">
        <f t="shared" si="107"/>
        <v>2990</v>
      </c>
      <c r="H296" s="61">
        <v>1</v>
      </c>
      <c r="I296" s="61">
        <v>1620</v>
      </c>
      <c r="J296" s="61">
        <f t="shared" si="108"/>
        <v>15</v>
      </c>
      <c r="K296" s="61">
        <f t="shared" si="108"/>
        <v>14705</v>
      </c>
      <c r="L296" s="6">
        <v>2</v>
      </c>
      <c r="M296" s="6">
        <v>3306</v>
      </c>
      <c r="N296" s="62">
        <f t="shared" si="109"/>
        <v>19</v>
      </c>
      <c r="O296" s="62">
        <f t="shared" si="110"/>
        <v>15788.18</v>
      </c>
    </row>
    <row r="297" spans="1:15" x14ac:dyDescent="0.25">
      <c r="A297" s="6" t="s">
        <v>76</v>
      </c>
      <c r="B297" s="6" t="s">
        <v>165</v>
      </c>
      <c r="C297" s="6">
        <v>8</v>
      </c>
      <c r="D297" s="62">
        <v>3</v>
      </c>
      <c r="E297" s="62">
        <v>4350</v>
      </c>
      <c r="F297" s="62">
        <f t="shared" si="107"/>
        <v>7</v>
      </c>
      <c r="G297" s="62">
        <f t="shared" si="107"/>
        <v>7340</v>
      </c>
      <c r="H297" s="61">
        <v>3</v>
      </c>
      <c r="I297" s="61">
        <v>4044</v>
      </c>
      <c r="J297" s="61">
        <f t="shared" si="108"/>
        <v>18</v>
      </c>
      <c r="K297" s="61">
        <f t="shared" si="108"/>
        <v>18749</v>
      </c>
      <c r="L297" s="6">
        <v>3</v>
      </c>
      <c r="M297" s="6">
        <v>3300</v>
      </c>
      <c r="N297" s="62">
        <f t="shared" si="109"/>
        <v>22</v>
      </c>
      <c r="O297" s="62">
        <f t="shared" si="110"/>
        <v>19088.18</v>
      </c>
    </row>
    <row r="298" spans="1:15" x14ac:dyDescent="0.25">
      <c r="A298" s="6" t="s">
        <v>76</v>
      </c>
      <c r="B298" s="6" t="s">
        <v>166</v>
      </c>
      <c r="C298" s="6">
        <v>9</v>
      </c>
      <c r="D298" s="63">
        <v>2</v>
      </c>
      <c r="E298" s="63">
        <v>1350</v>
      </c>
      <c r="F298" s="62">
        <f t="shared" si="107"/>
        <v>9</v>
      </c>
      <c r="G298" s="62">
        <f t="shared" si="107"/>
        <v>8690</v>
      </c>
      <c r="H298" s="61">
        <v>4</v>
      </c>
      <c r="I298" s="61">
        <v>3960.1</v>
      </c>
      <c r="J298" s="61">
        <f t="shared" si="108"/>
        <v>22</v>
      </c>
      <c r="K298" s="61">
        <f t="shared" si="108"/>
        <v>22709.1</v>
      </c>
      <c r="L298" s="6">
        <v>1</v>
      </c>
      <c r="M298" s="6">
        <v>1</v>
      </c>
      <c r="N298" s="62">
        <f t="shared" si="109"/>
        <v>23</v>
      </c>
      <c r="O298" s="62">
        <f t="shared" si="110"/>
        <v>19089.18</v>
      </c>
    </row>
    <row r="299" spans="1:15" x14ac:dyDescent="0.25">
      <c r="A299" s="6" t="s">
        <v>76</v>
      </c>
      <c r="B299" s="6" t="s">
        <v>167</v>
      </c>
      <c r="C299" s="6">
        <v>10</v>
      </c>
      <c r="D299" s="63">
        <v>4</v>
      </c>
      <c r="E299" s="63">
        <v>6813.19</v>
      </c>
      <c r="F299" s="62">
        <f t="shared" si="107"/>
        <v>13</v>
      </c>
      <c r="G299" s="62">
        <f t="shared" si="107"/>
        <v>15503.189999999999</v>
      </c>
      <c r="H299" s="61">
        <v>1</v>
      </c>
      <c r="I299" s="61">
        <v>403.2</v>
      </c>
      <c r="J299" s="61">
        <f t="shared" si="108"/>
        <v>23</v>
      </c>
      <c r="K299" s="61">
        <f t="shared" si="108"/>
        <v>23112.3</v>
      </c>
      <c r="L299" s="6">
        <v>4</v>
      </c>
      <c r="M299" s="6">
        <v>1847</v>
      </c>
      <c r="N299" s="62">
        <f t="shared" si="109"/>
        <v>27</v>
      </c>
      <c r="O299" s="62">
        <f t="shared" si="110"/>
        <v>20936.18</v>
      </c>
    </row>
    <row r="300" spans="1:15" x14ac:dyDescent="0.25">
      <c r="A300" s="6" t="s">
        <v>76</v>
      </c>
      <c r="B300" s="6" t="s">
        <v>168</v>
      </c>
      <c r="C300" s="6">
        <v>11</v>
      </c>
      <c r="D300" s="63">
        <v>1</v>
      </c>
      <c r="E300" s="63">
        <v>860</v>
      </c>
      <c r="F300" s="62">
        <f t="shared" si="107"/>
        <v>14</v>
      </c>
      <c r="G300" s="62">
        <f t="shared" si="107"/>
        <v>16363.189999999999</v>
      </c>
      <c r="H300" s="61">
        <v>4</v>
      </c>
      <c r="I300" s="61">
        <v>6217</v>
      </c>
      <c r="J300" s="61">
        <f t="shared" si="108"/>
        <v>27</v>
      </c>
      <c r="K300" s="61">
        <f t="shared" si="108"/>
        <v>29329.3</v>
      </c>
      <c r="L300" s="6">
        <v>10</v>
      </c>
      <c r="M300" s="6">
        <v>14197.19</v>
      </c>
      <c r="N300" s="62">
        <f t="shared" si="109"/>
        <v>37</v>
      </c>
      <c r="O300" s="62">
        <f t="shared" si="110"/>
        <v>35133.370000000003</v>
      </c>
    </row>
    <row r="301" spans="1:15" x14ac:dyDescent="0.25">
      <c r="A301" s="6" t="s">
        <v>76</v>
      </c>
      <c r="B301" s="6" t="s">
        <v>169</v>
      </c>
      <c r="C301" s="6">
        <v>12</v>
      </c>
      <c r="D301" s="63">
        <v>0</v>
      </c>
      <c r="E301" s="63">
        <v>0</v>
      </c>
      <c r="F301" s="62">
        <f t="shared" si="107"/>
        <v>14</v>
      </c>
      <c r="G301" s="62">
        <f t="shared" si="107"/>
        <v>16363.189999999999</v>
      </c>
      <c r="H301" s="61">
        <v>0</v>
      </c>
      <c r="I301" s="61">
        <v>0</v>
      </c>
      <c r="J301" s="61">
        <f t="shared" si="108"/>
        <v>27</v>
      </c>
      <c r="K301" s="61">
        <f t="shared" si="108"/>
        <v>29329.3</v>
      </c>
      <c r="L301" s="6">
        <v>4</v>
      </c>
      <c r="M301" s="6">
        <v>11000</v>
      </c>
      <c r="N301" s="62">
        <f t="shared" si="109"/>
        <v>41</v>
      </c>
      <c r="O301" s="62">
        <f t="shared" si="110"/>
        <v>46133.37</v>
      </c>
    </row>
    <row r="302" spans="1:15" x14ac:dyDescent="0.25">
      <c r="A302" s="6" t="s">
        <v>47</v>
      </c>
      <c r="B302" s="6" t="s">
        <v>158</v>
      </c>
      <c r="C302" s="6">
        <v>1</v>
      </c>
      <c r="D302" s="63">
        <v>0</v>
      </c>
      <c r="E302" s="63">
        <v>0</v>
      </c>
      <c r="F302" s="62">
        <f>D302</f>
        <v>0</v>
      </c>
      <c r="G302" s="62">
        <f>E302</f>
        <v>0</v>
      </c>
      <c r="H302" s="61">
        <v>0</v>
      </c>
      <c r="I302" s="61">
        <v>0</v>
      </c>
      <c r="J302" s="61">
        <f>H302</f>
        <v>0</v>
      </c>
      <c r="K302" s="61">
        <f>I302</f>
        <v>0</v>
      </c>
      <c r="L302" s="6">
        <v>0</v>
      </c>
      <c r="M302" s="6">
        <v>0</v>
      </c>
      <c r="N302" s="62">
        <f>L302</f>
        <v>0</v>
      </c>
      <c r="O302" s="62">
        <f>M302</f>
        <v>0</v>
      </c>
    </row>
    <row r="303" spans="1:15" x14ac:dyDescent="0.25">
      <c r="A303" s="6" t="s">
        <v>47</v>
      </c>
      <c r="B303" s="6" t="s">
        <v>159</v>
      </c>
      <c r="C303" s="6">
        <v>2</v>
      </c>
      <c r="D303" s="63">
        <v>0</v>
      </c>
      <c r="E303" s="63">
        <v>0</v>
      </c>
      <c r="F303" s="62">
        <f t="shared" ref="F303:G313" si="111">F302+D303</f>
        <v>0</v>
      </c>
      <c r="G303" s="62">
        <f t="shared" si="111"/>
        <v>0</v>
      </c>
      <c r="H303" s="61">
        <v>0</v>
      </c>
      <c r="I303" s="61">
        <v>0</v>
      </c>
      <c r="J303" s="61">
        <f t="shared" ref="J303:K313" si="112">J302+H303</f>
        <v>0</v>
      </c>
      <c r="K303" s="61">
        <f t="shared" si="112"/>
        <v>0</v>
      </c>
      <c r="L303" s="6">
        <v>0</v>
      </c>
      <c r="M303" s="6">
        <v>0</v>
      </c>
      <c r="N303" s="62">
        <f t="shared" ref="N303:N313" si="113">N302+L303</f>
        <v>0</v>
      </c>
      <c r="O303" s="62">
        <f t="shared" ref="O303:O313" si="114">O302+M303</f>
        <v>0</v>
      </c>
    </row>
    <row r="304" spans="1:15" x14ac:dyDescent="0.25">
      <c r="A304" s="6" t="s">
        <v>47</v>
      </c>
      <c r="B304" s="6" t="s">
        <v>160</v>
      </c>
      <c r="C304" s="6">
        <v>3</v>
      </c>
      <c r="D304" s="63">
        <v>0</v>
      </c>
      <c r="E304" s="63">
        <v>0</v>
      </c>
      <c r="F304" s="62">
        <f t="shared" si="111"/>
        <v>0</v>
      </c>
      <c r="G304" s="62">
        <f t="shared" si="111"/>
        <v>0</v>
      </c>
      <c r="H304" s="61">
        <v>2</v>
      </c>
      <c r="I304" s="61">
        <v>700.94</v>
      </c>
      <c r="J304" s="61">
        <f t="shared" si="112"/>
        <v>2</v>
      </c>
      <c r="K304" s="61">
        <f t="shared" si="112"/>
        <v>700.94</v>
      </c>
      <c r="L304" s="6">
        <v>3</v>
      </c>
      <c r="M304" s="6">
        <v>1813.63</v>
      </c>
      <c r="N304" s="62">
        <f t="shared" si="113"/>
        <v>3</v>
      </c>
      <c r="O304" s="62">
        <f t="shared" si="114"/>
        <v>1813.63</v>
      </c>
    </row>
    <row r="305" spans="1:15" x14ac:dyDescent="0.25">
      <c r="A305" s="6" t="s">
        <v>47</v>
      </c>
      <c r="B305" s="6" t="s">
        <v>161</v>
      </c>
      <c r="C305" s="6">
        <v>4</v>
      </c>
      <c r="D305" s="63">
        <v>0</v>
      </c>
      <c r="E305" s="63">
        <v>0</v>
      </c>
      <c r="F305" s="62">
        <f t="shared" si="111"/>
        <v>0</v>
      </c>
      <c r="G305" s="62">
        <f t="shared" si="111"/>
        <v>0</v>
      </c>
      <c r="H305" s="61">
        <v>0</v>
      </c>
      <c r="I305" s="61">
        <v>0</v>
      </c>
      <c r="J305" s="61">
        <f t="shared" si="112"/>
        <v>2</v>
      </c>
      <c r="K305" s="61">
        <f t="shared" si="112"/>
        <v>700.94</v>
      </c>
      <c r="L305" s="6">
        <v>0</v>
      </c>
      <c r="M305" s="6">
        <v>0</v>
      </c>
      <c r="N305" s="62">
        <f t="shared" si="113"/>
        <v>3</v>
      </c>
      <c r="O305" s="62">
        <f t="shared" si="114"/>
        <v>1813.63</v>
      </c>
    </row>
    <row r="306" spans="1:15" x14ac:dyDescent="0.25">
      <c r="A306" s="6" t="s">
        <v>47</v>
      </c>
      <c r="B306" s="6" t="s">
        <v>162</v>
      </c>
      <c r="C306" s="6">
        <v>5</v>
      </c>
      <c r="D306" s="63">
        <v>0</v>
      </c>
      <c r="E306" s="63">
        <v>0</v>
      </c>
      <c r="F306" s="62">
        <f t="shared" si="111"/>
        <v>0</v>
      </c>
      <c r="G306" s="62">
        <f t="shared" si="111"/>
        <v>0</v>
      </c>
      <c r="H306" s="61">
        <v>11</v>
      </c>
      <c r="I306" s="61">
        <v>1721.75</v>
      </c>
      <c r="J306" s="61">
        <f t="shared" si="112"/>
        <v>13</v>
      </c>
      <c r="K306" s="61">
        <f t="shared" si="112"/>
        <v>2422.69</v>
      </c>
      <c r="L306" s="6">
        <v>0</v>
      </c>
      <c r="M306" s="6">
        <v>0</v>
      </c>
      <c r="N306" s="62">
        <f t="shared" si="113"/>
        <v>3</v>
      </c>
      <c r="O306" s="62">
        <f t="shared" si="114"/>
        <v>1813.63</v>
      </c>
    </row>
    <row r="307" spans="1:15" x14ac:dyDescent="0.25">
      <c r="A307" s="6" t="s">
        <v>47</v>
      </c>
      <c r="B307" s="6" t="s">
        <v>163</v>
      </c>
      <c r="C307" s="6">
        <v>6</v>
      </c>
      <c r="D307" s="63">
        <v>0</v>
      </c>
      <c r="E307" s="63">
        <v>0</v>
      </c>
      <c r="F307" s="62">
        <f t="shared" si="111"/>
        <v>0</v>
      </c>
      <c r="G307" s="62">
        <f t="shared" si="111"/>
        <v>0</v>
      </c>
      <c r="H307" s="61">
        <v>2</v>
      </c>
      <c r="I307" s="61">
        <v>58.989999999999995</v>
      </c>
      <c r="J307" s="61">
        <f t="shared" si="112"/>
        <v>15</v>
      </c>
      <c r="K307" s="61">
        <f t="shared" si="112"/>
        <v>2481.6799999999998</v>
      </c>
      <c r="L307" s="6">
        <v>0</v>
      </c>
      <c r="M307" s="6">
        <v>0</v>
      </c>
      <c r="N307" s="62">
        <f t="shared" si="113"/>
        <v>3</v>
      </c>
      <c r="O307" s="62">
        <f t="shared" si="114"/>
        <v>1813.63</v>
      </c>
    </row>
    <row r="308" spans="1:15" x14ac:dyDescent="0.25">
      <c r="A308" s="6" t="s">
        <v>47</v>
      </c>
      <c r="B308" s="6" t="s">
        <v>164</v>
      </c>
      <c r="C308" s="6">
        <v>7</v>
      </c>
      <c r="D308" s="63">
        <v>0</v>
      </c>
      <c r="E308" s="63">
        <v>0</v>
      </c>
      <c r="F308" s="62">
        <f t="shared" si="111"/>
        <v>0</v>
      </c>
      <c r="G308" s="62">
        <f t="shared" si="111"/>
        <v>0</v>
      </c>
      <c r="H308" s="61">
        <v>1</v>
      </c>
      <c r="I308" s="61">
        <v>3998.12</v>
      </c>
      <c r="J308" s="61">
        <f t="shared" si="112"/>
        <v>16</v>
      </c>
      <c r="K308" s="61">
        <f t="shared" si="112"/>
        <v>6479.7999999999993</v>
      </c>
      <c r="L308" s="6">
        <v>3</v>
      </c>
      <c r="M308" s="6">
        <v>515</v>
      </c>
      <c r="N308" s="62">
        <f t="shared" si="113"/>
        <v>6</v>
      </c>
      <c r="O308" s="62">
        <f t="shared" si="114"/>
        <v>2328.63</v>
      </c>
    </row>
    <row r="309" spans="1:15" x14ac:dyDescent="0.25">
      <c r="A309" s="6" t="s">
        <v>47</v>
      </c>
      <c r="B309" s="6" t="s">
        <v>165</v>
      </c>
      <c r="C309" s="6">
        <v>8</v>
      </c>
      <c r="D309" s="63">
        <v>0</v>
      </c>
      <c r="E309" s="63">
        <v>0</v>
      </c>
      <c r="F309" s="62">
        <f t="shared" si="111"/>
        <v>0</v>
      </c>
      <c r="G309" s="62">
        <f t="shared" si="111"/>
        <v>0</v>
      </c>
      <c r="H309" s="61">
        <v>1</v>
      </c>
      <c r="I309" s="61">
        <v>799.4</v>
      </c>
      <c r="J309" s="61">
        <f t="shared" si="112"/>
        <v>17</v>
      </c>
      <c r="K309" s="61">
        <f t="shared" si="112"/>
        <v>7279.1999999999989</v>
      </c>
      <c r="L309" s="6">
        <v>5</v>
      </c>
      <c r="M309" s="6">
        <v>2097</v>
      </c>
      <c r="N309" s="62">
        <f t="shared" si="113"/>
        <v>11</v>
      </c>
      <c r="O309" s="62">
        <f t="shared" si="114"/>
        <v>4425.63</v>
      </c>
    </row>
    <row r="310" spans="1:15" x14ac:dyDescent="0.25">
      <c r="A310" s="6" t="s">
        <v>47</v>
      </c>
      <c r="B310" s="6" t="s">
        <v>166</v>
      </c>
      <c r="C310" s="6">
        <v>9</v>
      </c>
      <c r="D310" s="63">
        <v>0</v>
      </c>
      <c r="E310" s="63">
        <v>0</v>
      </c>
      <c r="F310" s="62">
        <f t="shared" si="111"/>
        <v>0</v>
      </c>
      <c r="G310" s="62">
        <f t="shared" si="111"/>
        <v>0</v>
      </c>
      <c r="H310" s="61">
        <v>0</v>
      </c>
      <c r="I310" s="61">
        <v>0</v>
      </c>
      <c r="J310" s="61">
        <f t="shared" si="112"/>
        <v>17</v>
      </c>
      <c r="K310" s="61">
        <f t="shared" si="112"/>
        <v>7279.1999999999989</v>
      </c>
      <c r="L310" s="6">
        <v>0</v>
      </c>
      <c r="M310" s="6">
        <v>0</v>
      </c>
      <c r="N310" s="62">
        <f t="shared" si="113"/>
        <v>11</v>
      </c>
      <c r="O310" s="62">
        <f t="shared" si="114"/>
        <v>4425.63</v>
      </c>
    </row>
    <row r="311" spans="1:15" x14ac:dyDescent="0.25">
      <c r="A311" s="6" t="s">
        <v>47</v>
      </c>
      <c r="B311" s="6" t="s">
        <v>167</v>
      </c>
      <c r="C311" s="6">
        <v>10</v>
      </c>
      <c r="D311" s="63">
        <v>0</v>
      </c>
      <c r="E311" s="63">
        <v>0</v>
      </c>
      <c r="F311" s="62">
        <f t="shared" si="111"/>
        <v>0</v>
      </c>
      <c r="G311" s="62">
        <f t="shared" si="111"/>
        <v>0</v>
      </c>
      <c r="H311" s="61">
        <v>0</v>
      </c>
      <c r="I311" s="61">
        <v>0</v>
      </c>
      <c r="J311" s="61">
        <f t="shared" si="112"/>
        <v>17</v>
      </c>
      <c r="K311" s="61">
        <f t="shared" si="112"/>
        <v>7279.1999999999989</v>
      </c>
      <c r="L311" s="6">
        <v>0</v>
      </c>
      <c r="M311" s="6">
        <v>0</v>
      </c>
      <c r="N311" s="62">
        <f t="shared" si="113"/>
        <v>11</v>
      </c>
      <c r="O311" s="62">
        <f t="shared" si="114"/>
        <v>4425.63</v>
      </c>
    </row>
    <row r="312" spans="1:15" x14ac:dyDescent="0.25">
      <c r="A312" s="6" t="s">
        <v>47</v>
      </c>
      <c r="B312" s="6" t="s">
        <v>168</v>
      </c>
      <c r="C312" s="6">
        <v>11</v>
      </c>
      <c r="D312" s="63">
        <v>0</v>
      </c>
      <c r="E312" s="63">
        <v>0</v>
      </c>
      <c r="F312" s="62">
        <f t="shared" si="111"/>
        <v>0</v>
      </c>
      <c r="G312" s="62">
        <f t="shared" si="111"/>
        <v>0</v>
      </c>
      <c r="H312" s="61">
        <v>1</v>
      </c>
      <c r="I312" s="61">
        <v>376</v>
      </c>
      <c r="J312" s="61">
        <f t="shared" si="112"/>
        <v>18</v>
      </c>
      <c r="K312" s="61">
        <f t="shared" si="112"/>
        <v>7655.1999999999989</v>
      </c>
      <c r="L312" s="6">
        <v>3</v>
      </c>
      <c r="M312" s="6">
        <v>4330</v>
      </c>
      <c r="N312" s="62">
        <f t="shared" si="113"/>
        <v>14</v>
      </c>
      <c r="O312" s="62">
        <f t="shared" si="114"/>
        <v>8755.630000000001</v>
      </c>
    </row>
    <row r="313" spans="1:15" x14ac:dyDescent="0.25">
      <c r="A313" s="6" t="s">
        <v>47</v>
      </c>
      <c r="B313" s="6" t="s">
        <v>169</v>
      </c>
      <c r="C313" s="6">
        <v>12</v>
      </c>
      <c r="D313" s="63">
        <v>0</v>
      </c>
      <c r="E313" s="63">
        <v>0</v>
      </c>
      <c r="F313" s="62">
        <f t="shared" si="111"/>
        <v>0</v>
      </c>
      <c r="G313" s="62">
        <f t="shared" si="111"/>
        <v>0</v>
      </c>
      <c r="H313" s="61">
        <v>1</v>
      </c>
      <c r="I313" s="61">
        <v>962.44</v>
      </c>
      <c r="J313" s="61">
        <f t="shared" si="112"/>
        <v>19</v>
      </c>
      <c r="K313" s="61">
        <f t="shared" si="112"/>
        <v>8617.64</v>
      </c>
      <c r="L313" s="6">
        <v>2</v>
      </c>
      <c r="M313" s="6">
        <v>3450.15</v>
      </c>
      <c r="N313" s="62">
        <f t="shared" si="113"/>
        <v>16</v>
      </c>
      <c r="O313" s="62">
        <f t="shared" si="114"/>
        <v>12205.78</v>
      </c>
    </row>
    <row r="314" spans="1:15" x14ac:dyDescent="0.25">
      <c r="A314" s="6" t="s">
        <v>37</v>
      </c>
      <c r="B314" s="6" t="s">
        <v>158</v>
      </c>
      <c r="C314" s="6">
        <v>1</v>
      </c>
      <c r="D314" s="63">
        <v>1</v>
      </c>
      <c r="E314" s="63">
        <v>6300</v>
      </c>
      <c r="F314" s="62">
        <f>D314</f>
        <v>1</v>
      </c>
      <c r="G314" s="62">
        <f>E314</f>
        <v>6300</v>
      </c>
      <c r="H314" s="61">
        <v>3</v>
      </c>
      <c r="I314" s="61">
        <v>11240</v>
      </c>
      <c r="J314" s="61">
        <f>H314</f>
        <v>3</v>
      </c>
      <c r="K314" s="61">
        <f>I314</f>
        <v>11240</v>
      </c>
      <c r="L314" s="6">
        <v>1</v>
      </c>
      <c r="M314" s="6">
        <v>7000</v>
      </c>
      <c r="N314" s="62">
        <f>L314</f>
        <v>1</v>
      </c>
      <c r="O314" s="62">
        <f>M314</f>
        <v>7000</v>
      </c>
    </row>
    <row r="315" spans="1:15" x14ac:dyDescent="0.25">
      <c r="A315" s="6" t="s">
        <v>37</v>
      </c>
      <c r="B315" s="6" t="s">
        <v>159</v>
      </c>
      <c r="C315" s="6">
        <v>2</v>
      </c>
      <c r="D315" s="63">
        <v>0</v>
      </c>
      <c r="E315" s="63">
        <v>0</v>
      </c>
      <c r="F315" s="62">
        <f t="shared" ref="F315:G325" si="115">F314+D315</f>
        <v>1</v>
      </c>
      <c r="G315" s="62">
        <f t="shared" si="115"/>
        <v>6300</v>
      </c>
      <c r="H315" s="61">
        <v>0</v>
      </c>
      <c r="I315" s="61">
        <v>0</v>
      </c>
      <c r="J315" s="61">
        <f t="shared" ref="J315:K325" si="116">J314+H315</f>
        <v>3</v>
      </c>
      <c r="K315" s="61">
        <f t="shared" si="116"/>
        <v>11240</v>
      </c>
      <c r="L315" s="6">
        <v>0</v>
      </c>
      <c r="M315" s="6">
        <v>0</v>
      </c>
      <c r="N315" s="62">
        <f t="shared" ref="N315:N325" si="117">N314+L315</f>
        <v>1</v>
      </c>
      <c r="O315" s="62">
        <f t="shared" ref="O315:O325" si="118">O314+M315</f>
        <v>7000</v>
      </c>
    </row>
    <row r="316" spans="1:15" x14ac:dyDescent="0.25">
      <c r="A316" s="6" t="s">
        <v>37</v>
      </c>
      <c r="B316" s="6" t="s">
        <v>160</v>
      </c>
      <c r="C316" s="6">
        <v>3</v>
      </c>
      <c r="D316" s="63">
        <v>0</v>
      </c>
      <c r="E316" s="63">
        <v>0</v>
      </c>
      <c r="F316" s="62">
        <f t="shared" si="115"/>
        <v>1</v>
      </c>
      <c r="G316" s="62">
        <f t="shared" si="115"/>
        <v>6300</v>
      </c>
      <c r="H316" s="61">
        <v>0</v>
      </c>
      <c r="I316" s="61">
        <v>0</v>
      </c>
      <c r="J316" s="61">
        <f t="shared" si="116"/>
        <v>3</v>
      </c>
      <c r="K316" s="61">
        <f t="shared" si="116"/>
        <v>11240</v>
      </c>
      <c r="L316" s="6">
        <v>0</v>
      </c>
      <c r="M316" s="6">
        <v>0</v>
      </c>
      <c r="N316" s="62">
        <f t="shared" si="117"/>
        <v>1</v>
      </c>
      <c r="O316" s="62">
        <f t="shared" si="118"/>
        <v>7000</v>
      </c>
    </row>
    <row r="317" spans="1:15" x14ac:dyDescent="0.25">
      <c r="A317" s="6" t="s">
        <v>37</v>
      </c>
      <c r="B317" s="6" t="s">
        <v>161</v>
      </c>
      <c r="C317" s="6">
        <v>4</v>
      </c>
      <c r="D317" s="63">
        <v>0</v>
      </c>
      <c r="E317" s="63">
        <v>0</v>
      </c>
      <c r="F317" s="62">
        <f t="shared" si="115"/>
        <v>1</v>
      </c>
      <c r="G317" s="62">
        <f t="shared" si="115"/>
        <v>6300</v>
      </c>
      <c r="H317" s="61">
        <v>0</v>
      </c>
      <c r="I317" s="61">
        <v>0</v>
      </c>
      <c r="J317" s="61">
        <f t="shared" si="116"/>
        <v>3</v>
      </c>
      <c r="K317" s="61">
        <f t="shared" si="116"/>
        <v>11240</v>
      </c>
      <c r="L317" s="6">
        <v>0</v>
      </c>
      <c r="M317" s="6">
        <v>0</v>
      </c>
      <c r="N317" s="62">
        <f t="shared" si="117"/>
        <v>1</v>
      </c>
      <c r="O317" s="62">
        <f t="shared" si="118"/>
        <v>7000</v>
      </c>
    </row>
    <row r="318" spans="1:15" x14ac:dyDescent="0.25">
      <c r="A318" s="6" t="s">
        <v>37</v>
      </c>
      <c r="B318" s="6" t="s">
        <v>162</v>
      </c>
      <c r="C318" s="6">
        <v>5</v>
      </c>
      <c r="D318" s="63">
        <v>0</v>
      </c>
      <c r="E318" s="63">
        <v>0</v>
      </c>
      <c r="F318" s="62">
        <f t="shared" si="115"/>
        <v>1</v>
      </c>
      <c r="G318" s="62">
        <f t="shared" si="115"/>
        <v>6300</v>
      </c>
      <c r="H318" s="61">
        <v>0</v>
      </c>
      <c r="I318" s="61">
        <v>0</v>
      </c>
      <c r="J318" s="61">
        <f t="shared" si="116"/>
        <v>3</v>
      </c>
      <c r="K318" s="61">
        <f t="shared" si="116"/>
        <v>11240</v>
      </c>
      <c r="L318" s="6">
        <v>0</v>
      </c>
      <c r="M318" s="6">
        <v>0</v>
      </c>
      <c r="N318" s="62">
        <f t="shared" si="117"/>
        <v>1</v>
      </c>
      <c r="O318" s="62">
        <f t="shared" si="118"/>
        <v>7000</v>
      </c>
    </row>
    <row r="319" spans="1:15" x14ac:dyDescent="0.25">
      <c r="A319" s="6" t="s">
        <v>37</v>
      </c>
      <c r="B319" s="6" t="s">
        <v>163</v>
      </c>
      <c r="C319" s="6">
        <v>6</v>
      </c>
      <c r="D319" s="63">
        <v>0</v>
      </c>
      <c r="E319" s="63">
        <v>0</v>
      </c>
      <c r="F319" s="62">
        <f t="shared" si="115"/>
        <v>1</v>
      </c>
      <c r="G319" s="62">
        <f t="shared" si="115"/>
        <v>6300</v>
      </c>
      <c r="H319" s="61">
        <v>0</v>
      </c>
      <c r="I319" s="61">
        <v>0</v>
      </c>
      <c r="J319" s="61">
        <f t="shared" si="116"/>
        <v>3</v>
      </c>
      <c r="K319" s="61">
        <f t="shared" si="116"/>
        <v>11240</v>
      </c>
      <c r="L319" s="6">
        <v>1</v>
      </c>
      <c r="M319" s="6">
        <v>4800</v>
      </c>
      <c r="N319" s="62">
        <f t="shared" si="117"/>
        <v>2</v>
      </c>
      <c r="O319" s="62">
        <f t="shared" si="118"/>
        <v>11800</v>
      </c>
    </row>
    <row r="320" spans="1:15" x14ac:dyDescent="0.25">
      <c r="A320" s="6" t="s">
        <v>37</v>
      </c>
      <c r="B320" s="6" t="s">
        <v>164</v>
      </c>
      <c r="C320" s="6">
        <v>7</v>
      </c>
      <c r="D320" s="63">
        <v>0</v>
      </c>
      <c r="E320" s="63">
        <v>0</v>
      </c>
      <c r="F320" s="62">
        <f t="shared" si="115"/>
        <v>1</v>
      </c>
      <c r="G320" s="62">
        <f t="shared" si="115"/>
        <v>6300</v>
      </c>
      <c r="H320" s="61">
        <v>1</v>
      </c>
      <c r="I320" s="61">
        <v>5100</v>
      </c>
      <c r="J320" s="61">
        <f t="shared" si="116"/>
        <v>4</v>
      </c>
      <c r="K320" s="61">
        <f t="shared" si="116"/>
        <v>16340</v>
      </c>
      <c r="L320" s="6">
        <v>0</v>
      </c>
      <c r="M320" s="6">
        <v>0</v>
      </c>
      <c r="N320" s="62">
        <f t="shared" si="117"/>
        <v>2</v>
      </c>
      <c r="O320" s="62">
        <f t="shared" si="118"/>
        <v>11800</v>
      </c>
    </row>
    <row r="321" spans="1:15" x14ac:dyDescent="0.25">
      <c r="A321" s="6" t="s">
        <v>37</v>
      </c>
      <c r="B321" s="6" t="s">
        <v>165</v>
      </c>
      <c r="C321" s="6">
        <v>8</v>
      </c>
      <c r="D321" s="63">
        <v>0</v>
      </c>
      <c r="E321" s="63">
        <v>0</v>
      </c>
      <c r="F321" s="62">
        <f t="shared" si="115"/>
        <v>1</v>
      </c>
      <c r="G321" s="62">
        <f t="shared" si="115"/>
        <v>6300</v>
      </c>
      <c r="H321" s="61">
        <v>0</v>
      </c>
      <c r="I321" s="61">
        <v>0</v>
      </c>
      <c r="J321" s="61">
        <f t="shared" si="116"/>
        <v>4</v>
      </c>
      <c r="K321" s="61">
        <f t="shared" si="116"/>
        <v>16340</v>
      </c>
      <c r="L321" s="6">
        <v>1</v>
      </c>
      <c r="M321" s="6">
        <v>479.16</v>
      </c>
      <c r="N321" s="62">
        <f t="shared" si="117"/>
        <v>3</v>
      </c>
      <c r="O321" s="62">
        <f t="shared" si="118"/>
        <v>12279.16</v>
      </c>
    </row>
    <row r="322" spans="1:15" x14ac:dyDescent="0.25">
      <c r="A322" s="6" t="s">
        <v>37</v>
      </c>
      <c r="B322" s="6" t="s">
        <v>166</v>
      </c>
      <c r="C322" s="6">
        <v>9</v>
      </c>
      <c r="D322" s="63">
        <v>1</v>
      </c>
      <c r="E322" s="63">
        <v>2160</v>
      </c>
      <c r="F322" s="62">
        <f t="shared" si="115"/>
        <v>2</v>
      </c>
      <c r="G322" s="62">
        <f t="shared" si="115"/>
        <v>8460</v>
      </c>
      <c r="H322" s="61">
        <v>0</v>
      </c>
      <c r="I322" s="61">
        <v>0</v>
      </c>
      <c r="J322" s="61">
        <f t="shared" si="116"/>
        <v>4</v>
      </c>
      <c r="K322" s="61">
        <f t="shared" si="116"/>
        <v>16340</v>
      </c>
      <c r="L322" s="6">
        <v>0</v>
      </c>
      <c r="M322" s="6">
        <v>0</v>
      </c>
      <c r="N322" s="62">
        <f t="shared" si="117"/>
        <v>3</v>
      </c>
      <c r="O322" s="62">
        <f t="shared" si="118"/>
        <v>12279.16</v>
      </c>
    </row>
    <row r="323" spans="1:15" x14ac:dyDescent="0.25">
      <c r="A323" s="6" t="s">
        <v>37</v>
      </c>
      <c r="B323" s="6" t="s">
        <v>167</v>
      </c>
      <c r="C323" s="6">
        <v>10</v>
      </c>
      <c r="D323" s="63">
        <v>0</v>
      </c>
      <c r="E323" s="63">
        <v>0</v>
      </c>
      <c r="F323" s="62">
        <f t="shared" si="115"/>
        <v>2</v>
      </c>
      <c r="G323" s="62">
        <f t="shared" si="115"/>
        <v>8460</v>
      </c>
      <c r="H323" s="61">
        <v>2</v>
      </c>
      <c r="I323" s="61">
        <v>13000</v>
      </c>
      <c r="J323" s="61">
        <f t="shared" si="116"/>
        <v>6</v>
      </c>
      <c r="K323" s="61">
        <f t="shared" si="116"/>
        <v>29340</v>
      </c>
      <c r="L323" s="6">
        <v>0</v>
      </c>
      <c r="M323" s="6">
        <v>0</v>
      </c>
      <c r="N323" s="62">
        <f t="shared" si="117"/>
        <v>3</v>
      </c>
      <c r="O323" s="62">
        <f t="shared" si="118"/>
        <v>12279.16</v>
      </c>
    </row>
    <row r="324" spans="1:15" x14ac:dyDescent="0.25">
      <c r="A324" s="6" t="s">
        <v>37</v>
      </c>
      <c r="B324" s="6" t="s">
        <v>168</v>
      </c>
      <c r="C324" s="6">
        <v>11</v>
      </c>
      <c r="D324" s="63">
        <v>0</v>
      </c>
      <c r="E324" s="63">
        <v>0</v>
      </c>
      <c r="F324" s="62">
        <f t="shared" si="115"/>
        <v>2</v>
      </c>
      <c r="G324" s="62">
        <f t="shared" si="115"/>
        <v>8460</v>
      </c>
      <c r="H324" s="61">
        <v>1</v>
      </c>
      <c r="I324" s="61">
        <v>2306</v>
      </c>
      <c r="J324" s="61">
        <f t="shared" si="116"/>
        <v>7</v>
      </c>
      <c r="K324" s="61">
        <f t="shared" si="116"/>
        <v>31646</v>
      </c>
      <c r="L324" s="6">
        <v>0</v>
      </c>
      <c r="M324" s="6">
        <v>0</v>
      </c>
      <c r="N324" s="62">
        <f t="shared" si="117"/>
        <v>3</v>
      </c>
      <c r="O324" s="62">
        <f t="shared" si="118"/>
        <v>12279.16</v>
      </c>
    </row>
    <row r="325" spans="1:15" x14ac:dyDescent="0.25">
      <c r="A325" s="6" t="s">
        <v>37</v>
      </c>
      <c r="B325" s="6" t="s">
        <v>169</v>
      </c>
      <c r="C325" s="6">
        <v>12</v>
      </c>
      <c r="D325" s="63">
        <v>0</v>
      </c>
      <c r="E325" s="63">
        <v>0</v>
      </c>
      <c r="F325" s="62">
        <f t="shared" si="115"/>
        <v>2</v>
      </c>
      <c r="G325" s="62">
        <f t="shared" si="115"/>
        <v>8460</v>
      </c>
      <c r="H325" s="61">
        <v>1</v>
      </c>
      <c r="I325" s="61">
        <v>4762</v>
      </c>
      <c r="J325" s="61">
        <f t="shared" si="116"/>
        <v>8</v>
      </c>
      <c r="K325" s="61">
        <f t="shared" si="116"/>
        <v>36408</v>
      </c>
      <c r="L325" s="6">
        <v>0</v>
      </c>
      <c r="M325" s="6">
        <v>0</v>
      </c>
      <c r="N325" s="62">
        <f t="shared" si="117"/>
        <v>3</v>
      </c>
      <c r="O325" s="62">
        <f t="shared" si="118"/>
        <v>12279.16</v>
      </c>
    </row>
    <row r="326" spans="1:15" x14ac:dyDescent="0.25">
      <c r="A326" s="6" t="s">
        <v>86</v>
      </c>
      <c r="B326" s="6" t="s">
        <v>158</v>
      </c>
      <c r="C326" s="6">
        <v>1</v>
      </c>
      <c r="D326" s="63">
        <v>0</v>
      </c>
      <c r="E326" s="63">
        <v>0</v>
      </c>
      <c r="F326" s="62">
        <f>D326</f>
        <v>0</v>
      </c>
      <c r="G326" s="62">
        <f>E326</f>
        <v>0</v>
      </c>
      <c r="H326" s="62">
        <v>0</v>
      </c>
      <c r="I326" s="62">
        <v>0</v>
      </c>
      <c r="J326" s="62">
        <f>H326</f>
        <v>0</v>
      </c>
      <c r="K326" s="62">
        <f>I326</f>
        <v>0</v>
      </c>
      <c r="L326" s="6">
        <v>0</v>
      </c>
      <c r="M326" s="6">
        <v>0</v>
      </c>
      <c r="N326" s="62">
        <f>L326</f>
        <v>0</v>
      </c>
      <c r="O326" s="62">
        <f>M326</f>
        <v>0</v>
      </c>
    </row>
    <row r="327" spans="1:15" x14ac:dyDescent="0.25">
      <c r="A327" s="6" t="s">
        <v>86</v>
      </c>
      <c r="B327" s="6" t="s">
        <v>159</v>
      </c>
      <c r="C327" s="6">
        <v>2</v>
      </c>
      <c r="D327" s="63">
        <v>0</v>
      </c>
      <c r="E327" s="63">
        <v>0</v>
      </c>
      <c r="F327" s="62">
        <f t="shared" ref="F327:G337" si="119">F326+D327</f>
        <v>0</v>
      </c>
      <c r="G327" s="62">
        <f t="shared" si="119"/>
        <v>0</v>
      </c>
      <c r="H327" s="62">
        <v>0</v>
      </c>
      <c r="I327" s="62">
        <v>0</v>
      </c>
      <c r="J327" s="62">
        <f t="shared" ref="J327:J337" si="120">J326+H327</f>
        <v>0</v>
      </c>
      <c r="K327" s="62">
        <f t="shared" ref="K327:K337" si="121">K326+I327</f>
        <v>0</v>
      </c>
      <c r="L327" s="6">
        <v>0</v>
      </c>
      <c r="M327" s="6">
        <v>0</v>
      </c>
      <c r="N327" s="62">
        <f t="shared" ref="N327:N337" si="122">N326+L327</f>
        <v>0</v>
      </c>
      <c r="O327" s="62">
        <f t="shared" ref="O327:O337" si="123">O326+M327</f>
        <v>0</v>
      </c>
    </row>
    <row r="328" spans="1:15" x14ac:dyDescent="0.25">
      <c r="A328" s="6" t="s">
        <v>86</v>
      </c>
      <c r="B328" s="6" t="s">
        <v>160</v>
      </c>
      <c r="C328" s="6">
        <v>3</v>
      </c>
      <c r="D328" s="63">
        <v>0</v>
      </c>
      <c r="E328" s="63">
        <v>0</v>
      </c>
      <c r="F328" s="62">
        <f t="shared" si="119"/>
        <v>0</v>
      </c>
      <c r="G328" s="62">
        <f t="shared" si="119"/>
        <v>0</v>
      </c>
      <c r="H328" s="62">
        <v>0</v>
      </c>
      <c r="I328" s="62">
        <v>0</v>
      </c>
      <c r="J328" s="62">
        <f t="shared" si="120"/>
        <v>0</v>
      </c>
      <c r="K328" s="62">
        <f t="shared" si="121"/>
        <v>0</v>
      </c>
      <c r="L328" s="6">
        <v>0</v>
      </c>
      <c r="M328" s="6">
        <v>0</v>
      </c>
      <c r="N328" s="62">
        <f t="shared" si="122"/>
        <v>0</v>
      </c>
      <c r="O328" s="62">
        <f t="shared" si="123"/>
        <v>0</v>
      </c>
    </row>
    <row r="329" spans="1:15" x14ac:dyDescent="0.25">
      <c r="A329" s="6" t="s">
        <v>86</v>
      </c>
      <c r="B329" s="6" t="s">
        <v>161</v>
      </c>
      <c r="C329" s="6">
        <v>4</v>
      </c>
      <c r="D329" s="63">
        <v>0</v>
      </c>
      <c r="E329" s="63">
        <v>0</v>
      </c>
      <c r="F329" s="62">
        <f t="shared" si="119"/>
        <v>0</v>
      </c>
      <c r="G329" s="62">
        <f t="shared" si="119"/>
        <v>0</v>
      </c>
      <c r="H329" s="62">
        <v>0</v>
      </c>
      <c r="I329" s="62">
        <v>0</v>
      </c>
      <c r="J329" s="62">
        <f t="shared" si="120"/>
        <v>0</v>
      </c>
      <c r="K329" s="62">
        <f t="shared" si="121"/>
        <v>0</v>
      </c>
      <c r="L329" s="6">
        <v>1</v>
      </c>
      <c r="M329" s="6">
        <v>800</v>
      </c>
      <c r="N329" s="62">
        <f t="shared" si="122"/>
        <v>1</v>
      </c>
      <c r="O329" s="62">
        <f t="shared" si="123"/>
        <v>800</v>
      </c>
    </row>
    <row r="330" spans="1:15" x14ac:dyDescent="0.25">
      <c r="A330" s="6" t="s">
        <v>86</v>
      </c>
      <c r="B330" s="6" t="s">
        <v>162</v>
      </c>
      <c r="C330" s="6">
        <v>5</v>
      </c>
      <c r="D330" s="63">
        <v>0</v>
      </c>
      <c r="E330" s="63">
        <v>0</v>
      </c>
      <c r="F330" s="62">
        <f t="shared" si="119"/>
        <v>0</v>
      </c>
      <c r="G330" s="62">
        <f t="shared" si="119"/>
        <v>0</v>
      </c>
      <c r="H330" s="62">
        <v>0</v>
      </c>
      <c r="I330" s="62">
        <v>0</v>
      </c>
      <c r="J330" s="62">
        <f t="shared" si="120"/>
        <v>0</v>
      </c>
      <c r="K330" s="62">
        <f t="shared" si="121"/>
        <v>0</v>
      </c>
      <c r="L330" s="6">
        <v>0</v>
      </c>
      <c r="M330" s="6">
        <v>0</v>
      </c>
      <c r="N330" s="62">
        <f t="shared" si="122"/>
        <v>1</v>
      </c>
      <c r="O330" s="62">
        <f t="shared" si="123"/>
        <v>800</v>
      </c>
    </row>
    <row r="331" spans="1:15" x14ac:dyDescent="0.25">
      <c r="A331" s="6" t="s">
        <v>86</v>
      </c>
      <c r="B331" s="6" t="s">
        <v>163</v>
      </c>
      <c r="C331" s="6">
        <v>6</v>
      </c>
      <c r="D331" s="63">
        <v>0</v>
      </c>
      <c r="E331" s="63">
        <v>0</v>
      </c>
      <c r="F331" s="62">
        <f t="shared" si="119"/>
        <v>0</v>
      </c>
      <c r="G331" s="62">
        <f t="shared" si="119"/>
        <v>0</v>
      </c>
      <c r="H331" s="62">
        <v>0</v>
      </c>
      <c r="I331" s="62">
        <v>0</v>
      </c>
      <c r="J331" s="62">
        <f t="shared" si="120"/>
        <v>0</v>
      </c>
      <c r="K331" s="62">
        <f t="shared" si="121"/>
        <v>0</v>
      </c>
      <c r="L331" s="6">
        <v>1</v>
      </c>
      <c r="M331" s="6">
        <v>600</v>
      </c>
      <c r="N331" s="62">
        <f t="shared" si="122"/>
        <v>2</v>
      </c>
      <c r="O331" s="62">
        <f t="shared" si="123"/>
        <v>1400</v>
      </c>
    </row>
    <row r="332" spans="1:15" x14ac:dyDescent="0.25">
      <c r="A332" s="6" t="s">
        <v>86</v>
      </c>
      <c r="B332" s="6" t="s">
        <v>164</v>
      </c>
      <c r="C332" s="6">
        <v>7</v>
      </c>
      <c r="D332" s="63">
        <v>0</v>
      </c>
      <c r="E332" s="63">
        <v>0</v>
      </c>
      <c r="F332" s="62">
        <f t="shared" si="119"/>
        <v>0</v>
      </c>
      <c r="G332" s="62">
        <f t="shared" si="119"/>
        <v>0</v>
      </c>
      <c r="H332" s="62">
        <v>0</v>
      </c>
      <c r="I332" s="62">
        <v>0</v>
      </c>
      <c r="J332" s="62">
        <f t="shared" si="120"/>
        <v>0</v>
      </c>
      <c r="K332" s="62">
        <f t="shared" si="121"/>
        <v>0</v>
      </c>
      <c r="L332" s="6">
        <v>2</v>
      </c>
      <c r="M332" s="6">
        <v>5800</v>
      </c>
      <c r="N332" s="62">
        <f t="shared" si="122"/>
        <v>4</v>
      </c>
      <c r="O332" s="62">
        <f t="shared" si="123"/>
        <v>7200</v>
      </c>
    </row>
    <row r="333" spans="1:15" x14ac:dyDescent="0.25">
      <c r="A333" s="6" t="s">
        <v>86</v>
      </c>
      <c r="B333" s="6" t="s">
        <v>165</v>
      </c>
      <c r="C333" s="6">
        <v>8</v>
      </c>
      <c r="D333" s="63">
        <v>0</v>
      </c>
      <c r="E333" s="63">
        <v>0</v>
      </c>
      <c r="F333" s="62">
        <f t="shared" si="119"/>
        <v>0</v>
      </c>
      <c r="G333" s="62">
        <f t="shared" si="119"/>
        <v>0</v>
      </c>
      <c r="H333" s="62">
        <v>0</v>
      </c>
      <c r="I333" s="62">
        <v>0</v>
      </c>
      <c r="J333" s="62">
        <f t="shared" si="120"/>
        <v>0</v>
      </c>
      <c r="K333" s="62">
        <f t="shared" si="121"/>
        <v>0</v>
      </c>
      <c r="L333" s="6">
        <v>0</v>
      </c>
      <c r="M333" s="6">
        <v>0</v>
      </c>
      <c r="N333" s="62">
        <f t="shared" si="122"/>
        <v>4</v>
      </c>
      <c r="O333" s="62">
        <f t="shared" si="123"/>
        <v>7200</v>
      </c>
    </row>
    <row r="334" spans="1:15" x14ac:dyDescent="0.25">
      <c r="A334" s="6" t="s">
        <v>86</v>
      </c>
      <c r="B334" s="6" t="s">
        <v>166</v>
      </c>
      <c r="C334" s="6">
        <v>9</v>
      </c>
      <c r="D334" s="63">
        <v>0</v>
      </c>
      <c r="E334" s="63">
        <v>0</v>
      </c>
      <c r="F334" s="62">
        <f t="shared" si="119"/>
        <v>0</v>
      </c>
      <c r="G334" s="62">
        <f t="shared" si="119"/>
        <v>0</v>
      </c>
      <c r="H334" s="62">
        <v>0</v>
      </c>
      <c r="I334" s="62">
        <v>0</v>
      </c>
      <c r="J334" s="62">
        <f t="shared" si="120"/>
        <v>0</v>
      </c>
      <c r="K334" s="62">
        <f t="shared" si="121"/>
        <v>0</v>
      </c>
      <c r="L334" s="6">
        <v>0</v>
      </c>
      <c r="M334" s="6">
        <v>0</v>
      </c>
      <c r="N334" s="62">
        <f t="shared" si="122"/>
        <v>4</v>
      </c>
      <c r="O334" s="62">
        <f t="shared" si="123"/>
        <v>7200</v>
      </c>
    </row>
    <row r="335" spans="1:15" x14ac:dyDescent="0.25">
      <c r="A335" s="6" t="s">
        <v>86</v>
      </c>
      <c r="B335" s="6" t="s">
        <v>167</v>
      </c>
      <c r="C335" s="6">
        <v>10</v>
      </c>
      <c r="D335" s="63">
        <v>0</v>
      </c>
      <c r="E335" s="63">
        <v>0</v>
      </c>
      <c r="F335" s="62">
        <f t="shared" si="119"/>
        <v>0</v>
      </c>
      <c r="G335" s="62">
        <f t="shared" si="119"/>
        <v>0</v>
      </c>
      <c r="H335" s="62">
        <v>0</v>
      </c>
      <c r="I335" s="62">
        <v>0</v>
      </c>
      <c r="J335" s="62">
        <f t="shared" si="120"/>
        <v>0</v>
      </c>
      <c r="K335" s="62">
        <f t="shared" si="121"/>
        <v>0</v>
      </c>
      <c r="L335" s="6">
        <v>4</v>
      </c>
      <c r="M335" s="6">
        <v>3300</v>
      </c>
      <c r="N335" s="62">
        <f t="shared" si="122"/>
        <v>8</v>
      </c>
      <c r="O335" s="62">
        <f t="shared" si="123"/>
        <v>10500</v>
      </c>
    </row>
    <row r="336" spans="1:15" x14ac:dyDescent="0.25">
      <c r="A336" s="6" t="s">
        <v>86</v>
      </c>
      <c r="B336" s="6" t="s">
        <v>168</v>
      </c>
      <c r="C336" s="6">
        <v>11</v>
      </c>
      <c r="D336" s="63">
        <v>0</v>
      </c>
      <c r="E336" s="63">
        <v>0</v>
      </c>
      <c r="F336" s="62">
        <f t="shared" si="119"/>
        <v>0</v>
      </c>
      <c r="G336" s="62">
        <f t="shared" si="119"/>
        <v>0</v>
      </c>
      <c r="H336" s="62">
        <v>0</v>
      </c>
      <c r="I336" s="62">
        <v>0</v>
      </c>
      <c r="J336" s="62">
        <f t="shared" si="120"/>
        <v>0</v>
      </c>
      <c r="K336" s="62">
        <f t="shared" si="121"/>
        <v>0</v>
      </c>
      <c r="L336" s="6">
        <v>0</v>
      </c>
      <c r="M336" s="6">
        <v>0</v>
      </c>
      <c r="N336" s="62">
        <f t="shared" si="122"/>
        <v>8</v>
      </c>
      <c r="O336" s="62">
        <f t="shared" si="123"/>
        <v>10500</v>
      </c>
    </row>
    <row r="337" spans="1:15" x14ac:dyDescent="0.25">
      <c r="A337" s="6" t="s">
        <v>86</v>
      </c>
      <c r="B337" s="6" t="s">
        <v>169</v>
      </c>
      <c r="C337" s="6">
        <v>12</v>
      </c>
      <c r="D337" s="63">
        <v>0</v>
      </c>
      <c r="E337" s="63">
        <v>0</v>
      </c>
      <c r="F337" s="62">
        <f t="shared" si="119"/>
        <v>0</v>
      </c>
      <c r="G337" s="62">
        <f t="shared" si="119"/>
        <v>0</v>
      </c>
      <c r="H337" s="62">
        <v>0</v>
      </c>
      <c r="I337" s="62">
        <v>0</v>
      </c>
      <c r="J337" s="62">
        <f t="shared" si="120"/>
        <v>0</v>
      </c>
      <c r="K337" s="62">
        <f t="shared" si="121"/>
        <v>0</v>
      </c>
      <c r="L337" s="6">
        <v>2</v>
      </c>
      <c r="M337" s="6">
        <v>14842</v>
      </c>
      <c r="N337" s="62">
        <f t="shared" si="122"/>
        <v>10</v>
      </c>
      <c r="O337" s="62">
        <f t="shared" si="123"/>
        <v>25342</v>
      </c>
    </row>
    <row r="338" spans="1:15" x14ac:dyDescent="0.25">
      <c r="A338" s="6" t="s">
        <v>65</v>
      </c>
      <c r="B338" s="6" t="s">
        <v>158</v>
      </c>
      <c r="C338" s="6">
        <v>1</v>
      </c>
      <c r="D338" s="63">
        <v>0</v>
      </c>
      <c r="E338" s="63">
        <v>0</v>
      </c>
      <c r="F338" s="62">
        <f>D338</f>
        <v>0</v>
      </c>
      <c r="G338" s="62">
        <f>E338</f>
        <v>0</v>
      </c>
      <c r="H338" s="61">
        <v>0</v>
      </c>
      <c r="I338" s="61">
        <v>0</v>
      </c>
      <c r="J338" s="61">
        <f>H338</f>
        <v>0</v>
      </c>
      <c r="K338" s="61">
        <f>I338</f>
        <v>0</v>
      </c>
      <c r="L338" s="6">
        <v>0</v>
      </c>
      <c r="M338" s="6">
        <v>0</v>
      </c>
      <c r="N338" s="62">
        <f>L338</f>
        <v>0</v>
      </c>
      <c r="O338" s="62">
        <f>M338</f>
        <v>0</v>
      </c>
    </row>
    <row r="339" spans="1:15" x14ac:dyDescent="0.25">
      <c r="A339" s="6" t="s">
        <v>65</v>
      </c>
      <c r="B339" s="6" t="s">
        <v>159</v>
      </c>
      <c r="C339" s="6">
        <v>2</v>
      </c>
      <c r="D339" s="63">
        <v>0</v>
      </c>
      <c r="E339" s="63">
        <v>0</v>
      </c>
      <c r="F339" s="62">
        <f t="shared" ref="F339:F349" si="124">F338+D339</f>
        <v>0</v>
      </c>
      <c r="G339" s="62">
        <f t="shared" ref="G339:G349" si="125">G338+E339</f>
        <v>0</v>
      </c>
      <c r="H339" s="61">
        <v>0</v>
      </c>
      <c r="I339" s="61">
        <v>0</v>
      </c>
      <c r="J339" s="61">
        <f t="shared" ref="J339:K349" si="126">J338+H339</f>
        <v>0</v>
      </c>
      <c r="K339" s="61">
        <f t="shared" si="126"/>
        <v>0</v>
      </c>
      <c r="L339" s="6">
        <v>0</v>
      </c>
      <c r="M339" s="6">
        <v>0</v>
      </c>
      <c r="N339" s="62">
        <f t="shared" ref="N339:N349" si="127">N338+L339</f>
        <v>0</v>
      </c>
      <c r="O339" s="62">
        <f t="shared" ref="O339:O349" si="128">O338+M339</f>
        <v>0</v>
      </c>
    </row>
    <row r="340" spans="1:15" x14ac:dyDescent="0.25">
      <c r="A340" s="6" t="s">
        <v>65</v>
      </c>
      <c r="B340" s="6" t="s">
        <v>160</v>
      </c>
      <c r="C340" s="6">
        <v>3</v>
      </c>
      <c r="D340" s="63">
        <v>0</v>
      </c>
      <c r="E340" s="63">
        <v>0</v>
      </c>
      <c r="F340" s="62">
        <f t="shared" si="124"/>
        <v>0</v>
      </c>
      <c r="G340" s="62">
        <f t="shared" si="125"/>
        <v>0</v>
      </c>
      <c r="H340" s="61">
        <v>0</v>
      </c>
      <c r="I340" s="61">
        <v>0</v>
      </c>
      <c r="J340" s="61">
        <f t="shared" si="126"/>
        <v>0</v>
      </c>
      <c r="K340" s="61">
        <f t="shared" si="126"/>
        <v>0</v>
      </c>
      <c r="L340" s="6">
        <v>0</v>
      </c>
      <c r="M340" s="6">
        <v>0</v>
      </c>
      <c r="N340" s="62">
        <f t="shared" si="127"/>
        <v>0</v>
      </c>
      <c r="O340" s="62">
        <f t="shared" si="128"/>
        <v>0</v>
      </c>
    </row>
    <row r="341" spans="1:15" x14ac:dyDescent="0.25">
      <c r="A341" s="6" t="s">
        <v>65</v>
      </c>
      <c r="B341" s="6" t="s">
        <v>161</v>
      </c>
      <c r="C341" s="6">
        <v>4</v>
      </c>
      <c r="D341" s="63">
        <v>0</v>
      </c>
      <c r="E341" s="63">
        <v>0</v>
      </c>
      <c r="F341" s="62">
        <f t="shared" si="124"/>
        <v>0</v>
      </c>
      <c r="G341" s="62">
        <f t="shared" si="125"/>
        <v>0</v>
      </c>
      <c r="H341" s="61">
        <v>0</v>
      </c>
      <c r="I341" s="61">
        <v>0</v>
      </c>
      <c r="J341" s="61">
        <f t="shared" si="126"/>
        <v>0</v>
      </c>
      <c r="K341" s="61">
        <f t="shared" si="126"/>
        <v>0</v>
      </c>
      <c r="L341" s="6">
        <v>0</v>
      </c>
      <c r="M341" s="6">
        <v>0</v>
      </c>
      <c r="N341" s="62">
        <f t="shared" si="127"/>
        <v>0</v>
      </c>
      <c r="O341" s="62">
        <f t="shared" si="128"/>
        <v>0</v>
      </c>
    </row>
    <row r="342" spans="1:15" x14ac:dyDescent="0.25">
      <c r="A342" s="6" t="s">
        <v>65</v>
      </c>
      <c r="B342" s="6" t="s">
        <v>162</v>
      </c>
      <c r="C342" s="6">
        <v>5</v>
      </c>
      <c r="D342" s="63">
        <v>0</v>
      </c>
      <c r="E342" s="63">
        <v>0</v>
      </c>
      <c r="F342" s="62">
        <f t="shared" si="124"/>
        <v>0</v>
      </c>
      <c r="G342" s="62">
        <f t="shared" si="125"/>
        <v>0</v>
      </c>
      <c r="H342" s="61">
        <v>0</v>
      </c>
      <c r="I342" s="61">
        <v>0</v>
      </c>
      <c r="J342" s="61">
        <f t="shared" si="126"/>
        <v>0</v>
      </c>
      <c r="K342" s="61">
        <f t="shared" si="126"/>
        <v>0</v>
      </c>
      <c r="L342" s="6">
        <v>0</v>
      </c>
      <c r="M342" s="6">
        <v>0</v>
      </c>
      <c r="N342" s="62">
        <f t="shared" si="127"/>
        <v>0</v>
      </c>
      <c r="O342" s="62">
        <f t="shared" si="128"/>
        <v>0</v>
      </c>
    </row>
    <row r="343" spans="1:15" x14ac:dyDescent="0.25">
      <c r="A343" s="6" t="s">
        <v>65</v>
      </c>
      <c r="B343" s="6" t="s">
        <v>163</v>
      </c>
      <c r="C343" s="6">
        <v>6</v>
      </c>
      <c r="D343" s="63">
        <v>0</v>
      </c>
      <c r="E343" s="63">
        <v>0</v>
      </c>
      <c r="F343" s="62">
        <f t="shared" si="124"/>
        <v>0</v>
      </c>
      <c r="G343" s="62">
        <f t="shared" si="125"/>
        <v>0</v>
      </c>
      <c r="H343" s="61">
        <v>4</v>
      </c>
      <c r="I343" s="61">
        <v>22468.400000000001</v>
      </c>
      <c r="J343" s="61">
        <f t="shared" si="126"/>
        <v>4</v>
      </c>
      <c r="K343" s="61">
        <f t="shared" si="126"/>
        <v>22468.400000000001</v>
      </c>
      <c r="L343" s="6">
        <v>0</v>
      </c>
      <c r="M343" s="6">
        <v>0</v>
      </c>
      <c r="N343" s="62">
        <f t="shared" si="127"/>
        <v>0</v>
      </c>
      <c r="O343" s="62">
        <f t="shared" si="128"/>
        <v>0</v>
      </c>
    </row>
    <row r="344" spans="1:15" x14ac:dyDescent="0.25">
      <c r="A344" s="6" t="s">
        <v>65</v>
      </c>
      <c r="B344" s="6" t="s">
        <v>164</v>
      </c>
      <c r="C344" s="6">
        <v>7</v>
      </c>
      <c r="D344" s="63">
        <v>0</v>
      </c>
      <c r="E344" s="63">
        <v>0</v>
      </c>
      <c r="F344" s="62">
        <f t="shared" si="124"/>
        <v>0</v>
      </c>
      <c r="G344" s="62">
        <f t="shared" si="125"/>
        <v>0</v>
      </c>
      <c r="H344" s="61">
        <v>0</v>
      </c>
      <c r="I344" s="61">
        <v>0</v>
      </c>
      <c r="J344" s="61">
        <f t="shared" si="126"/>
        <v>4</v>
      </c>
      <c r="K344" s="61">
        <f t="shared" si="126"/>
        <v>22468.400000000001</v>
      </c>
      <c r="L344" s="6">
        <v>2</v>
      </c>
      <c r="M344" s="6">
        <v>1500</v>
      </c>
      <c r="N344" s="62">
        <f t="shared" si="127"/>
        <v>2</v>
      </c>
      <c r="O344" s="62">
        <f t="shared" si="128"/>
        <v>1500</v>
      </c>
    </row>
    <row r="345" spans="1:15" x14ac:dyDescent="0.25">
      <c r="A345" s="6" t="s">
        <v>65</v>
      </c>
      <c r="B345" s="6" t="s">
        <v>165</v>
      </c>
      <c r="C345" s="6">
        <v>8</v>
      </c>
      <c r="D345" s="63">
        <v>0</v>
      </c>
      <c r="E345" s="63">
        <v>0</v>
      </c>
      <c r="F345" s="62">
        <f t="shared" si="124"/>
        <v>0</v>
      </c>
      <c r="G345" s="62">
        <f t="shared" si="125"/>
        <v>0</v>
      </c>
      <c r="H345" s="61">
        <v>0</v>
      </c>
      <c r="I345" s="61">
        <v>0</v>
      </c>
      <c r="J345" s="61">
        <f t="shared" si="126"/>
        <v>4</v>
      </c>
      <c r="K345" s="61">
        <f t="shared" si="126"/>
        <v>22468.400000000001</v>
      </c>
      <c r="L345" s="6">
        <v>0</v>
      </c>
      <c r="M345" s="6">
        <v>0</v>
      </c>
      <c r="N345" s="62">
        <f t="shared" si="127"/>
        <v>2</v>
      </c>
      <c r="O345" s="62">
        <f t="shared" si="128"/>
        <v>1500</v>
      </c>
    </row>
    <row r="346" spans="1:15" x14ac:dyDescent="0.25">
      <c r="A346" s="6" t="s">
        <v>65</v>
      </c>
      <c r="B346" s="6" t="s">
        <v>166</v>
      </c>
      <c r="C346" s="6">
        <v>9</v>
      </c>
      <c r="D346" s="63">
        <v>0</v>
      </c>
      <c r="E346" s="63">
        <v>0</v>
      </c>
      <c r="F346" s="62">
        <f t="shared" si="124"/>
        <v>0</v>
      </c>
      <c r="G346" s="62">
        <f t="shared" si="125"/>
        <v>0</v>
      </c>
      <c r="H346" s="61">
        <v>0</v>
      </c>
      <c r="I346" s="61">
        <v>0</v>
      </c>
      <c r="J346" s="61">
        <f t="shared" si="126"/>
        <v>4</v>
      </c>
      <c r="K346" s="61">
        <f t="shared" si="126"/>
        <v>22468.400000000001</v>
      </c>
      <c r="L346" s="6">
        <v>2</v>
      </c>
      <c r="M346" s="6">
        <v>16850</v>
      </c>
      <c r="N346" s="62">
        <f t="shared" si="127"/>
        <v>4</v>
      </c>
      <c r="O346" s="62">
        <f t="shared" si="128"/>
        <v>18350</v>
      </c>
    </row>
    <row r="347" spans="1:15" x14ac:dyDescent="0.25">
      <c r="A347" s="6" t="s">
        <v>65</v>
      </c>
      <c r="B347" s="6" t="s">
        <v>167</v>
      </c>
      <c r="C347" s="6">
        <v>10</v>
      </c>
      <c r="D347" s="63">
        <v>0</v>
      </c>
      <c r="E347" s="63">
        <v>0</v>
      </c>
      <c r="F347" s="62">
        <f t="shared" si="124"/>
        <v>0</v>
      </c>
      <c r="G347" s="62">
        <f t="shared" si="125"/>
        <v>0</v>
      </c>
      <c r="H347" s="61">
        <v>0</v>
      </c>
      <c r="I347" s="61">
        <v>0</v>
      </c>
      <c r="J347" s="61">
        <f t="shared" si="126"/>
        <v>4</v>
      </c>
      <c r="K347" s="61">
        <f t="shared" si="126"/>
        <v>22468.400000000001</v>
      </c>
      <c r="L347" s="6">
        <v>0</v>
      </c>
      <c r="M347" s="6">
        <v>0</v>
      </c>
      <c r="N347" s="62">
        <f t="shared" si="127"/>
        <v>4</v>
      </c>
      <c r="O347" s="62">
        <f t="shared" si="128"/>
        <v>18350</v>
      </c>
    </row>
    <row r="348" spans="1:15" x14ac:dyDescent="0.25">
      <c r="A348" s="6" t="s">
        <v>65</v>
      </c>
      <c r="B348" s="6" t="s">
        <v>168</v>
      </c>
      <c r="C348" s="6">
        <v>11</v>
      </c>
      <c r="D348" s="63">
        <v>0</v>
      </c>
      <c r="E348" s="63">
        <v>0</v>
      </c>
      <c r="F348" s="62">
        <f t="shared" si="124"/>
        <v>0</v>
      </c>
      <c r="G348" s="62">
        <f t="shared" si="125"/>
        <v>0</v>
      </c>
      <c r="H348" s="61">
        <v>0</v>
      </c>
      <c r="I348" s="61">
        <v>0</v>
      </c>
      <c r="J348" s="61">
        <f t="shared" si="126"/>
        <v>4</v>
      </c>
      <c r="K348" s="61">
        <f t="shared" si="126"/>
        <v>22468.400000000001</v>
      </c>
      <c r="L348" s="6">
        <v>3</v>
      </c>
      <c r="M348" s="6">
        <v>3025</v>
      </c>
      <c r="N348" s="62">
        <f t="shared" si="127"/>
        <v>7</v>
      </c>
      <c r="O348" s="62">
        <f t="shared" si="128"/>
        <v>21375</v>
      </c>
    </row>
    <row r="349" spans="1:15" x14ac:dyDescent="0.25">
      <c r="A349" s="6" t="s">
        <v>65</v>
      </c>
      <c r="B349" s="6" t="s">
        <v>169</v>
      </c>
      <c r="C349" s="6">
        <v>12</v>
      </c>
      <c r="D349" s="63">
        <v>0</v>
      </c>
      <c r="E349" s="63">
        <v>0</v>
      </c>
      <c r="F349" s="62">
        <f t="shared" si="124"/>
        <v>0</v>
      </c>
      <c r="G349" s="62">
        <f t="shared" si="125"/>
        <v>0</v>
      </c>
      <c r="H349" s="61">
        <v>0</v>
      </c>
      <c r="I349" s="61">
        <v>0</v>
      </c>
      <c r="J349" s="61">
        <f t="shared" si="126"/>
        <v>4</v>
      </c>
      <c r="K349" s="61">
        <f t="shared" si="126"/>
        <v>22468.400000000001</v>
      </c>
      <c r="L349" s="6">
        <v>6</v>
      </c>
      <c r="M349" s="6">
        <v>23751.64</v>
      </c>
      <c r="N349" s="62">
        <f t="shared" si="127"/>
        <v>13</v>
      </c>
      <c r="O349" s="62">
        <f t="shared" si="128"/>
        <v>45126.64</v>
      </c>
    </row>
    <row r="350" spans="1:15" x14ac:dyDescent="0.25">
      <c r="A350" s="6" t="s">
        <v>142</v>
      </c>
      <c r="B350" s="6" t="s">
        <v>158</v>
      </c>
      <c r="C350" s="6">
        <v>1</v>
      </c>
      <c r="D350" s="63">
        <v>0</v>
      </c>
      <c r="E350" s="63">
        <v>0</v>
      </c>
      <c r="F350" s="62">
        <f>D350</f>
        <v>0</v>
      </c>
      <c r="G350" s="62">
        <f>E350</f>
        <v>0</v>
      </c>
      <c r="H350" s="62">
        <v>0</v>
      </c>
      <c r="I350" s="62">
        <v>0</v>
      </c>
      <c r="J350" s="62">
        <f>H350</f>
        <v>0</v>
      </c>
      <c r="K350" s="62">
        <f>I350</f>
        <v>0</v>
      </c>
      <c r="L350" s="6">
        <v>0</v>
      </c>
      <c r="M350" s="6">
        <v>0</v>
      </c>
      <c r="N350" s="62">
        <f>L350</f>
        <v>0</v>
      </c>
      <c r="O350" s="62">
        <f>M350</f>
        <v>0</v>
      </c>
    </row>
    <row r="351" spans="1:15" x14ac:dyDescent="0.25">
      <c r="A351" s="6" t="s">
        <v>142</v>
      </c>
      <c r="B351" s="6" t="s">
        <v>159</v>
      </c>
      <c r="C351" s="6">
        <v>2</v>
      </c>
      <c r="D351" s="63">
        <v>0</v>
      </c>
      <c r="E351" s="63">
        <v>0</v>
      </c>
      <c r="F351" s="62">
        <f t="shared" ref="F351:F361" si="129">F350+D351</f>
        <v>0</v>
      </c>
      <c r="G351" s="62">
        <f t="shared" ref="G351:G361" si="130">G350+E351</f>
        <v>0</v>
      </c>
      <c r="H351" s="62">
        <v>0</v>
      </c>
      <c r="I351" s="62">
        <v>0</v>
      </c>
      <c r="J351" s="62">
        <f t="shared" ref="J351:J361" si="131">J350+H351</f>
        <v>0</v>
      </c>
      <c r="K351" s="62">
        <f t="shared" ref="K351:K361" si="132">K350+I351</f>
        <v>0</v>
      </c>
      <c r="L351" s="6">
        <v>0</v>
      </c>
      <c r="M351" s="6">
        <v>0</v>
      </c>
      <c r="N351" s="62">
        <f t="shared" ref="N351:N361" si="133">N350+L351</f>
        <v>0</v>
      </c>
      <c r="O351" s="62">
        <f t="shared" ref="O351:O361" si="134">O350+M351</f>
        <v>0</v>
      </c>
    </row>
    <row r="352" spans="1:15" x14ac:dyDescent="0.25">
      <c r="A352" s="6" t="s">
        <v>142</v>
      </c>
      <c r="B352" s="6" t="s">
        <v>160</v>
      </c>
      <c r="C352" s="6">
        <v>3</v>
      </c>
      <c r="D352" s="63">
        <v>0</v>
      </c>
      <c r="E352" s="63">
        <v>0</v>
      </c>
      <c r="F352" s="62">
        <f t="shared" si="129"/>
        <v>0</v>
      </c>
      <c r="G352" s="62">
        <f t="shared" si="130"/>
        <v>0</v>
      </c>
      <c r="H352" s="62">
        <v>0</v>
      </c>
      <c r="I352" s="62">
        <v>0</v>
      </c>
      <c r="J352" s="62">
        <f t="shared" si="131"/>
        <v>0</v>
      </c>
      <c r="K352" s="62">
        <f t="shared" si="132"/>
        <v>0</v>
      </c>
      <c r="L352" s="6">
        <v>0</v>
      </c>
      <c r="M352" s="6">
        <v>0</v>
      </c>
      <c r="N352" s="62">
        <f t="shared" si="133"/>
        <v>0</v>
      </c>
      <c r="O352" s="62">
        <f t="shared" si="134"/>
        <v>0</v>
      </c>
    </row>
    <row r="353" spans="1:15" x14ac:dyDescent="0.25">
      <c r="A353" s="6" t="s">
        <v>142</v>
      </c>
      <c r="B353" s="6" t="s">
        <v>161</v>
      </c>
      <c r="C353" s="6">
        <v>4</v>
      </c>
      <c r="D353" s="63">
        <v>0</v>
      </c>
      <c r="E353" s="63">
        <v>0</v>
      </c>
      <c r="F353" s="62">
        <f t="shared" si="129"/>
        <v>0</v>
      </c>
      <c r="G353" s="62">
        <f t="shared" si="130"/>
        <v>0</v>
      </c>
      <c r="H353" s="62">
        <v>0</v>
      </c>
      <c r="I353" s="62">
        <v>0</v>
      </c>
      <c r="J353" s="62">
        <f t="shared" si="131"/>
        <v>0</v>
      </c>
      <c r="K353" s="62">
        <f t="shared" si="132"/>
        <v>0</v>
      </c>
      <c r="L353" s="6">
        <v>0</v>
      </c>
      <c r="M353" s="6">
        <v>0</v>
      </c>
      <c r="N353" s="62">
        <f t="shared" si="133"/>
        <v>0</v>
      </c>
      <c r="O353" s="62">
        <f t="shared" si="134"/>
        <v>0</v>
      </c>
    </row>
    <row r="354" spans="1:15" x14ac:dyDescent="0.25">
      <c r="A354" s="6" t="s">
        <v>142</v>
      </c>
      <c r="B354" s="6" t="s">
        <v>162</v>
      </c>
      <c r="C354" s="6">
        <v>5</v>
      </c>
      <c r="D354" s="63">
        <v>0</v>
      </c>
      <c r="E354" s="63">
        <v>0</v>
      </c>
      <c r="F354" s="62">
        <f t="shared" si="129"/>
        <v>0</v>
      </c>
      <c r="G354" s="62">
        <f t="shared" si="130"/>
        <v>0</v>
      </c>
      <c r="H354" s="62">
        <v>0</v>
      </c>
      <c r="I354" s="62">
        <v>0</v>
      </c>
      <c r="J354" s="62">
        <f t="shared" si="131"/>
        <v>0</v>
      </c>
      <c r="K354" s="62">
        <f t="shared" si="132"/>
        <v>0</v>
      </c>
      <c r="L354" s="6">
        <v>0</v>
      </c>
      <c r="M354" s="6">
        <v>0</v>
      </c>
      <c r="N354" s="62">
        <f t="shared" si="133"/>
        <v>0</v>
      </c>
      <c r="O354" s="62">
        <f t="shared" si="134"/>
        <v>0</v>
      </c>
    </row>
    <row r="355" spans="1:15" x14ac:dyDescent="0.25">
      <c r="A355" s="6" t="s">
        <v>142</v>
      </c>
      <c r="B355" s="6" t="s">
        <v>163</v>
      </c>
      <c r="C355" s="6">
        <v>6</v>
      </c>
      <c r="D355" s="63">
        <v>0</v>
      </c>
      <c r="E355" s="63">
        <v>0</v>
      </c>
      <c r="F355" s="62">
        <f t="shared" si="129"/>
        <v>0</v>
      </c>
      <c r="G355" s="62">
        <f t="shared" si="130"/>
        <v>0</v>
      </c>
      <c r="H355" s="62">
        <v>0</v>
      </c>
      <c r="I355" s="62">
        <v>0</v>
      </c>
      <c r="J355" s="62">
        <f t="shared" si="131"/>
        <v>0</v>
      </c>
      <c r="K355" s="62">
        <f t="shared" si="132"/>
        <v>0</v>
      </c>
      <c r="L355" s="6">
        <v>0</v>
      </c>
      <c r="M355" s="6">
        <v>0</v>
      </c>
      <c r="N355" s="62">
        <f t="shared" si="133"/>
        <v>0</v>
      </c>
      <c r="O355" s="62">
        <f t="shared" si="134"/>
        <v>0</v>
      </c>
    </row>
    <row r="356" spans="1:15" x14ac:dyDescent="0.25">
      <c r="A356" s="6" t="s">
        <v>142</v>
      </c>
      <c r="B356" s="6" t="s">
        <v>164</v>
      </c>
      <c r="C356" s="6">
        <v>7</v>
      </c>
      <c r="D356" s="63">
        <v>0</v>
      </c>
      <c r="E356" s="63">
        <v>0</v>
      </c>
      <c r="F356" s="62">
        <f t="shared" si="129"/>
        <v>0</v>
      </c>
      <c r="G356" s="62">
        <f t="shared" si="130"/>
        <v>0</v>
      </c>
      <c r="H356" s="62">
        <v>0</v>
      </c>
      <c r="I356" s="62">
        <v>0</v>
      </c>
      <c r="J356" s="62">
        <f t="shared" si="131"/>
        <v>0</v>
      </c>
      <c r="K356" s="62">
        <f t="shared" si="132"/>
        <v>0</v>
      </c>
      <c r="L356" s="6">
        <v>0</v>
      </c>
      <c r="M356" s="6">
        <v>0</v>
      </c>
      <c r="N356" s="62">
        <f t="shared" si="133"/>
        <v>0</v>
      </c>
      <c r="O356" s="62">
        <f t="shared" si="134"/>
        <v>0</v>
      </c>
    </row>
    <row r="357" spans="1:15" x14ac:dyDescent="0.25">
      <c r="A357" s="6" t="s">
        <v>142</v>
      </c>
      <c r="B357" s="6" t="s">
        <v>165</v>
      </c>
      <c r="C357" s="6">
        <v>8</v>
      </c>
      <c r="D357" s="63">
        <v>0</v>
      </c>
      <c r="E357" s="63">
        <v>0</v>
      </c>
      <c r="F357" s="62">
        <f t="shared" si="129"/>
        <v>0</v>
      </c>
      <c r="G357" s="62">
        <f t="shared" si="130"/>
        <v>0</v>
      </c>
      <c r="H357" s="62">
        <v>0</v>
      </c>
      <c r="I357" s="62">
        <v>0</v>
      </c>
      <c r="J357" s="62">
        <f t="shared" si="131"/>
        <v>0</v>
      </c>
      <c r="K357" s="62">
        <f t="shared" si="132"/>
        <v>0</v>
      </c>
      <c r="L357" s="6">
        <v>0</v>
      </c>
      <c r="M357" s="6">
        <v>0</v>
      </c>
      <c r="N357" s="62">
        <f t="shared" si="133"/>
        <v>0</v>
      </c>
      <c r="O357" s="62">
        <f t="shared" si="134"/>
        <v>0</v>
      </c>
    </row>
    <row r="358" spans="1:15" x14ac:dyDescent="0.25">
      <c r="A358" s="6" t="s">
        <v>142</v>
      </c>
      <c r="B358" s="6" t="s">
        <v>166</v>
      </c>
      <c r="C358" s="6">
        <v>9</v>
      </c>
      <c r="D358" s="63">
        <v>0</v>
      </c>
      <c r="E358" s="63">
        <v>0</v>
      </c>
      <c r="F358" s="62">
        <f t="shared" si="129"/>
        <v>0</v>
      </c>
      <c r="G358" s="62">
        <f t="shared" si="130"/>
        <v>0</v>
      </c>
      <c r="H358" s="62">
        <v>0</v>
      </c>
      <c r="I358" s="62">
        <v>0</v>
      </c>
      <c r="J358" s="62">
        <f t="shared" si="131"/>
        <v>0</v>
      </c>
      <c r="K358" s="62">
        <f t="shared" si="132"/>
        <v>0</v>
      </c>
      <c r="L358" s="6">
        <v>0</v>
      </c>
      <c r="M358" s="6">
        <v>0</v>
      </c>
      <c r="N358" s="62">
        <f t="shared" si="133"/>
        <v>0</v>
      </c>
      <c r="O358" s="62">
        <f t="shared" si="134"/>
        <v>0</v>
      </c>
    </row>
    <row r="359" spans="1:15" x14ac:dyDescent="0.25">
      <c r="A359" s="6" t="s">
        <v>142</v>
      </c>
      <c r="B359" s="6" t="s">
        <v>167</v>
      </c>
      <c r="C359" s="6">
        <v>10</v>
      </c>
      <c r="D359" s="63">
        <v>0</v>
      </c>
      <c r="E359" s="63">
        <v>0</v>
      </c>
      <c r="F359" s="62">
        <f t="shared" si="129"/>
        <v>0</v>
      </c>
      <c r="G359" s="62">
        <f t="shared" si="130"/>
        <v>0</v>
      </c>
      <c r="H359" s="62">
        <v>0</v>
      </c>
      <c r="I359" s="62">
        <v>0</v>
      </c>
      <c r="J359" s="62">
        <f t="shared" si="131"/>
        <v>0</v>
      </c>
      <c r="K359" s="62">
        <f t="shared" si="132"/>
        <v>0</v>
      </c>
      <c r="L359" s="6">
        <v>0</v>
      </c>
      <c r="M359" s="6">
        <v>0</v>
      </c>
      <c r="N359" s="62">
        <f t="shared" si="133"/>
        <v>0</v>
      </c>
      <c r="O359" s="62">
        <f t="shared" si="134"/>
        <v>0</v>
      </c>
    </row>
    <row r="360" spans="1:15" x14ac:dyDescent="0.25">
      <c r="A360" s="6" t="s">
        <v>142</v>
      </c>
      <c r="B360" s="6" t="s">
        <v>168</v>
      </c>
      <c r="C360" s="6">
        <v>11</v>
      </c>
      <c r="D360" s="63">
        <v>0</v>
      </c>
      <c r="E360" s="63">
        <v>0</v>
      </c>
      <c r="F360" s="62">
        <f t="shared" si="129"/>
        <v>0</v>
      </c>
      <c r="G360" s="62">
        <f t="shared" si="130"/>
        <v>0</v>
      </c>
      <c r="H360" s="62">
        <v>0</v>
      </c>
      <c r="I360" s="62">
        <v>0</v>
      </c>
      <c r="J360" s="62">
        <f t="shared" si="131"/>
        <v>0</v>
      </c>
      <c r="K360" s="62">
        <f t="shared" si="132"/>
        <v>0</v>
      </c>
      <c r="L360" s="6">
        <v>0</v>
      </c>
      <c r="M360" s="6">
        <v>0</v>
      </c>
      <c r="N360" s="62">
        <f t="shared" si="133"/>
        <v>0</v>
      </c>
      <c r="O360" s="62">
        <f t="shared" si="134"/>
        <v>0</v>
      </c>
    </row>
    <row r="361" spans="1:15" x14ac:dyDescent="0.25">
      <c r="A361" s="6" t="s">
        <v>142</v>
      </c>
      <c r="B361" s="6" t="s">
        <v>169</v>
      </c>
      <c r="C361" s="6">
        <v>12</v>
      </c>
      <c r="D361" s="63">
        <v>0</v>
      </c>
      <c r="E361" s="63">
        <v>0</v>
      </c>
      <c r="F361" s="62">
        <f t="shared" si="129"/>
        <v>0</v>
      </c>
      <c r="G361" s="62">
        <f t="shared" si="130"/>
        <v>0</v>
      </c>
      <c r="H361" s="62">
        <v>0</v>
      </c>
      <c r="I361" s="62">
        <v>0</v>
      </c>
      <c r="J361" s="62">
        <f t="shared" si="131"/>
        <v>0</v>
      </c>
      <c r="K361" s="62">
        <f t="shared" si="132"/>
        <v>0</v>
      </c>
      <c r="L361" s="6">
        <v>0</v>
      </c>
      <c r="M361" s="6">
        <v>0</v>
      </c>
      <c r="N361" s="62">
        <f t="shared" si="133"/>
        <v>0</v>
      </c>
      <c r="O361" s="62">
        <f t="shared" si="134"/>
        <v>0</v>
      </c>
    </row>
    <row r="362" spans="1:15" x14ac:dyDescent="0.25">
      <c r="A362" s="6" t="s">
        <v>107</v>
      </c>
      <c r="B362" s="6" t="s">
        <v>158</v>
      </c>
      <c r="C362" s="6">
        <v>1</v>
      </c>
      <c r="D362" s="63">
        <v>0</v>
      </c>
      <c r="E362" s="63">
        <v>0</v>
      </c>
      <c r="F362" s="62">
        <f>D362</f>
        <v>0</v>
      </c>
      <c r="G362" s="62">
        <f>E362</f>
        <v>0</v>
      </c>
      <c r="H362" s="61">
        <v>0</v>
      </c>
      <c r="I362" s="61">
        <v>0</v>
      </c>
      <c r="J362" s="61">
        <f>H362</f>
        <v>0</v>
      </c>
      <c r="K362" s="61">
        <f>I362</f>
        <v>0</v>
      </c>
      <c r="L362" s="6">
        <v>4</v>
      </c>
      <c r="M362" s="6">
        <v>11396.38</v>
      </c>
      <c r="N362" s="62">
        <f>L362</f>
        <v>4</v>
      </c>
      <c r="O362" s="62">
        <f>M362</f>
        <v>11396.38</v>
      </c>
    </row>
    <row r="363" spans="1:15" x14ac:dyDescent="0.25">
      <c r="A363" s="6" t="s">
        <v>107</v>
      </c>
      <c r="B363" s="6" t="s">
        <v>159</v>
      </c>
      <c r="C363" s="6">
        <v>2</v>
      </c>
      <c r="D363" s="63">
        <v>0</v>
      </c>
      <c r="E363" s="63">
        <v>0</v>
      </c>
      <c r="F363" s="62">
        <f t="shared" ref="F363:G373" si="135">F362+D363</f>
        <v>0</v>
      </c>
      <c r="G363" s="62">
        <f t="shared" si="135"/>
        <v>0</v>
      </c>
      <c r="H363" s="61">
        <v>0</v>
      </c>
      <c r="I363" s="61">
        <v>0</v>
      </c>
      <c r="J363" s="61">
        <f t="shared" ref="J363:K373" si="136">J362+H363</f>
        <v>0</v>
      </c>
      <c r="K363" s="61">
        <f t="shared" si="136"/>
        <v>0</v>
      </c>
      <c r="L363" s="6">
        <v>0</v>
      </c>
      <c r="M363" s="6">
        <v>0</v>
      </c>
      <c r="N363" s="62">
        <f t="shared" ref="N363:N373" si="137">N362+L363</f>
        <v>4</v>
      </c>
      <c r="O363" s="62">
        <f t="shared" ref="O363:O373" si="138">O362+M363</f>
        <v>11396.38</v>
      </c>
    </row>
    <row r="364" spans="1:15" x14ac:dyDescent="0.25">
      <c r="A364" s="6" t="s">
        <v>107</v>
      </c>
      <c r="B364" s="6" t="s">
        <v>160</v>
      </c>
      <c r="C364" s="6">
        <v>3</v>
      </c>
      <c r="D364" s="63">
        <v>0</v>
      </c>
      <c r="E364" s="63">
        <v>0</v>
      </c>
      <c r="F364" s="62">
        <f t="shared" si="135"/>
        <v>0</v>
      </c>
      <c r="G364" s="62">
        <f t="shared" si="135"/>
        <v>0</v>
      </c>
      <c r="H364" s="61">
        <v>0</v>
      </c>
      <c r="I364" s="61">
        <v>0</v>
      </c>
      <c r="J364" s="61">
        <f t="shared" si="136"/>
        <v>0</v>
      </c>
      <c r="K364" s="61">
        <f t="shared" si="136"/>
        <v>0</v>
      </c>
      <c r="L364" s="6">
        <v>0</v>
      </c>
      <c r="M364" s="6">
        <v>0</v>
      </c>
      <c r="N364" s="62">
        <f t="shared" si="137"/>
        <v>4</v>
      </c>
      <c r="O364" s="62">
        <f t="shared" si="138"/>
        <v>11396.38</v>
      </c>
    </row>
    <row r="365" spans="1:15" x14ac:dyDescent="0.25">
      <c r="A365" s="6" t="s">
        <v>107</v>
      </c>
      <c r="B365" s="6" t="s">
        <v>161</v>
      </c>
      <c r="C365" s="6">
        <v>4</v>
      </c>
      <c r="D365" s="62">
        <v>2</v>
      </c>
      <c r="E365" s="62">
        <v>7697.41</v>
      </c>
      <c r="F365" s="62">
        <f t="shared" si="135"/>
        <v>2</v>
      </c>
      <c r="G365" s="62">
        <f t="shared" si="135"/>
        <v>7697.41</v>
      </c>
      <c r="H365" s="61">
        <v>2</v>
      </c>
      <c r="I365" s="61">
        <v>2565.35</v>
      </c>
      <c r="J365" s="61">
        <f t="shared" si="136"/>
        <v>2</v>
      </c>
      <c r="K365" s="61">
        <f t="shared" si="136"/>
        <v>2565.35</v>
      </c>
      <c r="L365" s="6">
        <v>4</v>
      </c>
      <c r="M365" s="6">
        <v>8500</v>
      </c>
      <c r="N365" s="62">
        <f t="shared" si="137"/>
        <v>8</v>
      </c>
      <c r="O365" s="62">
        <f t="shared" si="138"/>
        <v>19896.379999999997</v>
      </c>
    </row>
    <row r="366" spans="1:15" x14ac:dyDescent="0.25">
      <c r="A366" s="6" t="s">
        <v>107</v>
      </c>
      <c r="B366" s="6" t="s">
        <v>162</v>
      </c>
      <c r="C366" s="6">
        <v>5</v>
      </c>
      <c r="D366" s="63">
        <v>0</v>
      </c>
      <c r="E366" s="63">
        <v>0</v>
      </c>
      <c r="F366" s="62">
        <f t="shared" si="135"/>
        <v>2</v>
      </c>
      <c r="G366" s="62">
        <f t="shared" si="135"/>
        <v>7697.41</v>
      </c>
      <c r="H366" s="61">
        <v>5</v>
      </c>
      <c r="I366" s="61">
        <v>6787</v>
      </c>
      <c r="J366" s="61">
        <f t="shared" si="136"/>
        <v>7</v>
      </c>
      <c r="K366" s="61">
        <f t="shared" si="136"/>
        <v>9352.35</v>
      </c>
      <c r="L366" s="6">
        <v>2</v>
      </c>
      <c r="M366" s="6">
        <v>5100</v>
      </c>
      <c r="N366" s="62">
        <f t="shared" si="137"/>
        <v>10</v>
      </c>
      <c r="O366" s="62">
        <f t="shared" si="138"/>
        <v>24996.379999999997</v>
      </c>
    </row>
    <row r="367" spans="1:15" x14ac:dyDescent="0.25">
      <c r="A367" s="6" t="s">
        <v>107</v>
      </c>
      <c r="B367" s="6" t="s">
        <v>163</v>
      </c>
      <c r="C367" s="6">
        <v>6</v>
      </c>
      <c r="D367" s="63">
        <v>2</v>
      </c>
      <c r="E367" s="63">
        <v>5060</v>
      </c>
      <c r="F367" s="62">
        <f t="shared" si="135"/>
        <v>4</v>
      </c>
      <c r="G367" s="62">
        <f t="shared" si="135"/>
        <v>12757.41</v>
      </c>
      <c r="H367" s="61">
        <v>9</v>
      </c>
      <c r="I367" s="61">
        <v>21575.68</v>
      </c>
      <c r="J367" s="61">
        <f t="shared" si="136"/>
        <v>16</v>
      </c>
      <c r="K367" s="61">
        <f t="shared" si="136"/>
        <v>30928.03</v>
      </c>
      <c r="L367" s="6">
        <v>5</v>
      </c>
      <c r="M367" s="6">
        <v>20137.439999999999</v>
      </c>
      <c r="N367" s="62">
        <f t="shared" si="137"/>
        <v>15</v>
      </c>
      <c r="O367" s="62">
        <f t="shared" si="138"/>
        <v>45133.819999999992</v>
      </c>
    </row>
    <row r="368" spans="1:15" x14ac:dyDescent="0.25">
      <c r="A368" s="6" t="s">
        <v>107</v>
      </c>
      <c r="B368" s="6" t="s">
        <v>164</v>
      </c>
      <c r="C368" s="6">
        <v>7</v>
      </c>
      <c r="D368" s="63">
        <v>1</v>
      </c>
      <c r="E368" s="63">
        <v>3960</v>
      </c>
      <c r="F368" s="62">
        <f t="shared" si="135"/>
        <v>5</v>
      </c>
      <c r="G368" s="62">
        <f t="shared" si="135"/>
        <v>16717.41</v>
      </c>
      <c r="H368" s="61">
        <v>3</v>
      </c>
      <c r="I368" s="61">
        <v>6140.8</v>
      </c>
      <c r="J368" s="61">
        <f t="shared" si="136"/>
        <v>19</v>
      </c>
      <c r="K368" s="61">
        <f t="shared" si="136"/>
        <v>37068.83</v>
      </c>
      <c r="L368" s="6">
        <v>2</v>
      </c>
      <c r="M368" s="6">
        <v>5050.2</v>
      </c>
      <c r="N368" s="62">
        <f t="shared" si="137"/>
        <v>17</v>
      </c>
      <c r="O368" s="62">
        <f t="shared" si="138"/>
        <v>50184.01999999999</v>
      </c>
    </row>
    <row r="369" spans="1:15" x14ac:dyDescent="0.25">
      <c r="A369" s="6" t="s">
        <v>107</v>
      </c>
      <c r="B369" s="6" t="s">
        <v>165</v>
      </c>
      <c r="C369" s="6">
        <v>8</v>
      </c>
      <c r="D369" s="63">
        <v>11</v>
      </c>
      <c r="E369" s="62">
        <v>59111.839999999997</v>
      </c>
      <c r="F369" s="62">
        <f t="shared" si="135"/>
        <v>16</v>
      </c>
      <c r="G369" s="62">
        <f t="shared" si="135"/>
        <v>75829.25</v>
      </c>
      <c r="H369" s="61">
        <v>1</v>
      </c>
      <c r="I369" s="61">
        <v>4919.3</v>
      </c>
      <c r="J369" s="61">
        <f t="shared" si="136"/>
        <v>20</v>
      </c>
      <c r="K369" s="61">
        <f t="shared" si="136"/>
        <v>41988.130000000005</v>
      </c>
      <c r="L369" s="6">
        <v>4</v>
      </c>
      <c r="M369" s="6">
        <v>14475</v>
      </c>
      <c r="N369" s="62">
        <f t="shared" si="137"/>
        <v>21</v>
      </c>
      <c r="O369" s="62">
        <f t="shared" si="138"/>
        <v>64659.01999999999</v>
      </c>
    </row>
    <row r="370" spans="1:15" x14ac:dyDescent="0.25">
      <c r="A370" s="6" t="s">
        <v>107</v>
      </c>
      <c r="B370" s="6" t="s">
        <v>166</v>
      </c>
      <c r="C370" s="6">
        <v>9</v>
      </c>
      <c r="D370" s="63">
        <v>0</v>
      </c>
      <c r="E370" s="63">
        <v>0</v>
      </c>
      <c r="F370" s="62">
        <f t="shared" si="135"/>
        <v>16</v>
      </c>
      <c r="G370" s="62">
        <f t="shared" si="135"/>
        <v>75829.25</v>
      </c>
      <c r="H370" s="61">
        <v>3</v>
      </c>
      <c r="I370" s="61">
        <v>10323.4</v>
      </c>
      <c r="J370" s="61">
        <f t="shared" si="136"/>
        <v>23</v>
      </c>
      <c r="K370" s="61">
        <f t="shared" si="136"/>
        <v>52311.530000000006</v>
      </c>
      <c r="L370" s="6">
        <v>3</v>
      </c>
      <c r="M370" s="6">
        <v>5000.57</v>
      </c>
      <c r="N370" s="62">
        <f t="shared" si="137"/>
        <v>24</v>
      </c>
      <c r="O370" s="62">
        <f t="shared" si="138"/>
        <v>69659.59</v>
      </c>
    </row>
    <row r="371" spans="1:15" x14ac:dyDescent="0.25">
      <c r="A371" s="6" t="s">
        <v>107</v>
      </c>
      <c r="B371" s="6" t="s">
        <v>167</v>
      </c>
      <c r="C371" s="6">
        <v>10</v>
      </c>
      <c r="D371" s="63">
        <v>0</v>
      </c>
      <c r="E371" s="63">
        <v>0</v>
      </c>
      <c r="F371" s="62">
        <f t="shared" si="135"/>
        <v>16</v>
      </c>
      <c r="G371" s="62">
        <f t="shared" si="135"/>
        <v>75829.25</v>
      </c>
      <c r="H371" s="61">
        <v>4</v>
      </c>
      <c r="I371" s="61">
        <v>10000.049999999999</v>
      </c>
      <c r="J371" s="61">
        <f t="shared" si="136"/>
        <v>27</v>
      </c>
      <c r="K371" s="61">
        <f t="shared" si="136"/>
        <v>62311.58</v>
      </c>
      <c r="L371" s="6">
        <v>5</v>
      </c>
      <c r="M371" s="6">
        <v>14000.57</v>
      </c>
      <c r="N371" s="62">
        <f t="shared" si="137"/>
        <v>29</v>
      </c>
      <c r="O371" s="62">
        <f t="shared" si="138"/>
        <v>83660.160000000003</v>
      </c>
    </row>
    <row r="372" spans="1:15" x14ac:dyDescent="0.25">
      <c r="A372" s="6" t="s">
        <v>107</v>
      </c>
      <c r="B372" s="6" t="s">
        <v>168</v>
      </c>
      <c r="C372" s="6">
        <v>11</v>
      </c>
      <c r="D372" s="63">
        <v>5</v>
      </c>
      <c r="E372" s="63">
        <v>6000</v>
      </c>
      <c r="F372" s="62">
        <f t="shared" si="135"/>
        <v>21</v>
      </c>
      <c r="G372" s="62">
        <f t="shared" si="135"/>
        <v>81829.25</v>
      </c>
      <c r="H372" s="61">
        <v>11</v>
      </c>
      <c r="I372" s="61">
        <v>40978.28</v>
      </c>
      <c r="J372" s="61">
        <f t="shared" si="136"/>
        <v>38</v>
      </c>
      <c r="K372" s="61">
        <f t="shared" si="136"/>
        <v>103289.86</v>
      </c>
      <c r="L372" s="6">
        <v>8</v>
      </c>
      <c r="M372" s="6">
        <v>20041.2</v>
      </c>
      <c r="N372" s="62">
        <f t="shared" si="137"/>
        <v>37</v>
      </c>
      <c r="O372" s="62">
        <f t="shared" si="138"/>
        <v>103701.36</v>
      </c>
    </row>
    <row r="373" spans="1:15" x14ac:dyDescent="0.25">
      <c r="A373" s="6" t="s">
        <v>107</v>
      </c>
      <c r="B373" s="6" t="s">
        <v>169</v>
      </c>
      <c r="C373" s="6">
        <v>12</v>
      </c>
      <c r="D373" s="63">
        <v>6</v>
      </c>
      <c r="E373" s="62">
        <v>13179.539999999999</v>
      </c>
      <c r="F373" s="62">
        <f t="shared" si="135"/>
        <v>27</v>
      </c>
      <c r="G373" s="62">
        <f t="shared" si="135"/>
        <v>95008.79</v>
      </c>
      <c r="H373" s="61">
        <v>6</v>
      </c>
      <c r="I373" s="61">
        <v>12050.25</v>
      </c>
      <c r="J373" s="61">
        <f t="shared" si="136"/>
        <v>44</v>
      </c>
      <c r="K373" s="61">
        <f t="shared" si="136"/>
        <v>115340.11</v>
      </c>
      <c r="L373" s="6">
        <v>15</v>
      </c>
      <c r="M373" s="6">
        <v>34227.21</v>
      </c>
      <c r="N373" s="62">
        <f t="shared" si="137"/>
        <v>52</v>
      </c>
      <c r="O373" s="62">
        <f t="shared" si="138"/>
        <v>137928.57</v>
      </c>
    </row>
    <row r="374" spans="1:15" x14ac:dyDescent="0.25">
      <c r="A374" s="6" t="s">
        <v>89</v>
      </c>
      <c r="B374" s="6" t="s">
        <v>158</v>
      </c>
      <c r="C374" s="6">
        <v>1</v>
      </c>
      <c r="D374" s="63">
        <v>0</v>
      </c>
      <c r="E374" s="63">
        <v>0</v>
      </c>
      <c r="F374" s="62">
        <f>D374</f>
        <v>0</v>
      </c>
      <c r="G374" s="62">
        <f>E374</f>
        <v>0</v>
      </c>
      <c r="H374" s="62">
        <v>0</v>
      </c>
      <c r="I374" s="62">
        <v>0</v>
      </c>
      <c r="J374" s="62">
        <f>H374</f>
        <v>0</v>
      </c>
      <c r="K374" s="62">
        <f>I374</f>
        <v>0</v>
      </c>
      <c r="L374" s="6">
        <v>0</v>
      </c>
      <c r="M374" s="6">
        <v>0</v>
      </c>
      <c r="N374" s="62">
        <f>L374</f>
        <v>0</v>
      </c>
      <c r="O374" s="62">
        <f>M374</f>
        <v>0</v>
      </c>
    </row>
    <row r="375" spans="1:15" x14ac:dyDescent="0.25">
      <c r="A375" s="6" t="s">
        <v>89</v>
      </c>
      <c r="B375" s="6" t="s">
        <v>159</v>
      </c>
      <c r="C375" s="6">
        <v>2</v>
      </c>
      <c r="D375" s="63">
        <v>0</v>
      </c>
      <c r="E375" s="63">
        <v>0</v>
      </c>
      <c r="F375" s="62">
        <f t="shared" ref="F375:F385" si="139">F374+D375</f>
        <v>0</v>
      </c>
      <c r="G375" s="62">
        <f t="shared" ref="G375:G385" si="140">G374+E375</f>
        <v>0</v>
      </c>
      <c r="H375" s="62">
        <v>0</v>
      </c>
      <c r="I375" s="62">
        <v>0</v>
      </c>
      <c r="J375" s="62">
        <f t="shared" ref="J375:J385" si="141">J374+H375</f>
        <v>0</v>
      </c>
      <c r="K375" s="62">
        <f t="shared" ref="K375:K385" si="142">K374+I375</f>
        <v>0</v>
      </c>
      <c r="L375" s="6">
        <v>0</v>
      </c>
      <c r="M375" s="6">
        <v>0</v>
      </c>
      <c r="N375" s="62">
        <f t="shared" ref="N375:N385" si="143">N374+L375</f>
        <v>0</v>
      </c>
      <c r="O375" s="62">
        <f t="shared" ref="O375:O385" si="144">O374+M375</f>
        <v>0</v>
      </c>
    </row>
    <row r="376" spans="1:15" x14ac:dyDescent="0.25">
      <c r="A376" s="6" t="s">
        <v>89</v>
      </c>
      <c r="B376" s="6" t="s">
        <v>160</v>
      </c>
      <c r="C376" s="6">
        <v>3</v>
      </c>
      <c r="D376" s="63">
        <v>0</v>
      </c>
      <c r="E376" s="63">
        <v>0</v>
      </c>
      <c r="F376" s="62">
        <f t="shared" si="139"/>
        <v>0</v>
      </c>
      <c r="G376" s="62">
        <f t="shared" si="140"/>
        <v>0</v>
      </c>
      <c r="H376" s="62">
        <v>0</v>
      </c>
      <c r="I376" s="62">
        <v>0</v>
      </c>
      <c r="J376" s="62">
        <f t="shared" si="141"/>
        <v>0</v>
      </c>
      <c r="K376" s="62">
        <f t="shared" si="142"/>
        <v>0</v>
      </c>
      <c r="L376" s="6">
        <v>0</v>
      </c>
      <c r="M376" s="6">
        <v>0</v>
      </c>
      <c r="N376" s="62">
        <f t="shared" si="143"/>
        <v>0</v>
      </c>
      <c r="O376" s="62">
        <f t="shared" si="144"/>
        <v>0</v>
      </c>
    </row>
    <row r="377" spans="1:15" x14ac:dyDescent="0.25">
      <c r="A377" s="6" t="s">
        <v>89</v>
      </c>
      <c r="B377" s="6" t="s">
        <v>161</v>
      </c>
      <c r="C377" s="6">
        <v>4</v>
      </c>
      <c r="D377" s="63">
        <v>0</v>
      </c>
      <c r="E377" s="63">
        <v>0</v>
      </c>
      <c r="F377" s="62">
        <f t="shared" si="139"/>
        <v>0</v>
      </c>
      <c r="G377" s="62">
        <f t="shared" si="140"/>
        <v>0</v>
      </c>
      <c r="H377" s="62">
        <v>0</v>
      </c>
      <c r="I377" s="62">
        <v>0</v>
      </c>
      <c r="J377" s="62">
        <f t="shared" si="141"/>
        <v>0</v>
      </c>
      <c r="K377" s="62">
        <f t="shared" si="142"/>
        <v>0</v>
      </c>
      <c r="L377" s="6">
        <v>0</v>
      </c>
      <c r="M377" s="6">
        <v>0</v>
      </c>
      <c r="N377" s="62">
        <f t="shared" si="143"/>
        <v>0</v>
      </c>
      <c r="O377" s="62">
        <f t="shared" si="144"/>
        <v>0</v>
      </c>
    </row>
    <row r="378" spans="1:15" x14ac:dyDescent="0.25">
      <c r="A378" s="6" t="s">
        <v>89</v>
      </c>
      <c r="B378" s="6" t="s">
        <v>162</v>
      </c>
      <c r="C378" s="6">
        <v>5</v>
      </c>
      <c r="D378" s="63">
        <v>0</v>
      </c>
      <c r="E378" s="63">
        <v>0</v>
      </c>
      <c r="F378" s="62">
        <f t="shared" si="139"/>
        <v>0</v>
      </c>
      <c r="G378" s="62">
        <f t="shared" si="140"/>
        <v>0</v>
      </c>
      <c r="H378" s="62">
        <v>0</v>
      </c>
      <c r="I378" s="62">
        <v>0</v>
      </c>
      <c r="J378" s="62">
        <f t="shared" si="141"/>
        <v>0</v>
      </c>
      <c r="K378" s="62">
        <f t="shared" si="142"/>
        <v>0</v>
      </c>
      <c r="L378" s="6">
        <v>0</v>
      </c>
      <c r="M378" s="6">
        <v>0</v>
      </c>
      <c r="N378" s="62">
        <f t="shared" si="143"/>
        <v>0</v>
      </c>
      <c r="O378" s="62">
        <f t="shared" si="144"/>
        <v>0</v>
      </c>
    </row>
    <row r="379" spans="1:15" x14ac:dyDescent="0.25">
      <c r="A379" s="6" t="s">
        <v>89</v>
      </c>
      <c r="B379" s="6" t="s">
        <v>163</v>
      </c>
      <c r="C379" s="6">
        <v>6</v>
      </c>
      <c r="D379" s="63">
        <v>0</v>
      </c>
      <c r="E379" s="63">
        <v>0</v>
      </c>
      <c r="F379" s="62">
        <f t="shared" si="139"/>
        <v>0</v>
      </c>
      <c r="G379" s="62">
        <f t="shared" si="140"/>
        <v>0</v>
      </c>
      <c r="H379" s="62">
        <v>0</v>
      </c>
      <c r="I379" s="62">
        <v>0</v>
      </c>
      <c r="J379" s="62">
        <f t="shared" si="141"/>
        <v>0</v>
      </c>
      <c r="K379" s="62">
        <f t="shared" si="142"/>
        <v>0</v>
      </c>
      <c r="L379" s="6">
        <v>0</v>
      </c>
      <c r="M379" s="6">
        <v>0</v>
      </c>
      <c r="N379" s="62">
        <f t="shared" si="143"/>
        <v>0</v>
      </c>
      <c r="O379" s="62">
        <f t="shared" si="144"/>
        <v>0</v>
      </c>
    </row>
    <row r="380" spans="1:15" x14ac:dyDescent="0.25">
      <c r="A380" s="6" t="s">
        <v>89</v>
      </c>
      <c r="B380" s="6" t="s">
        <v>164</v>
      </c>
      <c r="C380" s="6">
        <v>7</v>
      </c>
      <c r="D380" s="63">
        <v>0</v>
      </c>
      <c r="E380" s="63">
        <v>0</v>
      </c>
      <c r="F380" s="62">
        <f t="shared" si="139"/>
        <v>0</v>
      </c>
      <c r="G380" s="62">
        <f t="shared" si="140"/>
        <v>0</v>
      </c>
      <c r="H380" s="62">
        <v>0</v>
      </c>
      <c r="I380" s="62">
        <v>0</v>
      </c>
      <c r="J380" s="62">
        <f t="shared" si="141"/>
        <v>0</v>
      </c>
      <c r="K380" s="62">
        <f t="shared" si="142"/>
        <v>0</v>
      </c>
      <c r="L380" s="6">
        <v>0</v>
      </c>
      <c r="M380" s="6">
        <v>0</v>
      </c>
      <c r="N380" s="62">
        <f t="shared" si="143"/>
        <v>0</v>
      </c>
      <c r="O380" s="62">
        <f t="shared" si="144"/>
        <v>0</v>
      </c>
    </row>
    <row r="381" spans="1:15" x14ac:dyDescent="0.25">
      <c r="A381" s="6" t="s">
        <v>89</v>
      </c>
      <c r="B381" s="6" t="s">
        <v>165</v>
      </c>
      <c r="C381" s="6">
        <v>8</v>
      </c>
      <c r="D381" s="63">
        <v>0</v>
      </c>
      <c r="E381" s="63">
        <v>0</v>
      </c>
      <c r="F381" s="62">
        <f t="shared" si="139"/>
        <v>0</v>
      </c>
      <c r="G381" s="62">
        <f t="shared" si="140"/>
        <v>0</v>
      </c>
      <c r="H381" s="62">
        <v>0</v>
      </c>
      <c r="I381" s="62">
        <v>0</v>
      </c>
      <c r="J381" s="62">
        <f t="shared" si="141"/>
        <v>0</v>
      </c>
      <c r="K381" s="62">
        <f t="shared" si="142"/>
        <v>0</v>
      </c>
      <c r="L381" s="6">
        <v>0</v>
      </c>
      <c r="M381" s="6">
        <v>0</v>
      </c>
      <c r="N381" s="62">
        <f t="shared" si="143"/>
        <v>0</v>
      </c>
      <c r="O381" s="62">
        <f t="shared" si="144"/>
        <v>0</v>
      </c>
    </row>
    <row r="382" spans="1:15" x14ac:dyDescent="0.25">
      <c r="A382" s="6" t="s">
        <v>89</v>
      </c>
      <c r="B382" s="6" t="s">
        <v>166</v>
      </c>
      <c r="C382" s="6">
        <v>9</v>
      </c>
      <c r="D382" s="63">
        <v>0</v>
      </c>
      <c r="E382" s="63">
        <v>0</v>
      </c>
      <c r="F382" s="62">
        <f t="shared" si="139"/>
        <v>0</v>
      </c>
      <c r="G382" s="62">
        <f t="shared" si="140"/>
        <v>0</v>
      </c>
      <c r="H382" s="62">
        <v>0</v>
      </c>
      <c r="I382" s="62">
        <v>0</v>
      </c>
      <c r="J382" s="62">
        <f t="shared" si="141"/>
        <v>0</v>
      </c>
      <c r="K382" s="62">
        <f t="shared" si="142"/>
        <v>0</v>
      </c>
      <c r="L382" s="6">
        <v>3</v>
      </c>
      <c r="M382" s="6">
        <v>355</v>
      </c>
      <c r="N382" s="62">
        <f t="shared" si="143"/>
        <v>3</v>
      </c>
      <c r="O382" s="62">
        <f t="shared" si="144"/>
        <v>355</v>
      </c>
    </row>
    <row r="383" spans="1:15" x14ac:dyDescent="0.25">
      <c r="A383" s="6" t="s">
        <v>89</v>
      </c>
      <c r="B383" s="6" t="s">
        <v>167</v>
      </c>
      <c r="C383" s="6">
        <v>10</v>
      </c>
      <c r="D383" s="63">
        <v>0</v>
      </c>
      <c r="E383" s="63">
        <v>0</v>
      </c>
      <c r="F383" s="62">
        <f t="shared" si="139"/>
        <v>0</v>
      </c>
      <c r="G383" s="62">
        <f t="shared" si="140"/>
        <v>0</v>
      </c>
      <c r="H383" s="62">
        <v>0</v>
      </c>
      <c r="I383" s="62">
        <v>0</v>
      </c>
      <c r="J383" s="62">
        <f t="shared" si="141"/>
        <v>0</v>
      </c>
      <c r="K383" s="62">
        <f t="shared" si="142"/>
        <v>0</v>
      </c>
      <c r="L383" s="6">
        <v>1</v>
      </c>
      <c r="M383" s="6">
        <v>200</v>
      </c>
      <c r="N383" s="62">
        <f t="shared" si="143"/>
        <v>4</v>
      </c>
      <c r="O383" s="62">
        <f t="shared" si="144"/>
        <v>555</v>
      </c>
    </row>
    <row r="384" spans="1:15" x14ac:dyDescent="0.25">
      <c r="A384" s="6" t="s">
        <v>89</v>
      </c>
      <c r="B384" s="6" t="s">
        <v>168</v>
      </c>
      <c r="C384" s="6">
        <v>11</v>
      </c>
      <c r="D384" s="63">
        <v>0</v>
      </c>
      <c r="E384" s="63">
        <v>0</v>
      </c>
      <c r="F384" s="62">
        <f t="shared" si="139"/>
        <v>0</v>
      </c>
      <c r="G384" s="62">
        <f t="shared" si="140"/>
        <v>0</v>
      </c>
      <c r="H384" s="62">
        <v>0</v>
      </c>
      <c r="I384" s="62">
        <v>0</v>
      </c>
      <c r="J384" s="62">
        <f t="shared" si="141"/>
        <v>0</v>
      </c>
      <c r="K384" s="62">
        <f t="shared" si="142"/>
        <v>0</v>
      </c>
      <c r="L384" s="6">
        <v>7</v>
      </c>
      <c r="M384" s="6">
        <v>3240</v>
      </c>
      <c r="N384" s="62">
        <f t="shared" si="143"/>
        <v>11</v>
      </c>
      <c r="O384" s="62">
        <f t="shared" si="144"/>
        <v>3795</v>
      </c>
    </row>
    <row r="385" spans="1:15" x14ac:dyDescent="0.25">
      <c r="A385" s="6" t="s">
        <v>89</v>
      </c>
      <c r="B385" s="6" t="s">
        <v>169</v>
      </c>
      <c r="C385" s="6">
        <v>12</v>
      </c>
      <c r="D385" s="63">
        <v>0</v>
      </c>
      <c r="E385" s="63">
        <v>0</v>
      </c>
      <c r="F385" s="62">
        <f t="shared" si="139"/>
        <v>0</v>
      </c>
      <c r="G385" s="62">
        <f t="shared" si="140"/>
        <v>0</v>
      </c>
      <c r="H385" s="62">
        <v>0</v>
      </c>
      <c r="I385" s="62">
        <v>0</v>
      </c>
      <c r="J385" s="62">
        <f t="shared" si="141"/>
        <v>0</v>
      </c>
      <c r="K385" s="62">
        <f t="shared" si="142"/>
        <v>0</v>
      </c>
      <c r="L385" s="6">
        <v>2</v>
      </c>
      <c r="M385" s="6">
        <v>200</v>
      </c>
      <c r="N385" s="62">
        <f t="shared" si="143"/>
        <v>13</v>
      </c>
      <c r="O385" s="62">
        <f t="shared" si="144"/>
        <v>3995</v>
      </c>
    </row>
    <row r="386" spans="1:15" x14ac:dyDescent="0.25">
      <c r="A386" s="6" t="s">
        <v>127</v>
      </c>
      <c r="B386" s="6" t="s">
        <v>158</v>
      </c>
      <c r="C386" s="6">
        <v>1</v>
      </c>
      <c r="D386" s="63">
        <v>2</v>
      </c>
      <c r="E386" s="62">
        <v>10506.67</v>
      </c>
      <c r="F386" s="62">
        <f>D386</f>
        <v>2</v>
      </c>
      <c r="G386" s="62">
        <f>E386</f>
        <v>10506.67</v>
      </c>
      <c r="H386" s="61">
        <v>0</v>
      </c>
      <c r="I386" s="61">
        <v>0</v>
      </c>
      <c r="J386" s="61">
        <f>H386</f>
        <v>0</v>
      </c>
      <c r="K386" s="61">
        <f>I386</f>
        <v>0</v>
      </c>
      <c r="L386" s="6">
        <v>5</v>
      </c>
      <c r="M386" s="6">
        <v>135500</v>
      </c>
      <c r="N386" s="62">
        <f>L386</f>
        <v>5</v>
      </c>
      <c r="O386" s="62">
        <f>M386</f>
        <v>135500</v>
      </c>
    </row>
    <row r="387" spans="1:15" x14ac:dyDescent="0.25">
      <c r="A387" s="6" t="s">
        <v>127</v>
      </c>
      <c r="B387" s="6" t="s">
        <v>159</v>
      </c>
      <c r="C387" s="6">
        <v>2</v>
      </c>
      <c r="D387" s="63">
        <v>13</v>
      </c>
      <c r="E387" s="62">
        <v>3685</v>
      </c>
      <c r="F387" s="62">
        <f t="shared" ref="F387:G397" si="145">F386+D387</f>
        <v>15</v>
      </c>
      <c r="G387" s="62">
        <f t="shared" si="145"/>
        <v>14191.67</v>
      </c>
      <c r="H387" s="61">
        <v>1</v>
      </c>
      <c r="I387" s="61">
        <v>3000</v>
      </c>
      <c r="J387" s="61">
        <f t="shared" ref="J387:K397" si="146">J386+H387</f>
        <v>1</v>
      </c>
      <c r="K387" s="61">
        <f t="shared" si="146"/>
        <v>3000</v>
      </c>
      <c r="L387" s="6">
        <v>0</v>
      </c>
      <c r="M387" s="6">
        <v>0</v>
      </c>
      <c r="N387" s="62">
        <f t="shared" ref="N387:N397" si="147">N386+L387</f>
        <v>5</v>
      </c>
      <c r="O387" s="62">
        <f t="shared" ref="O387:O397" si="148">O386+M387</f>
        <v>135500</v>
      </c>
    </row>
    <row r="388" spans="1:15" x14ac:dyDescent="0.25">
      <c r="A388" s="6" t="s">
        <v>127</v>
      </c>
      <c r="B388" s="6" t="s">
        <v>160</v>
      </c>
      <c r="C388" s="6">
        <v>3</v>
      </c>
      <c r="D388" s="63">
        <v>0</v>
      </c>
      <c r="E388" s="63">
        <v>0</v>
      </c>
      <c r="F388" s="62">
        <f t="shared" si="145"/>
        <v>15</v>
      </c>
      <c r="G388" s="62">
        <f t="shared" si="145"/>
        <v>14191.67</v>
      </c>
      <c r="H388" s="61">
        <v>0</v>
      </c>
      <c r="I388" s="61">
        <v>0</v>
      </c>
      <c r="J388" s="61">
        <f t="shared" si="146"/>
        <v>1</v>
      </c>
      <c r="K388" s="61">
        <f t="shared" si="146"/>
        <v>3000</v>
      </c>
      <c r="L388" s="6">
        <v>0</v>
      </c>
      <c r="M388" s="6">
        <v>0</v>
      </c>
      <c r="N388" s="62">
        <f t="shared" si="147"/>
        <v>5</v>
      </c>
      <c r="O388" s="62">
        <f t="shared" si="148"/>
        <v>135500</v>
      </c>
    </row>
    <row r="389" spans="1:15" x14ac:dyDescent="0.25">
      <c r="A389" s="6" t="s">
        <v>127</v>
      </c>
      <c r="B389" s="6" t="s">
        <v>161</v>
      </c>
      <c r="C389" s="6">
        <v>4</v>
      </c>
      <c r="D389" s="63">
        <v>0</v>
      </c>
      <c r="E389" s="63">
        <v>0</v>
      </c>
      <c r="F389" s="62">
        <f t="shared" si="145"/>
        <v>15</v>
      </c>
      <c r="G389" s="62">
        <f t="shared" si="145"/>
        <v>14191.67</v>
      </c>
      <c r="H389" s="61">
        <v>0</v>
      </c>
      <c r="I389" s="61">
        <v>0</v>
      </c>
      <c r="J389" s="61">
        <f t="shared" si="146"/>
        <v>1</v>
      </c>
      <c r="K389" s="61">
        <f t="shared" si="146"/>
        <v>3000</v>
      </c>
      <c r="L389" s="6">
        <v>4</v>
      </c>
      <c r="M389" s="6">
        <v>17500</v>
      </c>
      <c r="N389" s="62">
        <f t="shared" si="147"/>
        <v>9</v>
      </c>
      <c r="O389" s="62">
        <f t="shared" si="148"/>
        <v>153000</v>
      </c>
    </row>
    <row r="390" spans="1:15" x14ac:dyDescent="0.25">
      <c r="A390" s="6" t="s">
        <v>127</v>
      </c>
      <c r="B390" s="6" t="s">
        <v>162</v>
      </c>
      <c r="C390" s="6">
        <v>5</v>
      </c>
      <c r="D390" s="63">
        <v>0</v>
      </c>
      <c r="E390" s="63">
        <v>0</v>
      </c>
      <c r="F390" s="62">
        <f t="shared" si="145"/>
        <v>15</v>
      </c>
      <c r="G390" s="62">
        <f t="shared" si="145"/>
        <v>14191.67</v>
      </c>
      <c r="H390" s="61">
        <v>1</v>
      </c>
      <c r="I390" s="61">
        <v>400</v>
      </c>
      <c r="J390" s="61">
        <f t="shared" si="146"/>
        <v>2</v>
      </c>
      <c r="K390" s="61">
        <f t="shared" si="146"/>
        <v>3400</v>
      </c>
      <c r="L390" s="6">
        <v>0</v>
      </c>
      <c r="M390" s="6">
        <v>0</v>
      </c>
      <c r="N390" s="62">
        <f t="shared" si="147"/>
        <v>9</v>
      </c>
      <c r="O390" s="62">
        <f t="shared" si="148"/>
        <v>153000</v>
      </c>
    </row>
    <row r="391" spans="1:15" x14ac:dyDescent="0.25">
      <c r="A391" s="6" t="s">
        <v>127</v>
      </c>
      <c r="B391" s="6" t="s">
        <v>163</v>
      </c>
      <c r="C391" s="6">
        <v>6</v>
      </c>
      <c r="D391" s="63">
        <v>1</v>
      </c>
      <c r="E391" s="63">
        <v>1200</v>
      </c>
      <c r="F391" s="62">
        <f t="shared" si="145"/>
        <v>16</v>
      </c>
      <c r="G391" s="62">
        <f t="shared" si="145"/>
        <v>15391.67</v>
      </c>
      <c r="H391" s="61">
        <v>0</v>
      </c>
      <c r="I391" s="61">
        <v>0</v>
      </c>
      <c r="J391" s="61">
        <f t="shared" si="146"/>
        <v>2</v>
      </c>
      <c r="K391" s="61">
        <f t="shared" si="146"/>
        <v>3400</v>
      </c>
      <c r="L391" s="6">
        <v>1</v>
      </c>
      <c r="M391" s="6">
        <v>1100</v>
      </c>
      <c r="N391" s="62">
        <f t="shared" si="147"/>
        <v>10</v>
      </c>
      <c r="O391" s="62">
        <f t="shared" si="148"/>
        <v>154100</v>
      </c>
    </row>
    <row r="392" spans="1:15" x14ac:dyDescent="0.25">
      <c r="A392" s="6" t="s">
        <v>127</v>
      </c>
      <c r="B392" s="6" t="s">
        <v>164</v>
      </c>
      <c r="C392" s="6">
        <v>7</v>
      </c>
      <c r="D392" s="63">
        <v>0</v>
      </c>
      <c r="E392" s="63">
        <v>0</v>
      </c>
      <c r="F392" s="62">
        <f t="shared" si="145"/>
        <v>16</v>
      </c>
      <c r="G392" s="62">
        <f t="shared" si="145"/>
        <v>15391.67</v>
      </c>
      <c r="H392" s="61">
        <v>1</v>
      </c>
      <c r="I392" s="61">
        <v>5600</v>
      </c>
      <c r="J392" s="61">
        <f t="shared" si="146"/>
        <v>3</v>
      </c>
      <c r="K392" s="61">
        <f t="shared" si="146"/>
        <v>9000</v>
      </c>
      <c r="L392" s="6">
        <v>0</v>
      </c>
      <c r="M392" s="6">
        <v>0</v>
      </c>
      <c r="N392" s="62">
        <f t="shared" si="147"/>
        <v>10</v>
      </c>
      <c r="O392" s="62">
        <f t="shared" si="148"/>
        <v>154100</v>
      </c>
    </row>
    <row r="393" spans="1:15" x14ac:dyDescent="0.25">
      <c r="A393" s="6" t="s">
        <v>127</v>
      </c>
      <c r="B393" s="6" t="s">
        <v>165</v>
      </c>
      <c r="C393" s="6">
        <v>8</v>
      </c>
      <c r="D393" s="63">
        <v>0</v>
      </c>
      <c r="E393" s="63">
        <v>0</v>
      </c>
      <c r="F393" s="62">
        <f t="shared" si="145"/>
        <v>16</v>
      </c>
      <c r="G393" s="62">
        <f t="shared" si="145"/>
        <v>15391.67</v>
      </c>
      <c r="H393" s="61">
        <v>0</v>
      </c>
      <c r="I393" s="61">
        <v>0</v>
      </c>
      <c r="J393" s="61">
        <f t="shared" si="146"/>
        <v>3</v>
      </c>
      <c r="K393" s="61">
        <f t="shared" si="146"/>
        <v>9000</v>
      </c>
      <c r="L393" s="6">
        <v>1</v>
      </c>
      <c r="M393" s="6">
        <v>2800</v>
      </c>
      <c r="N393" s="62">
        <f t="shared" si="147"/>
        <v>11</v>
      </c>
      <c r="O393" s="62">
        <f t="shared" si="148"/>
        <v>156900</v>
      </c>
    </row>
    <row r="394" spans="1:15" x14ac:dyDescent="0.25">
      <c r="A394" s="6" t="s">
        <v>127</v>
      </c>
      <c r="B394" s="6" t="s">
        <v>166</v>
      </c>
      <c r="C394" s="6">
        <v>9</v>
      </c>
      <c r="D394" s="63">
        <v>0</v>
      </c>
      <c r="E394" s="63">
        <v>0</v>
      </c>
      <c r="F394" s="62">
        <f t="shared" si="145"/>
        <v>16</v>
      </c>
      <c r="G394" s="62">
        <f t="shared" si="145"/>
        <v>15391.67</v>
      </c>
      <c r="H394" s="61">
        <v>0</v>
      </c>
      <c r="I394" s="61">
        <v>0</v>
      </c>
      <c r="J394" s="61">
        <f t="shared" si="146"/>
        <v>3</v>
      </c>
      <c r="K394" s="61">
        <f t="shared" si="146"/>
        <v>9000</v>
      </c>
      <c r="L394" s="6">
        <v>0</v>
      </c>
      <c r="M394" s="6">
        <v>0</v>
      </c>
      <c r="N394" s="62">
        <f t="shared" si="147"/>
        <v>11</v>
      </c>
      <c r="O394" s="62">
        <f t="shared" si="148"/>
        <v>156900</v>
      </c>
    </row>
    <row r="395" spans="1:15" x14ac:dyDescent="0.25">
      <c r="A395" s="6" t="s">
        <v>127</v>
      </c>
      <c r="B395" s="6" t="s">
        <v>167</v>
      </c>
      <c r="C395" s="6">
        <v>10</v>
      </c>
      <c r="D395" s="63">
        <v>0</v>
      </c>
      <c r="E395" s="63">
        <v>0</v>
      </c>
      <c r="F395" s="62">
        <f t="shared" si="145"/>
        <v>16</v>
      </c>
      <c r="G395" s="62">
        <f t="shared" si="145"/>
        <v>15391.67</v>
      </c>
      <c r="H395" s="61">
        <v>1</v>
      </c>
      <c r="I395" s="61">
        <v>2750</v>
      </c>
      <c r="J395" s="61">
        <f t="shared" si="146"/>
        <v>4</v>
      </c>
      <c r="K395" s="61">
        <f t="shared" si="146"/>
        <v>11750</v>
      </c>
      <c r="L395" s="6">
        <v>0</v>
      </c>
      <c r="M395" s="6">
        <v>0</v>
      </c>
      <c r="N395" s="62">
        <f t="shared" si="147"/>
        <v>11</v>
      </c>
      <c r="O395" s="62">
        <f t="shared" si="148"/>
        <v>156900</v>
      </c>
    </row>
    <row r="396" spans="1:15" x14ac:dyDescent="0.25">
      <c r="A396" s="6" t="s">
        <v>127</v>
      </c>
      <c r="B396" s="6" t="s">
        <v>168</v>
      </c>
      <c r="C396" s="6">
        <v>11</v>
      </c>
      <c r="D396" s="63">
        <v>3</v>
      </c>
      <c r="E396" s="62">
        <v>4800</v>
      </c>
      <c r="F396" s="62">
        <f t="shared" si="145"/>
        <v>19</v>
      </c>
      <c r="G396" s="62">
        <f t="shared" si="145"/>
        <v>20191.669999999998</v>
      </c>
      <c r="H396" s="61">
        <v>0</v>
      </c>
      <c r="I396" s="61">
        <v>0</v>
      </c>
      <c r="J396" s="61">
        <f t="shared" si="146"/>
        <v>4</v>
      </c>
      <c r="K396" s="61">
        <f t="shared" si="146"/>
        <v>11750</v>
      </c>
      <c r="L396" s="6">
        <v>0</v>
      </c>
      <c r="M396" s="6">
        <v>0</v>
      </c>
      <c r="N396" s="62">
        <f t="shared" si="147"/>
        <v>11</v>
      </c>
      <c r="O396" s="62">
        <f t="shared" si="148"/>
        <v>156900</v>
      </c>
    </row>
    <row r="397" spans="1:15" x14ac:dyDescent="0.25">
      <c r="A397" s="6" t="s">
        <v>127</v>
      </c>
      <c r="B397" s="6" t="s">
        <v>169</v>
      </c>
      <c r="C397" s="6">
        <v>12</v>
      </c>
      <c r="D397" s="63">
        <v>3</v>
      </c>
      <c r="E397" s="62">
        <v>7900</v>
      </c>
      <c r="F397" s="62">
        <f t="shared" si="145"/>
        <v>22</v>
      </c>
      <c r="G397" s="62">
        <f t="shared" si="145"/>
        <v>28091.67</v>
      </c>
      <c r="H397" s="61">
        <v>3</v>
      </c>
      <c r="I397" s="61">
        <v>5665</v>
      </c>
      <c r="J397" s="61">
        <f t="shared" si="146"/>
        <v>7</v>
      </c>
      <c r="K397" s="61">
        <f t="shared" si="146"/>
        <v>17415</v>
      </c>
      <c r="L397" s="6">
        <v>2</v>
      </c>
      <c r="M397" s="6">
        <v>4149.95</v>
      </c>
      <c r="N397" s="62">
        <f t="shared" si="147"/>
        <v>13</v>
      </c>
      <c r="O397" s="62">
        <f t="shared" si="148"/>
        <v>161049.95000000001</v>
      </c>
    </row>
    <row r="398" spans="1:15" x14ac:dyDescent="0.25">
      <c r="A398" s="6" t="s">
        <v>122</v>
      </c>
      <c r="B398" s="6" t="s">
        <v>158</v>
      </c>
      <c r="C398" s="6">
        <v>1</v>
      </c>
      <c r="D398" s="63">
        <v>0</v>
      </c>
      <c r="E398" s="63">
        <v>0</v>
      </c>
      <c r="F398" s="62">
        <f>D398</f>
        <v>0</v>
      </c>
      <c r="G398" s="62">
        <f>E398</f>
        <v>0</v>
      </c>
      <c r="H398" s="61">
        <v>0</v>
      </c>
      <c r="I398" s="61">
        <v>0</v>
      </c>
      <c r="J398" s="61">
        <f>H398</f>
        <v>0</v>
      </c>
      <c r="K398" s="61">
        <f>I398</f>
        <v>0</v>
      </c>
      <c r="L398" s="6">
        <v>0</v>
      </c>
      <c r="M398" s="6">
        <v>0</v>
      </c>
      <c r="N398" s="62">
        <f>L398</f>
        <v>0</v>
      </c>
      <c r="O398" s="62">
        <f>M398</f>
        <v>0</v>
      </c>
    </row>
    <row r="399" spans="1:15" x14ac:dyDescent="0.25">
      <c r="A399" s="6" t="s">
        <v>122</v>
      </c>
      <c r="B399" s="6" t="s">
        <v>159</v>
      </c>
      <c r="C399" s="6">
        <v>2</v>
      </c>
      <c r="D399" s="63">
        <v>0</v>
      </c>
      <c r="E399" s="63">
        <v>0</v>
      </c>
      <c r="F399" s="62">
        <f t="shared" ref="F399:G409" si="149">F398+D399</f>
        <v>0</v>
      </c>
      <c r="G399" s="62">
        <f t="shared" si="149"/>
        <v>0</v>
      </c>
      <c r="H399" s="61">
        <v>0</v>
      </c>
      <c r="I399" s="61">
        <v>0</v>
      </c>
      <c r="J399" s="61">
        <f t="shared" ref="J399:K409" si="150">J398+H399</f>
        <v>0</v>
      </c>
      <c r="K399" s="61">
        <f t="shared" si="150"/>
        <v>0</v>
      </c>
      <c r="L399" s="6">
        <v>0</v>
      </c>
      <c r="M399" s="6">
        <v>0</v>
      </c>
      <c r="N399" s="62">
        <f t="shared" ref="N399:N409" si="151">N398+L399</f>
        <v>0</v>
      </c>
      <c r="O399" s="62">
        <f t="shared" ref="O399:O409" si="152">O398+M399</f>
        <v>0</v>
      </c>
    </row>
    <row r="400" spans="1:15" x14ac:dyDescent="0.25">
      <c r="A400" s="6" t="s">
        <v>122</v>
      </c>
      <c r="B400" s="6" t="s">
        <v>160</v>
      </c>
      <c r="C400" s="6">
        <v>3</v>
      </c>
      <c r="D400" s="63">
        <v>0</v>
      </c>
      <c r="E400" s="63">
        <v>0</v>
      </c>
      <c r="F400" s="62">
        <f t="shared" si="149"/>
        <v>0</v>
      </c>
      <c r="G400" s="62">
        <f t="shared" si="149"/>
        <v>0</v>
      </c>
      <c r="H400" s="61">
        <v>0</v>
      </c>
      <c r="I400" s="61">
        <v>0</v>
      </c>
      <c r="J400" s="61">
        <f t="shared" si="150"/>
        <v>0</v>
      </c>
      <c r="K400" s="61">
        <f t="shared" si="150"/>
        <v>0</v>
      </c>
      <c r="L400" s="6">
        <v>0</v>
      </c>
      <c r="M400" s="6">
        <v>0</v>
      </c>
      <c r="N400" s="62">
        <f t="shared" si="151"/>
        <v>0</v>
      </c>
      <c r="O400" s="62">
        <f t="shared" si="152"/>
        <v>0</v>
      </c>
    </row>
    <row r="401" spans="1:15" x14ac:dyDescent="0.25">
      <c r="A401" s="6" t="s">
        <v>122</v>
      </c>
      <c r="B401" s="6" t="s">
        <v>161</v>
      </c>
      <c r="C401" s="6">
        <v>4</v>
      </c>
      <c r="D401" s="63">
        <v>0</v>
      </c>
      <c r="E401" s="63">
        <v>0</v>
      </c>
      <c r="F401" s="62">
        <f t="shared" si="149"/>
        <v>0</v>
      </c>
      <c r="G401" s="62">
        <f t="shared" si="149"/>
        <v>0</v>
      </c>
      <c r="H401" s="61">
        <v>1</v>
      </c>
      <c r="I401" s="61">
        <v>3500</v>
      </c>
      <c r="J401" s="61">
        <f t="shared" si="150"/>
        <v>1</v>
      </c>
      <c r="K401" s="61">
        <f t="shared" si="150"/>
        <v>3500</v>
      </c>
      <c r="L401" s="6">
        <v>3</v>
      </c>
      <c r="M401" s="6">
        <v>9032</v>
      </c>
      <c r="N401" s="62">
        <f t="shared" si="151"/>
        <v>3</v>
      </c>
      <c r="O401" s="62">
        <f t="shared" si="152"/>
        <v>9032</v>
      </c>
    </row>
    <row r="402" spans="1:15" x14ac:dyDescent="0.25">
      <c r="A402" s="6" t="s">
        <v>122</v>
      </c>
      <c r="B402" s="6" t="s">
        <v>162</v>
      </c>
      <c r="C402" s="6">
        <v>5</v>
      </c>
      <c r="D402" s="63">
        <v>0</v>
      </c>
      <c r="E402" s="63">
        <v>0</v>
      </c>
      <c r="F402" s="62">
        <f t="shared" si="149"/>
        <v>0</v>
      </c>
      <c r="G402" s="62">
        <f t="shared" si="149"/>
        <v>0</v>
      </c>
      <c r="H402" s="61">
        <v>1</v>
      </c>
      <c r="I402" s="61">
        <v>354</v>
      </c>
      <c r="J402" s="61">
        <f t="shared" si="150"/>
        <v>2</v>
      </c>
      <c r="K402" s="61">
        <f t="shared" si="150"/>
        <v>3854</v>
      </c>
      <c r="L402" s="6">
        <v>0</v>
      </c>
      <c r="M402" s="6">
        <v>0</v>
      </c>
      <c r="N402" s="62">
        <f t="shared" si="151"/>
        <v>3</v>
      </c>
      <c r="O402" s="62">
        <f t="shared" si="152"/>
        <v>9032</v>
      </c>
    </row>
    <row r="403" spans="1:15" x14ac:dyDescent="0.25">
      <c r="A403" s="6" t="s">
        <v>122</v>
      </c>
      <c r="B403" s="6" t="s">
        <v>163</v>
      </c>
      <c r="C403" s="6">
        <v>6</v>
      </c>
      <c r="D403" s="63">
        <v>0</v>
      </c>
      <c r="E403" s="63">
        <v>0</v>
      </c>
      <c r="F403" s="62">
        <f t="shared" si="149"/>
        <v>0</v>
      </c>
      <c r="G403" s="62">
        <f t="shared" si="149"/>
        <v>0</v>
      </c>
      <c r="H403" s="61">
        <v>0</v>
      </c>
      <c r="I403" s="61">
        <v>0</v>
      </c>
      <c r="J403" s="61">
        <f t="shared" si="150"/>
        <v>2</v>
      </c>
      <c r="K403" s="61">
        <f t="shared" si="150"/>
        <v>3854</v>
      </c>
      <c r="L403" s="6">
        <v>0</v>
      </c>
      <c r="M403" s="6">
        <v>0</v>
      </c>
      <c r="N403" s="62">
        <f t="shared" si="151"/>
        <v>3</v>
      </c>
      <c r="O403" s="62">
        <f t="shared" si="152"/>
        <v>9032</v>
      </c>
    </row>
    <row r="404" spans="1:15" x14ac:dyDescent="0.25">
      <c r="A404" s="6" t="s">
        <v>122</v>
      </c>
      <c r="B404" s="6" t="s">
        <v>164</v>
      </c>
      <c r="C404" s="6">
        <v>7</v>
      </c>
      <c r="D404" s="63">
        <v>0</v>
      </c>
      <c r="E404" s="63">
        <v>0</v>
      </c>
      <c r="F404" s="62">
        <f t="shared" si="149"/>
        <v>0</v>
      </c>
      <c r="G404" s="62">
        <f t="shared" si="149"/>
        <v>0</v>
      </c>
      <c r="H404" s="61">
        <v>0</v>
      </c>
      <c r="I404" s="61">
        <v>0</v>
      </c>
      <c r="J404" s="61">
        <f t="shared" si="150"/>
        <v>2</v>
      </c>
      <c r="K404" s="61">
        <f t="shared" si="150"/>
        <v>3854</v>
      </c>
      <c r="L404" s="6">
        <v>0</v>
      </c>
      <c r="M404" s="6">
        <v>0</v>
      </c>
      <c r="N404" s="62">
        <f t="shared" si="151"/>
        <v>3</v>
      </c>
      <c r="O404" s="62">
        <f t="shared" si="152"/>
        <v>9032</v>
      </c>
    </row>
    <row r="405" spans="1:15" x14ac:dyDescent="0.25">
      <c r="A405" s="6" t="s">
        <v>122</v>
      </c>
      <c r="B405" s="6" t="s">
        <v>165</v>
      </c>
      <c r="C405" s="6">
        <v>8</v>
      </c>
      <c r="D405" s="63">
        <v>0</v>
      </c>
      <c r="E405" s="63">
        <v>0</v>
      </c>
      <c r="F405" s="62">
        <f t="shared" si="149"/>
        <v>0</v>
      </c>
      <c r="G405" s="62">
        <f t="shared" si="149"/>
        <v>0</v>
      </c>
      <c r="H405" s="61">
        <v>0</v>
      </c>
      <c r="I405" s="61">
        <v>0</v>
      </c>
      <c r="J405" s="61">
        <f t="shared" si="150"/>
        <v>2</v>
      </c>
      <c r="K405" s="61">
        <f t="shared" si="150"/>
        <v>3854</v>
      </c>
      <c r="L405" s="6">
        <v>0</v>
      </c>
      <c r="M405" s="6">
        <v>0</v>
      </c>
      <c r="N405" s="62">
        <f t="shared" si="151"/>
        <v>3</v>
      </c>
      <c r="O405" s="62">
        <f t="shared" si="152"/>
        <v>9032</v>
      </c>
    </row>
    <row r="406" spans="1:15" x14ac:dyDescent="0.25">
      <c r="A406" s="6" t="s">
        <v>122</v>
      </c>
      <c r="B406" s="6" t="s">
        <v>166</v>
      </c>
      <c r="C406" s="6">
        <v>9</v>
      </c>
      <c r="D406" s="63">
        <v>0</v>
      </c>
      <c r="E406" s="63">
        <v>0</v>
      </c>
      <c r="F406" s="62">
        <f t="shared" si="149"/>
        <v>0</v>
      </c>
      <c r="G406" s="62">
        <f t="shared" si="149"/>
        <v>0</v>
      </c>
      <c r="H406" s="61">
        <v>2</v>
      </c>
      <c r="I406" s="61">
        <v>400</v>
      </c>
      <c r="J406" s="61">
        <f t="shared" si="150"/>
        <v>4</v>
      </c>
      <c r="K406" s="61">
        <f t="shared" si="150"/>
        <v>4254</v>
      </c>
      <c r="L406" s="6">
        <v>0</v>
      </c>
      <c r="M406" s="6">
        <v>0</v>
      </c>
      <c r="N406" s="62">
        <f t="shared" si="151"/>
        <v>3</v>
      </c>
      <c r="O406" s="62">
        <f t="shared" si="152"/>
        <v>9032</v>
      </c>
    </row>
    <row r="407" spans="1:15" x14ac:dyDescent="0.25">
      <c r="A407" s="6" t="s">
        <v>122</v>
      </c>
      <c r="B407" s="6" t="s">
        <v>167</v>
      </c>
      <c r="C407" s="6">
        <v>10</v>
      </c>
      <c r="D407" s="63">
        <v>0</v>
      </c>
      <c r="E407" s="63">
        <v>0</v>
      </c>
      <c r="F407" s="62">
        <f t="shared" si="149"/>
        <v>0</v>
      </c>
      <c r="G407" s="62">
        <f t="shared" si="149"/>
        <v>0</v>
      </c>
      <c r="H407" s="61">
        <v>0</v>
      </c>
      <c r="I407" s="61">
        <v>0</v>
      </c>
      <c r="J407" s="61">
        <f t="shared" si="150"/>
        <v>4</v>
      </c>
      <c r="K407" s="61">
        <f t="shared" si="150"/>
        <v>4254</v>
      </c>
      <c r="L407" s="6">
        <v>0</v>
      </c>
      <c r="M407" s="6">
        <v>0</v>
      </c>
      <c r="N407" s="62">
        <f t="shared" si="151"/>
        <v>3</v>
      </c>
      <c r="O407" s="62">
        <f t="shared" si="152"/>
        <v>9032</v>
      </c>
    </row>
    <row r="408" spans="1:15" x14ac:dyDescent="0.25">
      <c r="A408" s="6" t="s">
        <v>122</v>
      </c>
      <c r="B408" s="6" t="s">
        <v>168</v>
      </c>
      <c r="C408" s="6">
        <v>11</v>
      </c>
      <c r="D408" s="63">
        <v>0</v>
      </c>
      <c r="E408" s="63">
        <v>0</v>
      </c>
      <c r="F408" s="62">
        <f t="shared" si="149"/>
        <v>0</v>
      </c>
      <c r="G408" s="62">
        <f t="shared" si="149"/>
        <v>0</v>
      </c>
      <c r="H408" s="61">
        <v>0</v>
      </c>
      <c r="I408" s="61">
        <v>0</v>
      </c>
      <c r="J408" s="61">
        <f t="shared" si="150"/>
        <v>4</v>
      </c>
      <c r="K408" s="61">
        <f t="shared" si="150"/>
        <v>4254</v>
      </c>
      <c r="L408" s="6">
        <v>1</v>
      </c>
      <c r="M408" s="6">
        <v>800</v>
      </c>
      <c r="N408" s="62">
        <f t="shared" si="151"/>
        <v>4</v>
      </c>
      <c r="O408" s="62">
        <f t="shared" si="152"/>
        <v>9832</v>
      </c>
    </row>
    <row r="409" spans="1:15" x14ac:dyDescent="0.25">
      <c r="A409" s="6" t="s">
        <v>122</v>
      </c>
      <c r="B409" s="6" t="s">
        <v>169</v>
      </c>
      <c r="C409" s="6">
        <v>12</v>
      </c>
      <c r="D409" s="63">
        <v>0</v>
      </c>
      <c r="E409" s="63">
        <v>0</v>
      </c>
      <c r="F409" s="62">
        <f t="shared" si="149"/>
        <v>0</v>
      </c>
      <c r="G409" s="62">
        <f t="shared" si="149"/>
        <v>0</v>
      </c>
      <c r="H409" s="61">
        <v>0</v>
      </c>
      <c r="I409" s="61">
        <v>0</v>
      </c>
      <c r="J409" s="61">
        <f t="shared" si="150"/>
        <v>4</v>
      </c>
      <c r="K409" s="61">
        <f t="shared" si="150"/>
        <v>4254</v>
      </c>
      <c r="L409" s="6">
        <v>1</v>
      </c>
      <c r="M409" s="6">
        <v>3500</v>
      </c>
      <c r="N409" s="62">
        <f t="shared" si="151"/>
        <v>5</v>
      </c>
      <c r="O409" s="62">
        <f t="shared" si="152"/>
        <v>13332</v>
      </c>
    </row>
    <row r="410" spans="1:15" x14ac:dyDescent="0.25">
      <c r="A410" s="6" t="s">
        <v>90</v>
      </c>
      <c r="B410" s="6" t="s">
        <v>158</v>
      </c>
      <c r="C410" s="6">
        <v>1</v>
      </c>
      <c r="D410" s="63">
        <v>0</v>
      </c>
      <c r="E410" s="63">
        <v>0</v>
      </c>
      <c r="F410" s="62">
        <f>D410</f>
        <v>0</v>
      </c>
      <c r="G410" s="62">
        <f>E410</f>
        <v>0</v>
      </c>
      <c r="H410" s="62">
        <v>0</v>
      </c>
      <c r="I410" s="62">
        <v>0</v>
      </c>
      <c r="J410" s="62">
        <f>H410</f>
        <v>0</v>
      </c>
      <c r="K410" s="62">
        <f>I410</f>
        <v>0</v>
      </c>
      <c r="L410" s="6">
        <v>0</v>
      </c>
      <c r="M410" s="6">
        <v>0</v>
      </c>
      <c r="N410" s="62">
        <f>L410</f>
        <v>0</v>
      </c>
      <c r="O410" s="62">
        <f>M410</f>
        <v>0</v>
      </c>
    </row>
    <row r="411" spans="1:15" x14ac:dyDescent="0.25">
      <c r="A411" s="6" t="s">
        <v>90</v>
      </c>
      <c r="B411" s="6" t="s">
        <v>159</v>
      </c>
      <c r="C411" s="6">
        <v>2</v>
      </c>
      <c r="D411" s="63">
        <v>0</v>
      </c>
      <c r="E411" s="63">
        <v>0</v>
      </c>
      <c r="F411" s="62">
        <f t="shared" ref="F411:F421" si="153">F410+D411</f>
        <v>0</v>
      </c>
      <c r="G411" s="62">
        <f t="shared" ref="G411:G421" si="154">G410+E411</f>
        <v>0</v>
      </c>
      <c r="H411" s="62">
        <v>0</v>
      </c>
      <c r="I411" s="62">
        <v>0</v>
      </c>
      <c r="J411" s="62">
        <f t="shared" ref="J411:J421" si="155">J410+H411</f>
        <v>0</v>
      </c>
      <c r="K411" s="62">
        <f t="shared" ref="K411:K421" si="156">K410+I411</f>
        <v>0</v>
      </c>
      <c r="L411" s="6">
        <v>0</v>
      </c>
      <c r="M411" s="6">
        <v>0</v>
      </c>
      <c r="N411" s="62">
        <f t="shared" ref="N411:N421" si="157">N410+L411</f>
        <v>0</v>
      </c>
      <c r="O411" s="62">
        <f t="shared" ref="O411:O421" si="158">O410+M411</f>
        <v>0</v>
      </c>
    </row>
    <row r="412" spans="1:15" x14ac:dyDescent="0.25">
      <c r="A412" s="6" t="s">
        <v>90</v>
      </c>
      <c r="B412" s="6" t="s">
        <v>160</v>
      </c>
      <c r="C412" s="6">
        <v>3</v>
      </c>
      <c r="D412" s="63">
        <v>0</v>
      </c>
      <c r="E412" s="63">
        <v>0</v>
      </c>
      <c r="F412" s="62">
        <f t="shared" si="153"/>
        <v>0</v>
      </c>
      <c r="G412" s="62">
        <f t="shared" si="154"/>
        <v>0</v>
      </c>
      <c r="H412" s="62">
        <v>0</v>
      </c>
      <c r="I412" s="62">
        <v>0</v>
      </c>
      <c r="J412" s="62">
        <f t="shared" si="155"/>
        <v>0</v>
      </c>
      <c r="K412" s="62">
        <f t="shared" si="156"/>
        <v>0</v>
      </c>
      <c r="L412" s="6">
        <v>0</v>
      </c>
      <c r="M412" s="6">
        <v>0</v>
      </c>
      <c r="N412" s="62">
        <f t="shared" si="157"/>
        <v>0</v>
      </c>
      <c r="O412" s="62">
        <f t="shared" si="158"/>
        <v>0</v>
      </c>
    </row>
    <row r="413" spans="1:15" x14ac:dyDescent="0.25">
      <c r="A413" s="6" t="s">
        <v>90</v>
      </c>
      <c r="B413" s="6" t="s">
        <v>161</v>
      </c>
      <c r="C413" s="6">
        <v>4</v>
      </c>
      <c r="D413" s="63">
        <v>0</v>
      </c>
      <c r="E413" s="63">
        <v>0</v>
      </c>
      <c r="F413" s="62">
        <f t="shared" si="153"/>
        <v>0</v>
      </c>
      <c r="G413" s="62">
        <f t="shared" si="154"/>
        <v>0</v>
      </c>
      <c r="H413" s="62">
        <v>0</v>
      </c>
      <c r="I413" s="62">
        <v>0</v>
      </c>
      <c r="J413" s="62">
        <f t="shared" si="155"/>
        <v>0</v>
      </c>
      <c r="K413" s="62">
        <f t="shared" si="156"/>
        <v>0</v>
      </c>
      <c r="L413" s="6">
        <v>0</v>
      </c>
      <c r="M413" s="6">
        <v>0</v>
      </c>
      <c r="N413" s="62">
        <f t="shared" si="157"/>
        <v>0</v>
      </c>
      <c r="O413" s="62">
        <f t="shared" si="158"/>
        <v>0</v>
      </c>
    </row>
    <row r="414" spans="1:15" x14ac:dyDescent="0.25">
      <c r="A414" s="6" t="s">
        <v>90</v>
      </c>
      <c r="B414" s="6" t="s">
        <v>162</v>
      </c>
      <c r="C414" s="6">
        <v>5</v>
      </c>
      <c r="D414" s="63">
        <v>0</v>
      </c>
      <c r="E414" s="63">
        <v>0</v>
      </c>
      <c r="F414" s="62">
        <f t="shared" si="153"/>
        <v>0</v>
      </c>
      <c r="G414" s="62">
        <f t="shared" si="154"/>
        <v>0</v>
      </c>
      <c r="H414" s="62">
        <v>0</v>
      </c>
      <c r="I414" s="62">
        <v>0</v>
      </c>
      <c r="J414" s="62">
        <f t="shared" si="155"/>
        <v>0</v>
      </c>
      <c r="K414" s="62">
        <f t="shared" si="156"/>
        <v>0</v>
      </c>
      <c r="L414" s="6">
        <v>0</v>
      </c>
      <c r="M414" s="6">
        <v>0</v>
      </c>
      <c r="N414" s="62">
        <f t="shared" si="157"/>
        <v>0</v>
      </c>
      <c r="O414" s="62">
        <f t="shared" si="158"/>
        <v>0</v>
      </c>
    </row>
    <row r="415" spans="1:15" x14ac:dyDescent="0.25">
      <c r="A415" s="6" t="s">
        <v>90</v>
      </c>
      <c r="B415" s="6" t="s">
        <v>163</v>
      </c>
      <c r="C415" s="6">
        <v>6</v>
      </c>
      <c r="D415" s="63">
        <v>0</v>
      </c>
      <c r="E415" s="63">
        <v>0</v>
      </c>
      <c r="F415" s="62">
        <f t="shared" si="153"/>
        <v>0</v>
      </c>
      <c r="G415" s="62">
        <f t="shared" si="154"/>
        <v>0</v>
      </c>
      <c r="H415" s="62">
        <v>0</v>
      </c>
      <c r="I415" s="62">
        <v>0</v>
      </c>
      <c r="J415" s="62">
        <f t="shared" si="155"/>
        <v>0</v>
      </c>
      <c r="K415" s="62">
        <f t="shared" si="156"/>
        <v>0</v>
      </c>
      <c r="L415" s="6">
        <v>0</v>
      </c>
      <c r="M415" s="6">
        <v>0</v>
      </c>
      <c r="N415" s="62">
        <f t="shared" si="157"/>
        <v>0</v>
      </c>
      <c r="O415" s="62">
        <f t="shared" si="158"/>
        <v>0</v>
      </c>
    </row>
    <row r="416" spans="1:15" x14ac:dyDescent="0.25">
      <c r="A416" s="6" t="s">
        <v>90</v>
      </c>
      <c r="B416" s="6" t="s">
        <v>164</v>
      </c>
      <c r="C416" s="6">
        <v>7</v>
      </c>
      <c r="D416" s="63">
        <v>0</v>
      </c>
      <c r="E416" s="63">
        <v>0</v>
      </c>
      <c r="F416" s="62">
        <f t="shared" si="153"/>
        <v>0</v>
      </c>
      <c r="G416" s="62">
        <f t="shared" si="154"/>
        <v>0</v>
      </c>
      <c r="H416" s="62">
        <v>0</v>
      </c>
      <c r="I416" s="62">
        <v>0</v>
      </c>
      <c r="J416" s="62">
        <f t="shared" si="155"/>
        <v>0</v>
      </c>
      <c r="K416" s="62">
        <f t="shared" si="156"/>
        <v>0</v>
      </c>
      <c r="L416" s="6">
        <v>0</v>
      </c>
      <c r="M416" s="6">
        <v>0</v>
      </c>
      <c r="N416" s="62">
        <f t="shared" si="157"/>
        <v>0</v>
      </c>
      <c r="O416" s="62">
        <f t="shared" si="158"/>
        <v>0</v>
      </c>
    </row>
    <row r="417" spans="1:15" x14ac:dyDescent="0.25">
      <c r="A417" s="6" t="s">
        <v>90</v>
      </c>
      <c r="B417" s="6" t="s">
        <v>165</v>
      </c>
      <c r="C417" s="6">
        <v>8</v>
      </c>
      <c r="D417" s="63">
        <v>0</v>
      </c>
      <c r="E417" s="63">
        <v>0</v>
      </c>
      <c r="F417" s="62">
        <f t="shared" si="153"/>
        <v>0</v>
      </c>
      <c r="G417" s="62">
        <f t="shared" si="154"/>
        <v>0</v>
      </c>
      <c r="H417" s="62">
        <v>0</v>
      </c>
      <c r="I417" s="62">
        <v>0</v>
      </c>
      <c r="J417" s="62">
        <f t="shared" si="155"/>
        <v>0</v>
      </c>
      <c r="K417" s="62">
        <f t="shared" si="156"/>
        <v>0</v>
      </c>
      <c r="L417" s="6">
        <v>0</v>
      </c>
      <c r="M417" s="6">
        <v>0</v>
      </c>
      <c r="N417" s="62">
        <f t="shared" si="157"/>
        <v>0</v>
      </c>
      <c r="O417" s="62">
        <f t="shared" si="158"/>
        <v>0</v>
      </c>
    </row>
    <row r="418" spans="1:15" x14ac:dyDescent="0.25">
      <c r="A418" s="6" t="s">
        <v>90</v>
      </c>
      <c r="B418" s="6" t="s">
        <v>166</v>
      </c>
      <c r="C418" s="6">
        <v>9</v>
      </c>
      <c r="D418" s="63">
        <v>0</v>
      </c>
      <c r="E418" s="63">
        <v>0</v>
      </c>
      <c r="F418" s="62">
        <f t="shared" si="153"/>
        <v>0</v>
      </c>
      <c r="G418" s="62">
        <f t="shared" si="154"/>
        <v>0</v>
      </c>
      <c r="H418" s="62">
        <v>0</v>
      </c>
      <c r="I418" s="62">
        <v>0</v>
      </c>
      <c r="J418" s="62">
        <f t="shared" si="155"/>
        <v>0</v>
      </c>
      <c r="K418" s="62">
        <f t="shared" si="156"/>
        <v>0</v>
      </c>
      <c r="L418" s="6">
        <v>0</v>
      </c>
      <c r="M418" s="6">
        <v>0</v>
      </c>
      <c r="N418" s="62">
        <f t="shared" si="157"/>
        <v>0</v>
      </c>
      <c r="O418" s="62">
        <f t="shared" si="158"/>
        <v>0</v>
      </c>
    </row>
    <row r="419" spans="1:15" x14ac:dyDescent="0.25">
      <c r="A419" s="6" t="s">
        <v>90</v>
      </c>
      <c r="B419" s="6" t="s">
        <v>167</v>
      </c>
      <c r="C419" s="6">
        <v>10</v>
      </c>
      <c r="D419" s="63">
        <v>0</v>
      </c>
      <c r="E419" s="63">
        <v>0</v>
      </c>
      <c r="F419" s="62">
        <f t="shared" si="153"/>
        <v>0</v>
      </c>
      <c r="G419" s="62">
        <f t="shared" si="154"/>
        <v>0</v>
      </c>
      <c r="H419" s="62">
        <v>0</v>
      </c>
      <c r="I419" s="62">
        <v>0</v>
      </c>
      <c r="J419" s="62">
        <f t="shared" si="155"/>
        <v>0</v>
      </c>
      <c r="K419" s="62">
        <f t="shared" si="156"/>
        <v>0</v>
      </c>
      <c r="L419" s="6">
        <v>0</v>
      </c>
      <c r="M419" s="6">
        <v>0</v>
      </c>
      <c r="N419" s="62">
        <f t="shared" si="157"/>
        <v>0</v>
      </c>
      <c r="O419" s="62">
        <f t="shared" si="158"/>
        <v>0</v>
      </c>
    </row>
    <row r="420" spans="1:15" x14ac:dyDescent="0.25">
      <c r="A420" s="6" t="s">
        <v>90</v>
      </c>
      <c r="B420" s="6" t="s">
        <v>168</v>
      </c>
      <c r="C420" s="6">
        <v>11</v>
      </c>
      <c r="D420" s="63">
        <v>0</v>
      </c>
      <c r="E420" s="63">
        <v>0</v>
      </c>
      <c r="F420" s="62">
        <f t="shared" si="153"/>
        <v>0</v>
      </c>
      <c r="G420" s="62">
        <f t="shared" si="154"/>
        <v>0</v>
      </c>
      <c r="H420" s="62">
        <v>0</v>
      </c>
      <c r="I420" s="62">
        <v>0</v>
      </c>
      <c r="J420" s="62">
        <f t="shared" si="155"/>
        <v>0</v>
      </c>
      <c r="K420" s="62">
        <f t="shared" si="156"/>
        <v>0</v>
      </c>
      <c r="L420" s="6">
        <v>0</v>
      </c>
      <c r="M420" s="6">
        <v>0</v>
      </c>
      <c r="N420" s="62">
        <f t="shared" si="157"/>
        <v>0</v>
      </c>
      <c r="O420" s="62">
        <f t="shared" si="158"/>
        <v>0</v>
      </c>
    </row>
    <row r="421" spans="1:15" x14ac:dyDescent="0.25">
      <c r="A421" s="6" t="s">
        <v>90</v>
      </c>
      <c r="B421" s="6" t="s">
        <v>169</v>
      </c>
      <c r="C421" s="6">
        <v>12</v>
      </c>
      <c r="D421" s="63">
        <v>0</v>
      </c>
      <c r="E421" s="63">
        <v>0</v>
      </c>
      <c r="F421" s="62">
        <f t="shared" si="153"/>
        <v>0</v>
      </c>
      <c r="G421" s="62">
        <f t="shared" si="154"/>
        <v>0</v>
      </c>
      <c r="H421" s="62">
        <v>0</v>
      </c>
      <c r="I421" s="62">
        <v>0</v>
      </c>
      <c r="J421" s="62">
        <f t="shared" si="155"/>
        <v>0</v>
      </c>
      <c r="K421" s="62">
        <f t="shared" si="156"/>
        <v>0</v>
      </c>
      <c r="L421" s="6">
        <v>0</v>
      </c>
      <c r="M421" s="6">
        <v>0</v>
      </c>
      <c r="N421" s="62">
        <f t="shared" si="157"/>
        <v>0</v>
      </c>
      <c r="O421" s="62">
        <f t="shared" si="158"/>
        <v>0</v>
      </c>
    </row>
    <row r="422" spans="1:15" x14ac:dyDescent="0.25">
      <c r="A422" s="6" t="s">
        <v>106</v>
      </c>
      <c r="B422" s="6" t="s">
        <v>158</v>
      </c>
      <c r="C422" s="6">
        <v>1</v>
      </c>
      <c r="D422" s="63">
        <v>0</v>
      </c>
      <c r="E422" s="63">
        <v>0</v>
      </c>
      <c r="F422" s="62">
        <f>D422</f>
        <v>0</v>
      </c>
      <c r="G422" s="62">
        <f>E422</f>
        <v>0</v>
      </c>
      <c r="H422" s="62">
        <v>0</v>
      </c>
      <c r="I422" s="62">
        <v>0</v>
      </c>
      <c r="J422" s="62">
        <f>H422</f>
        <v>0</v>
      </c>
      <c r="K422" s="62">
        <f>I422</f>
        <v>0</v>
      </c>
      <c r="L422" s="6">
        <v>0</v>
      </c>
      <c r="M422" s="6">
        <v>0</v>
      </c>
      <c r="N422" s="62">
        <f>L422</f>
        <v>0</v>
      </c>
      <c r="O422" s="62">
        <f>M422</f>
        <v>0</v>
      </c>
    </row>
    <row r="423" spans="1:15" x14ac:dyDescent="0.25">
      <c r="A423" s="6" t="s">
        <v>106</v>
      </c>
      <c r="B423" s="6" t="s">
        <v>159</v>
      </c>
      <c r="C423" s="6">
        <v>2</v>
      </c>
      <c r="D423" s="63">
        <v>0</v>
      </c>
      <c r="E423" s="63">
        <v>0</v>
      </c>
      <c r="F423" s="62">
        <f t="shared" ref="F423:F433" si="159">F422+D423</f>
        <v>0</v>
      </c>
      <c r="G423" s="62">
        <f t="shared" ref="G423:G433" si="160">G422+E423</f>
        <v>0</v>
      </c>
      <c r="H423" s="62">
        <v>0</v>
      </c>
      <c r="I423" s="62">
        <v>0</v>
      </c>
      <c r="J423" s="62">
        <f t="shared" ref="J423:J433" si="161">J422+H423</f>
        <v>0</v>
      </c>
      <c r="K423" s="62">
        <f t="shared" ref="K423:K433" si="162">K422+I423</f>
        <v>0</v>
      </c>
      <c r="L423" s="6">
        <v>0</v>
      </c>
      <c r="M423" s="6">
        <v>0</v>
      </c>
      <c r="N423" s="62">
        <f t="shared" ref="N423:N433" si="163">N422+L423</f>
        <v>0</v>
      </c>
      <c r="O423" s="62">
        <f t="shared" ref="O423:O433" si="164">O422+M423</f>
        <v>0</v>
      </c>
    </row>
    <row r="424" spans="1:15" x14ac:dyDescent="0.25">
      <c r="A424" s="6" t="s">
        <v>106</v>
      </c>
      <c r="B424" s="6" t="s">
        <v>160</v>
      </c>
      <c r="C424" s="6">
        <v>3</v>
      </c>
      <c r="D424" s="63">
        <v>0</v>
      </c>
      <c r="E424" s="63">
        <v>0</v>
      </c>
      <c r="F424" s="62">
        <f t="shared" si="159"/>
        <v>0</v>
      </c>
      <c r="G424" s="62">
        <f t="shared" si="160"/>
        <v>0</v>
      </c>
      <c r="H424" s="62">
        <v>0</v>
      </c>
      <c r="I424" s="62">
        <v>0</v>
      </c>
      <c r="J424" s="62">
        <f t="shared" si="161"/>
        <v>0</v>
      </c>
      <c r="K424" s="62">
        <f t="shared" si="162"/>
        <v>0</v>
      </c>
      <c r="L424" s="6">
        <v>0</v>
      </c>
      <c r="M424" s="6">
        <v>0</v>
      </c>
      <c r="N424" s="62">
        <f t="shared" si="163"/>
        <v>0</v>
      </c>
      <c r="O424" s="62">
        <f t="shared" si="164"/>
        <v>0</v>
      </c>
    </row>
    <row r="425" spans="1:15" x14ac:dyDescent="0.25">
      <c r="A425" s="6" t="s">
        <v>106</v>
      </c>
      <c r="B425" s="6" t="s">
        <v>161</v>
      </c>
      <c r="C425" s="6">
        <v>4</v>
      </c>
      <c r="D425" s="63">
        <v>0</v>
      </c>
      <c r="E425" s="63">
        <v>0</v>
      </c>
      <c r="F425" s="62">
        <f t="shared" si="159"/>
        <v>0</v>
      </c>
      <c r="G425" s="62">
        <f t="shared" si="160"/>
        <v>0</v>
      </c>
      <c r="H425" s="62">
        <v>0</v>
      </c>
      <c r="I425" s="62">
        <v>0</v>
      </c>
      <c r="J425" s="62">
        <f t="shared" si="161"/>
        <v>0</v>
      </c>
      <c r="K425" s="62">
        <f t="shared" si="162"/>
        <v>0</v>
      </c>
      <c r="L425" s="6">
        <v>0</v>
      </c>
      <c r="M425" s="6">
        <v>0</v>
      </c>
      <c r="N425" s="62">
        <f t="shared" si="163"/>
        <v>0</v>
      </c>
      <c r="O425" s="62">
        <f t="shared" si="164"/>
        <v>0</v>
      </c>
    </row>
    <row r="426" spans="1:15" x14ac:dyDescent="0.25">
      <c r="A426" s="6" t="s">
        <v>106</v>
      </c>
      <c r="B426" s="6" t="s">
        <v>162</v>
      </c>
      <c r="C426" s="6">
        <v>5</v>
      </c>
      <c r="D426" s="63">
        <v>0</v>
      </c>
      <c r="E426" s="63">
        <v>0</v>
      </c>
      <c r="F426" s="62">
        <f t="shared" si="159"/>
        <v>0</v>
      </c>
      <c r="G426" s="62">
        <f t="shared" si="160"/>
        <v>0</v>
      </c>
      <c r="H426" s="62">
        <v>0</v>
      </c>
      <c r="I426" s="62">
        <v>0</v>
      </c>
      <c r="J426" s="62">
        <f t="shared" si="161"/>
        <v>0</v>
      </c>
      <c r="K426" s="62">
        <f t="shared" si="162"/>
        <v>0</v>
      </c>
      <c r="L426" s="6">
        <v>0</v>
      </c>
      <c r="M426" s="6">
        <v>0</v>
      </c>
      <c r="N426" s="62">
        <f t="shared" si="163"/>
        <v>0</v>
      </c>
      <c r="O426" s="62">
        <f t="shared" si="164"/>
        <v>0</v>
      </c>
    </row>
    <row r="427" spans="1:15" x14ac:dyDescent="0.25">
      <c r="A427" s="6" t="s">
        <v>106</v>
      </c>
      <c r="B427" s="6" t="s">
        <v>163</v>
      </c>
      <c r="C427" s="6">
        <v>6</v>
      </c>
      <c r="D427" s="63">
        <v>0</v>
      </c>
      <c r="E427" s="63">
        <v>0</v>
      </c>
      <c r="F427" s="62">
        <f t="shared" si="159"/>
        <v>0</v>
      </c>
      <c r="G427" s="62">
        <f t="shared" si="160"/>
        <v>0</v>
      </c>
      <c r="H427" s="62">
        <v>0</v>
      </c>
      <c r="I427" s="62">
        <v>0</v>
      </c>
      <c r="J427" s="62">
        <f t="shared" si="161"/>
        <v>0</v>
      </c>
      <c r="K427" s="62">
        <f t="shared" si="162"/>
        <v>0</v>
      </c>
      <c r="L427" s="6">
        <v>0</v>
      </c>
      <c r="M427" s="6">
        <v>0</v>
      </c>
      <c r="N427" s="62">
        <f t="shared" si="163"/>
        <v>0</v>
      </c>
      <c r="O427" s="62">
        <f t="shared" si="164"/>
        <v>0</v>
      </c>
    </row>
    <row r="428" spans="1:15" x14ac:dyDescent="0.25">
      <c r="A428" s="6" t="s">
        <v>106</v>
      </c>
      <c r="B428" s="6" t="s">
        <v>164</v>
      </c>
      <c r="C428" s="6">
        <v>7</v>
      </c>
      <c r="D428" s="63">
        <v>0</v>
      </c>
      <c r="E428" s="63">
        <v>0</v>
      </c>
      <c r="F428" s="62">
        <f t="shared" si="159"/>
        <v>0</v>
      </c>
      <c r="G428" s="62">
        <f t="shared" si="160"/>
        <v>0</v>
      </c>
      <c r="H428" s="62">
        <v>0</v>
      </c>
      <c r="I428" s="62">
        <v>0</v>
      </c>
      <c r="J428" s="62">
        <f t="shared" si="161"/>
        <v>0</v>
      </c>
      <c r="K428" s="62">
        <f t="shared" si="162"/>
        <v>0</v>
      </c>
      <c r="L428" s="6">
        <v>0</v>
      </c>
      <c r="M428" s="6">
        <v>0</v>
      </c>
      <c r="N428" s="62">
        <f t="shared" si="163"/>
        <v>0</v>
      </c>
      <c r="O428" s="62">
        <f t="shared" si="164"/>
        <v>0</v>
      </c>
    </row>
    <row r="429" spans="1:15" x14ac:dyDescent="0.25">
      <c r="A429" s="6" t="s">
        <v>106</v>
      </c>
      <c r="B429" s="6" t="s">
        <v>165</v>
      </c>
      <c r="C429" s="6">
        <v>8</v>
      </c>
      <c r="D429" s="63">
        <v>0</v>
      </c>
      <c r="E429" s="63">
        <v>0</v>
      </c>
      <c r="F429" s="62">
        <f t="shared" si="159"/>
        <v>0</v>
      </c>
      <c r="G429" s="62">
        <f t="shared" si="160"/>
        <v>0</v>
      </c>
      <c r="H429" s="62">
        <v>0</v>
      </c>
      <c r="I429" s="62">
        <v>0</v>
      </c>
      <c r="J429" s="62">
        <f t="shared" si="161"/>
        <v>0</v>
      </c>
      <c r="K429" s="62">
        <f t="shared" si="162"/>
        <v>0</v>
      </c>
      <c r="L429" s="6">
        <v>0</v>
      </c>
      <c r="M429" s="6">
        <v>0</v>
      </c>
      <c r="N429" s="62">
        <f t="shared" si="163"/>
        <v>0</v>
      </c>
      <c r="O429" s="62">
        <f t="shared" si="164"/>
        <v>0</v>
      </c>
    </row>
    <row r="430" spans="1:15" x14ac:dyDescent="0.25">
      <c r="A430" s="6" t="s">
        <v>106</v>
      </c>
      <c r="B430" s="6" t="s">
        <v>166</v>
      </c>
      <c r="C430" s="6">
        <v>9</v>
      </c>
      <c r="D430" s="63">
        <v>0</v>
      </c>
      <c r="E430" s="63">
        <v>0</v>
      </c>
      <c r="F430" s="62">
        <f t="shared" si="159"/>
        <v>0</v>
      </c>
      <c r="G430" s="62">
        <f t="shared" si="160"/>
        <v>0</v>
      </c>
      <c r="H430" s="62">
        <v>0</v>
      </c>
      <c r="I430" s="62">
        <v>0</v>
      </c>
      <c r="J430" s="62">
        <f t="shared" si="161"/>
        <v>0</v>
      </c>
      <c r="K430" s="62">
        <f t="shared" si="162"/>
        <v>0</v>
      </c>
      <c r="L430" s="6">
        <v>0</v>
      </c>
      <c r="M430" s="6">
        <v>0</v>
      </c>
      <c r="N430" s="62">
        <f t="shared" si="163"/>
        <v>0</v>
      </c>
      <c r="O430" s="62">
        <f t="shared" si="164"/>
        <v>0</v>
      </c>
    </row>
    <row r="431" spans="1:15" x14ac:dyDescent="0.25">
      <c r="A431" s="6" t="s">
        <v>106</v>
      </c>
      <c r="B431" s="6" t="s">
        <v>167</v>
      </c>
      <c r="C431" s="6">
        <v>10</v>
      </c>
      <c r="D431" s="63">
        <v>0</v>
      </c>
      <c r="E431" s="63">
        <v>0</v>
      </c>
      <c r="F431" s="62">
        <f t="shared" si="159"/>
        <v>0</v>
      </c>
      <c r="G431" s="62">
        <f t="shared" si="160"/>
        <v>0</v>
      </c>
      <c r="H431" s="62">
        <v>0</v>
      </c>
      <c r="I431" s="62">
        <v>0</v>
      </c>
      <c r="J431" s="62">
        <f t="shared" si="161"/>
        <v>0</v>
      </c>
      <c r="K431" s="62">
        <f t="shared" si="162"/>
        <v>0</v>
      </c>
      <c r="L431" s="6">
        <v>4</v>
      </c>
      <c r="M431" s="6">
        <v>1539.76</v>
      </c>
      <c r="N431" s="62">
        <f t="shared" si="163"/>
        <v>4</v>
      </c>
      <c r="O431" s="62">
        <f t="shared" si="164"/>
        <v>1539.76</v>
      </c>
    </row>
    <row r="432" spans="1:15" x14ac:dyDescent="0.25">
      <c r="A432" s="6" t="s">
        <v>106</v>
      </c>
      <c r="B432" s="6" t="s">
        <v>168</v>
      </c>
      <c r="C432" s="6">
        <v>11</v>
      </c>
      <c r="D432" s="63">
        <v>0</v>
      </c>
      <c r="E432" s="63">
        <v>0</v>
      </c>
      <c r="F432" s="62">
        <f t="shared" si="159"/>
        <v>0</v>
      </c>
      <c r="G432" s="62">
        <f t="shared" si="160"/>
        <v>0</v>
      </c>
      <c r="H432" s="62">
        <v>0</v>
      </c>
      <c r="I432" s="62">
        <v>0</v>
      </c>
      <c r="J432" s="62">
        <f t="shared" si="161"/>
        <v>0</v>
      </c>
      <c r="K432" s="62">
        <f t="shared" si="162"/>
        <v>0</v>
      </c>
      <c r="L432" s="6">
        <v>4</v>
      </c>
      <c r="M432" s="6">
        <v>1861.1</v>
      </c>
      <c r="N432" s="62">
        <f t="shared" si="163"/>
        <v>8</v>
      </c>
      <c r="O432" s="62">
        <f t="shared" si="164"/>
        <v>3400.8599999999997</v>
      </c>
    </row>
    <row r="433" spans="1:15" x14ac:dyDescent="0.25">
      <c r="A433" s="6" t="s">
        <v>106</v>
      </c>
      <c r="B433" s="6" t="s">
        <v>169</v>
      </c>
      <c r="C433" s="6">
        <v>12</v>
      </c>
      <c r="D433" s="63">
        <v>0</v>
      </c>
      <c r="E433" s="63">
        <v>0</v>
      </c>
      <c r="F433" s="62">
        <f t="shared" si="159"/>
        <v>0</v>
      </c>
      <c r="G433" s="62">
        <f t="shared" si="160"/>
        <v>0</v>
      </c>
      <c r="H433" s="62">
        <v>0</v>
      </c>
      <c r="I433" s="62">
        <v>0</v>
      </c>
      <c r="J433" s="62">
        <f t="shared" si="161"/>
        <v>0</v>
      </c>
      <c r="K433" s="62">
        <f t="shared" si="162"/>
        <v>0</v>
      </c>
      <c r="L433" s="6">
        <v>0</v>
      </c>
      <c r="M433" s="6">
        <v>0</v>
      </c>
      <c r="N433" s="62">
        <f t="shared" si="163"/>
        <v>8</v>
      </c>
      <c r="O433" s="62">
        <f t="shared" si="164"/>
        <v>3400.8599999999997</v>
      </c>
    </row>
    <row r="434" spans="1:15" x14ac:dyDescent="0.25">
      <c r="A434" s="6" t="s">
        <v>110</v>
      </c>
      <c r="B434" s="6" t="s">
        <v>158</v>
      </c>
      <c r="C434" s="6">
        <v>1</v>
      </c>
      <c r="D434" s="63">
        <v>2</v>
      </c>
      <c r="E434" s="63">
        <v>11250</v>
      </c>
      <c r="F434" s="62">
        <f>D434</f>
        <v>2</v>
      </c>
      <c r="G434" s="62">
        <f>E434</f>
        <v>11250</v>
      </c>
      <c r="H434" s="61">
        <v>0</v>
      </c>
      <c r="I434" s="61">
        <v>0</v>
      </c>
      <c r="J434" s="61">
        <f>H434</f>
        <v>0</v>
      </c>
      <c r="K434" s="61">
        <f>I434</f>
        <v>0</v>
      </c>
      <c r="L434" s="6">
        <v>1</v>
      </c>
      <c r="M434" s="6">
        <v>5000</v>
      </c>
      <c r="N434" s="62">
        <f>L434</f>
        <v>1</v>
      </c>
      <c r="O434" s="62">
        <f>M434</f>
        <v>5000</v>
      </c>
    </row>
    <row r="435" spans="1:15" x14ac:dyDescent="0.25">
      <c r="A435" s="6" t="s">
        <v>110</v>
      </c>
      <c r="B435" s="6" t="s">
        <v>159</v>
      </c>
      <c r="C435" s="6">
        <v>2</v>
      </c>
      <c r="D435" s="63">
        <v>3</v>
      </c>
      <c r="E435" s="63">
        <v>5605</v>
      </c>
      <c r="F435" s="62">
        <f t="shared" ref="F435:G445" si="165">F434+D435</f>
        <v>5</v>
      </c>
      <c r="G435" s="62">
        <f t="shared" si="165"/>
        <v>16855</v>
      </c>
      <c r="H435" s="61">
        <v>7</v>
      </c>
      <c r="I435" s="61">
        <v>10000</v>
      </c>
      <c r="J435" s="61">
        <f t="shared" ref="J435:K445" si="166">J434+H435</f>
        <v>7</v>
      </c>
      <c r="K435" s="61">
        <f t="shared" si="166"/>
        <v>10000</v>
      </c>
      <c r="L435" s="6">
        <v>0</v>
      </c>
      <c r="M435" s="6">
        <v>0</v>
      </c>
      <c r="N435" s="62">
        <f t="shared" ref="N435:N445" si="167">N434+L435</f>
        <v>1</v>
      </c>
      <c r="O435" s="62">
        <f t="shared" ref="O435:O445" si="168">O434+M435</f>
        <v>5000</v>
      </c>
    </row>
    <row r="436" spans="1:15" x14ac:dyDescent="0.25">
      <c r="A436" s="6" t="s">
        <v>110</v>
      </c>
      <c r="B436" s="6" t="s">
        <v>160</v>
      </c>
      <c r="C436" s="6">
        <v>3</v>
      </c>
      <c r="D436" s="63">
        <v>3</v>
      </c>
      <c r="E436" s="63">
        <v>8000</v>
      </c>
      <c r="F436" s="62">
        <f t="shared" si="165"/>
        <v>8</v>
      </c>
      <c r="G436" s="62">
        <f t="shared" si="165"/>
        <v>24855</v>
      </c>
      <c r="H436" s="61">
        <v>9</v>
      </c>
      <c r="I436" s="61">
        <v>11110</v>
      </c>
      <c r="J436" s="61">
        <f t="shared" si="166"/>
        <v>16</v>
      </c>
      <c r="K436" s="61">
        <f t="shared" si="166"/>
        <v>21110</v>
      </c>
      <c r="L436" s="6">
        <v>1</v>
      </c>
      <c r="M436" s="6">
        <v>4000</v>
      </c>
      <c r="N436" s="62">
        <f t="shared" si="167"/>
        <v>2</v>
      </c>
      <c r="O436" s="62">
        <f t="shared" si="168"/>
        <v>9000</v>
      </c>
    </row>
    <row r="437" spans="1:15" x14ac:dyDescent="0.25">
      <c r="A437" s="6" t="s">
        <v>110</v>
      </c>
      <c r="B437" s="6" t="s">
        <v>161</v>
      </c>
      <c r="C437" s="6">
        <v>4</v>
      </c>
      <c r="D437" s="63">
        <v>0</v>
      </c>
      <c r="E437" s="63">
        <v>0</v>
      </c>
      <c r="F437" s="62">
        <f t="shared" si="165"/>
        <v>8</v>
      </c>
      <c r="G437" s="62">
        <f t="shared" si="165"/>
        <v>24855</v>
      </c>
      <c r="H437" s="61">
        <v>0</v>
      </c>
      <c r="I437" s="61">
        <v>0</v>
      </c>
      <c r="J437" s="61">
        <f t="shared" si="166"/>
        <v>16</v>
      </c>
      <c r="K437" s="61">
        <f t="shared" si="166"/>
        <v>21110</v>
      </c>
      <c r="L437" s="6">
        <v>2</v>
      </c>
      <c r="M437" s="6">
        <v>8820</v>
      </c>
      <c r="N437" s="62">
        <f t="shared" si="167"/>
        <v>4</v>
      </c>
      <c r="O437" s="62">
        <f t="shared" si="168"/>
        <v>17820</v>
      </c>
    </row>
    <row r="438" spans="1:15" x14ac:dyDescent="0.25">
      <c r="A438" s="6" t="s">
        <v>110</v>
      </c>
      <c r="B438" s="6" t="s">
        <v>162</v>
      </c>
      <c r="C438" s="6">
        <v>5</v>
      </c>
      <c r="D438" s="63">
        <v>6</v>
      </c>
      <c r="E438" s="62">
        <v>16938</v>
      </c>
      <c r="F438" s="62">
        <f t="shared" si="165"/>
        <v>14</v>
      </c>
      <c r="G438" s="62">
        <f t="shared" si="165"/>
        <v>41793</v>
      </c>
      <c r="H438" s="61">
        <v>8</v>
      </c>
      <c r="I438" s="61">
        <v>12600</v>
      </c>
      <c r="J438" s="61">
        <f t="shared" si="166"/>
        <v>24</v>
      </c>
      <c r="K438" s="61">
        <f t="shared" si="166"/>
        <v>33710</v>
      </c>
      <c r="L438" s="6">
        <v>3</v>
      </c>
      <c r="M438" s="6">
        <v>7350</v>
      </c>
      <c r="N438" s="62">
        <f t="shared" si="167"/>
        <v>7</v>
      </c>
      <c r="O438" s="62">
        <f t="shared" si="168"/>
        <v>25170</v>
      </c>
    </row>
    <row r="439" spans="1:15" x14ac:dyDescent="0.25">
      <c r="A439" s="6" t="s">
        <v>110</v>
      </c>
      <c r="B439" s="6" t="s">
        <v>163</v>
      </c>
      <c r="C439" s="6">
        <v>6</v>
      </c>
      <c r="D439" s="63">
        <v>1</v>
      </c>
      <c r="E439" s="63">
        <v>8200</v>
      </c>
      <c r="F439" s="62">
        <f t="shared" si="165"/>
        <v>15</v>
      </c>
      <c r="G439" s="62">
        <f t="shared" si="165"/>
        <v>49993</v>
      </c>
      <c r="H439" s="61">
        <v>0</v>
      </c>
      <c r="I439" s="61">
        <v>0</v>
      </c>
      <c r="J439" s="61">
        <f t="shared" si="166"/>
        <v>24</v>
      </c>
      <c r="K439" s="61">
        <f t="shared" si="166"/>
        <v>33710</v>
      </c>
      <c r="L439" s="6">
        <v>6</v>
      </c>
      <c r="M439" s="6">
        <v>25884</v>
      </c>
      <c r="N439" s="62">
        <f t="shared" si="167"/>
        <v>13</v>
      </c>
      <c r="O439" s="62">
        <f t="shared" si="168"/>
        <v>51054</v>
      </c>
    </row>
    <row r="440" spans="1:15" x14ac:dyDescent="0.25">
      <c r="A440" s="6" t="s">
        <v>110</v>
      </c>
      <c r="B440" s="6" t="s">
        <v>164</v>
      </c>
      <c r="C440" s="6">
        <v>7</v>
      </c>
      <c r="D440" s="63">
        <v>0</v>
      </c>
      <c r="E440" s="63">
        <v>0</v>
      </c>
      <c r="F440" s="62">
        <f t="shared" si="165"/>
        <v>15</v>
      </c>
      <c r="G440" s="62">
        <f t="shared" si="165"/>
        <v>49993</v>
      </c>
      <c r="H440" s="61">
        <v>1</v>
      </c>
      <c r="I440" s="61">
        <v>2820</v>
      </c>
      <c r="J440" s="61">
        <f t="shared" si="166"/>
        <v>25</v>
      </c>
      <c r="K440" s="61">
        <f t="shared" si="166"/>
        <v>36530</v>
      </c>
      <c r="L440" s="6">
        <v>2</v>
      </c>
      <c r="M440" s="6">
        <v>3500</v>
      </c>
      <c r="N440" s="62">
        <f t="shared" si="167"/>
        <v>15</v>
      </c>
      <c r="O440" s="62">
        <f t="shared" si="168"/>
        <v>54554</v>
      </c>
    </row>
    <row r="441" spans="1:15" x14ac:dyDescent="0.25">
      <c r="A441" s="6" t="s">
        <v>110</v>
      </c>
      <c r="B441" s="6" t="s">
        <v>165</v>
      </c>
      <c r="C441" s="6">
        <v>8</v>
      </c>
      <c r="D441" s="63">
        <v>0</v>
      </c>
      <c r="E441" s="63">
        <v>0</v>
      </c>
      <c r="F441" s="62">
        <f t="shared" si="165"/>
        <v>15</v>
      </c>
      <c r="G441" s="62">
        <f t="shared" si="165"/>
        <v>49993</v>
      </c>
      <c r="H441" s="61">
        <v>0</v>
      </c>
      <c r="I441" s="61">
        <v>0</v>
      </c>
      <c r="J441" s="61">
        <f t="shared" si="166"/>
        <v>25</v>
      </c>
      <c r="K441" s="61">
        <f t="shared" si="166"/>
        <v>36530</v>
      </c>
      <c r="L441" s="6">
        <v>14</v>
      </c>
      <c r="M441" s="6">
        <v>71741</v>
      </c>
      <c r="N441" s="62">
        <f t="shared" si="167"/>
        <v>29</v>
      </c>
      <c r="O441" s="62">
        <f t="shared" si="168"/>
        <v>126295</v>
      </c>
    </row>
    <row r="442" spans="1:15" x14ac:dyDescent="0.25">
      <c r="A442" s="6" t="s">
        <v>110</v>
      </c>
      <c r="B442" s="6" t="s">
        <v>166</v>
      </c>
      <c r="C442" s="6">
        <v>9</v>
      </c>
      <c r="D442" s="63">
        <v>9</v>
      </c>
      <c r="E442" s="62">
        <v>17830.75</v>
      </c>
      <c r="F442" s="62">
        <f t="shared" si="165"/>
        <v>24</v>
      </c>
      <c r="G442" s="62">
        <f t="shared" si="165"/>
        <v>67823.75</v>
      </c>
      <c r="H442" s="61">
        <v>1</v>
      </c>
      <c r="I442" s="61">
        <v>2500</v>
      </c>
      <c r="J442" s="61">
        <f t="shared" si="166"/>
        <v>26</v>
      </c>
      <c r="K442" s="61">
        <f t="shared" si="166"/>
        <v>39030</v>
      </c>
      <c r="L442" s="6">
        <v>1</v>
      </c>
      <c r="M442" s="6">
        <v>7000</v>
      </c>
      <c r="N442" s="62">
        <f t="shared" si="167"/>
        <v>30</v>
      </c>
      <c r="O442" s="62">
        <f t="shared" si="168"/>
        <v>133295</v>
      </c>
    </row>
    <row r="443" spans="1:15" x14ac:dyDescent="0.25">
      <c r="A443" s="6" t="s">
        <v>110</v>
      </c>
      <c r="B443" s="6" t="s">
        <v>167</v>
      </c>
      <c r="C443" s="6">
        <v>10</v>
      </c>
      <c r="D443" s="63">
        <v>1</v>
      </c>
      <c r="E443" s="63">
        <v>2670</v>
      </c>
      <c r="F443" s="62">
        <f t="shared" si="165"/>
        <v>25</v>
      </c>
      <c r="G443" s="62">
        <f t="shared" si="165"/>
        <v>70493.75</v>
      </c>
      <c r="H443" s="61">
        <v>6</v>
      </c>
      <c r="I443" s="61">
        <v>17900</v>
      </c>
      <c r="J443" s="61">
        <f t="shared" si="166"/>
        <v>32</v>
      </c>
      <c r="K443" s="61">
        <f t="shared" si="166"/>
        <v>56930</v>
      </c>
      <c r="L443" s="6">
        <v>3</v>
      </c>
      <c r="M443" s="6">
        <v>8372</v>
      </c>
      <c r="N443" s="62">
        <f t="shared" si="167"/>
        <v>33</v>
      </c>
      <c r="O443" s="62">
        <f t="shared" si="168"/>
        <v>141667</v>
      </c>
    </row>
    <row r="444" spans="1:15" x14ac:dyDescent="0.25">
      <c r="A444" s="6" t="s">
        <v>110</v>
      </c>
      <c r="B444" s="6" t="s">
        <v>168</v>
      </c>
      <c r="C444" s="6">
        <v>11</v>
      </c>
      <c r="D444" s="63">
        <v>1</v>
      </c>
      <c r="E444" s="63">
        <v>1200</v>
      </c>
      <c r="F444" s="62">
        <f t="shared" si="165"/>
        <v>26</v>
      </c>
      <c r="G444" s="62">
        <f t="shared" si="165"/>
        <v>71693.75</v>
      </c>
      <c r="H444" s="61">
        <v>12</v>
      </c>
      <c r="I444" s="61">
        <v>46175</v>
      </c>
      <c r="J444" s="61">
        <f t="shared" si="166"/>
        <v>44</v>
      </c>
      <c r="K444" s="61">
        <f t="shared" si="166"/>
        <v>103105</v>
      </c>
      <c r="L444" s="6">
        <v>0</v>
      </c>
      <c r="M444" s="6">
        <v>0</v>
      </c>
      <c r="N444" s="62">
        <f t="shared" si="167"/>
        <v>33</v>
      </c>
      <c r="O444" s="62">
        <f t="shared" si="168"/>
        <v>141667</v>
      </c>
    </row>
    <row r="445" spans="1:15" x14ac:dyDescent="0.25">
      <c r="A445" s="6" t="s">
        <v>110</v>
      </c>
      <c r="B445" s="6" t="s">
        <v>169</v>
      </c>
      <c r="C445" s="6">
        <v>12</v>
      </c>
      <c r="D445" s="63">
        <v>5</v>
      </c>
      <c r="E445" s="62">
        <v>11700</v>
      </c>
      <c r="F445" s="62">
        <f t="shared" si="165"/>
        <v>31</v>
      </c>
      <c r="G445" s="62">
        <f t="shared" si="165"/>
        <v>83393.75</v>
      </c>
      <c r="H445" s="61">
        <v>5</v>
      </c>
      <c r="I445" s="61">
        <v>12808</v>
      </c>
      <c r="J445" s="61">
        <f t="shared" si="166"/>
        <v>49</v>
      </c>
      <c r="K445" s="61">
        <f t="shared" si="166"/>
        <v>115913</v>
      </c>
      <c r="L445" s="6">
        <v>9</v>
      </c>
      <c r="M445" s="6">
        <v>28390.04</v>
      </c>
      <c r="N445" s="62">
        <f t="shared" si="167"/>
        <v>42</v>
      </c>
      <c r="O445" s="62">
        <f t="shared" si="168"/>
        <v>170057.04</v>
      </c>
    </row>
    <row r="446" spans="1:15" x14ac:dyDescent="0.25">
      <c r="A446" s="6" t="s">
        <v>32</v>
      </c>
      <c r="B446" s="6" t="s">
        <v>158</v>
      </c>
      <c r="C446" s="6">
        <v>1</v>
      </c>
      <c r="D446" s="63">
        <v>0</v>
      </c>
      <c r="E446" s="63">
        <v>0</v>
      </c>
      <c r="F446" s="62">
        <f>D446</f>
        <v>0</v>
      </c>
      <c r="G446" s="62">
        <f>E446</f>
        <v>0</v>
      </c>
      <c r="H446" s="62">
        <v>0</v>
      </c>
      <c r="I446" s="62">
        <v>0</v>
      </c>
      <c r="J446" s="62">
        <f>H446</f>
        <v>0</v>
      </c>
      <c r="K446" s="62">
        <f>I446</f>
        <v>0</v>
      </c>
      <c r="L446" s="6">
        <v>0</v>
      </c>
      <c r="M446" s="6">
        <v>0</v>
      </c>
      <c r="N446" s="62">
        <f>L446</f>
        <v>0</v>
      </c>
      <c r="O446" s="62">
        <f>M446</f>
        <v>0</v>
      </c>
    </row>
    <row r="447" spans="1:15" x14ac:dyDescent="0.25">
      <c r="A447" s="6" t="s">
        <v>32</v>
      </c>
      <c r="B447" s="6" t="s">
        <v>159</v>
      </c>
      <c r="C447" s="6">
        <v>2</v>
      </c>
      <c r="D447" s="63">
        <v>0</v>
      </c>
      <c r="E447" s="63">
        <v>0</v>
      </c>
      <c r="F447" s="62">
        <f t="shared" ref="F447:F457" si="169">F446+D447</f>
        <v>0</v>
      </c>
      <c r="G447" s="62">
        <f t="shared" ref="G447:G457" si="170">G446+E447</f>
        <v>0</v>
      </c>
      <c r="H447" s="62">
        <v>0</v>
      </c>
      <c r="I447" s="62">
        <v>0</v>
      </c>
      <c r="J447" s="62">
        <f t="shared" ref="J447:J457" si="171">J446+H447</f>
        <v>0</v>
      </c>
      <c r="K447" s="62">
        <f t="shared" ref="K447:K457" si="172">K446+I447</f>
        <v>0</v>
      </c>
      <c r="L447" s="6">
        <v>0</v>
      </c>
      <c r="M447" s="6">
        <v>0</v>
      </c>
      <c r="N447" s="62">
        <f t="shared" ref="N447:N457" si="173">N446+L447</f>
        <v>0</v>
      </c>
      <c r="O447" s="62">
        <f t="shared" ref="O447:O457" si="174">O446+M447</f>
        <v>0</v>
      </c>
    </row>
    <row r="448" spans="1:15" x14ac:dyDescent="0.25">
      <c r="A448" s="6" t="s">
        <v>32</v>
      </c>
      <c r="B448" s="6" t="s">
        <v>160</v>
      </c>
      <c r="C448" s="6">
        <v>3</v>
      </c>
      <c r="D448" s="63">
        <v>0</v>
      </c>
      <c r="E448" s="63">
        <v>0</v>
      </c>
      <c r="F448" s="62">
        <f t="shared" si="169"/>
        <v>0</v>
      </c>
      <c r="G448" s="62">
        <f t="shared" si="170"/>
        <v>0</v>
      </c>
      <c r="H448" s="62">
        <v>0</v>
      </c>
      <c r="I448" s="62">
        <v>0</v>
      </c>
      <c r="J448" s="62">
        <f t="shared" si="171"/>
        <v>0</v>
      </c>
      <c r="K448" s="62">
        <f t="shared" si="172"/>
        <v>0</v>
      </c>
      <c r="L448" s="6">
        <v>0</v>
      </c>
      <c r="M448" s="6">
        <v>0</v>
      </c>
      <c r="N448" s="62">
        <f t="shared" si="173"/>
        <v>0</v>
      </c>
      <c r="O448" s="62">
        <f t="shared" si="174"/>
        <v>0</v>
      </c>
    </row>
    <row r="449" spans="1:15" x14ac:dyDescent="0.25">
      <c r="A449" s="6" t="s">
        <v>32</v>
      </c>
      <c r="B449" s="6" t="s">
        <v>161</v>
      </c>
      <c r="C449" s="6">
        <v>4</v>
      </c>
      <c r="D449" s="63">
        <v>0</v>
      </c>
      <c r="E449" s="63">
        <v>0</v>
      </c>
      <c r="F449" s="62">
        <f t="shared" si="169"/>
        <v>0</v>
      </c>
      <c r="G449" s="62">
        <f t="shared" si="170"/>
        <v>0</v>
      </c>
      <c r="H449" s="62">
        <v>0</v>
      </c>
      <c r="I449" s="62">
        <v>0</v>
      </c>
      <c r="J449" s="62">
        <f t="shared" si="171"/>
        <v>0</v>
      </c>
      <c r="K449" s="62">
        <f t="shared" si="172"/>
        <v>0</v>
      </c>
      <c r="L449" s="6">
        <v>0</v>
      </c>
      <c r="M449" s="6">
        <v>0</v>
      </c>
      <c r="N449" s="62">
        <f t="shared" si="173"/>
        <v>0</v>
      </c>
      <c r="O449" s="62">
        <f t="shared" si="174"/>
        <v>0</v>
      </c>
    </row>
    <row r="450" spans="1:15" x14ac:dyDescent="0.25">
      <c r="A450" s="6" t="s">
        <v>32</v>
      </c>
      <c r="B450" s="6" t="s">
        <v>162</v>
      </c>
      <c r="C450" s="6">
        <v>5</v>
      </c>
      <c r="D450" s="63">
        <v>0</v>
      </c>
      <c r="E450" s="63">
        <v>0</v>
      </c>
      <c r="F450" s="62">
        <f t="shared" si="169"/>
        <v>0</v>
      </c>
      <c r="G450" s="62">
        <f t="shared" si="170"/>
        <v>0</v>
      </c>
      <c r="H450" s="62">
        <v>0</v>
      </c>
      <c r="I450" s="62">
        <v>0</v>
      </c>
      <c r="J450" s="62">
        <f t="shared" si="171"/>
        <v>0</v>
      </c>
      <c r="K450" s="62">
        <f t="shared" si="172"/>
        <v>0</v>
      </c>
      <c r="L450" s="6">
        <v>0</v>
      </c>
      <c r="M450" s="6">
        <v>0</v>
      </c>
      <c r="N450" s="62">
        <f t="shared" si="173"/>
        <v>0</v>
      </c>
      <c r="O450" s="62">
        <f t="shared" si="174"/>
        <v>0</v>
      </c>
    </row>
    <row r="451" spans="1:15" x14ac:dyDescent="0.25">
      <c r="A451" s="6" t="s">
        <v>32</v>
      </c>
      <c r="B451" s="6" t="s">
        <v>163</v>
      </c>
      <c r="C451" s="6">
        <v>6</v>
      </c>
      <c r="D451" s="63">
        <v>0</v>
      </c>
      <c r="E451" s="63">
        <v>0</v>
      </c>
      <c r="F451" s="62">
        <f t="shared" si="169"/>
        <v>0</v>
      </c>
      <c r="G451" s="62">
        <f t="shared" si="170"/>
        <v>0</v>
      </c>
      <c r="H451" s="62">
        <v>0</v>
      </c>
      <c r="I451" s="62">
        <v>0</v>
      </c>
      <c r="J451" s="62">
        <f t="shared" si="171"/>
        <v>0</v>
      </c>
      <c r="K451" s="62">
        <f t="shared" si="172"/>
        <v>0</v>
      </c>
      <c r="L451" s="6">
        <v>0</v>
      </c>
      <c r="M451" s="6">
        <v>0</v>
      </c>
      <c r="N451" s="62">
        <f t="shared" si="173"/>
        <v>0</v>
      </c>
      <c r="O451" s="62">
        <f t="shared" si="174"/>
        <v>0</v>
      </c>
    </row>
    <row r="452" spans="1:15" x14ac:dyDescent="0.25">
      <c r="A452" s="6" t="s">
        <v>32</v>
      </c>
      <c r="B452" s="6" t="s">
        <v>164</v>
      </c>
      <c r="C452" s="6">
        <v>7</v>
      </c>
      <c r="D452" s="63">
        <v>0</v>
      </c>
      <c r="E452" s="63">
        <v>0</v>
      </c>
      <c r="F452" s="62">
        <f t="shared" si="169"/>
        <v>0</v>
      </c>
      <c r="G452" s="62">
        <f t="shared" si="170"/>
        <v>0</v>
      </c>
      <c r="H452" s="62">
        <v>0</v>
      </c>
      <c r="I452" s="62">
        <v>0</v>
      </c>
      <c r="J452" s="62">
        <f t="shared" si="171"/>
        <v>0</v>
      </c>
      <c r="K452" s="62">
        <f t="shared" si="172"/>
        <v>0</v>
      </c>
      <c r="L452" s="6">
        <v>0</v>
      </c>
      <c r="M452" s="6">
        <v>0</v>
      </c>
      <c r="N452" s="62">
        <f t="shared" si="173"/>
        <v>0</v>
      </c>
      <c r="O452" s="62">
        <f t="shared" si="174"/>
        <v>0</v>
      </c>
    </row>
    <row r="453" spans="1:15" x14ac:dyDescent="0.25">
      <c r="A453" s="6" t="s">
        <v>32</v>
      </c>
      <c r="B453" s="6" t="s">
        <v>165</v>
      </c>
      <c r="C453" s="6">
        <v>8</v>
      </c>
      <c r="D453" s="63">
        <v>0</v>
      </c>
      <c r="E453" s="63">
        <v>0</v>
      </c>
      <c r="F453" s="62">
        <f t="shared" si="169"/>
        <v>0</v>
      </c>
      <c r="G453" s="62">
        <f t="shared" si="170"/>
        <v>0</v>
      </c>
      <c r="H453" s="62">
        <v>0</v>
      </c>
      <c r="I453" s="62">
        <v>0</v>
      </c>
      <c r="J453" s="62">
        <f t="shared" si="171"/>
        <v>0</v>
      </c>
      <c r="K453" s="62">
        <f t="shared" si="172"/>
        <v>0</v>
      </c>
      <c r="L453" s="6">
        <v>0</v>
      </c>
      <c r="M453" s="6">
        <v>0</v>
      </c>
      <c r="N453" s="62">
        <f t="shared" si="173"/>
        <v>0</v>
      </c>
      <c r="O453" s="62">
        <f t="shared" si="174"/>
        <v>0</v>
      </c>
    </row>
    <row r="454" spans="1:15" x14ac:dyDescent="0.25">
      <c r="A454" s="6" t="s">
        <v>32</v>
      </c>
      <c r="B454" s="6" t="s">
        <v>166</v>
      </c>
      <c r="C454" s="6">
        <v>9</v>
      </c>
      <c r="D454" s="63">
        <v>0</v>
      </c>
      <c r="E454" s="63">
        <v>0</v>
      </c>
      <c r="F454" s="62">
        <f t="shared" si="169"/>
        <v>0</v>
      </c>
      <c r="G454" s="62">
        <f t="shared" si="170"/>
        <v>0</v>
      </c>
      <c r="H454" s="62">
        <v>0</v>
      </c>
      <c r="I454" s="62">
        <v>0</v>
      </c>
      <c r="J454" s="62">
        <f t="shared" si="171"/>
        <v>0</v>
      </c>
      <c r="K454" s="62">
        <f t="shared" si="172"/>
        <v>0</v>
      </c>
      <c r="L454" s="6">
        <v>0</v>
      </c>
      <c r="M454" s="6">
        <v>0</v>
      </c>
      <c r="N454" s="62">
        <f t="shared" si="173"/>
        <v>0</v>
      </c>
      <c r="O454" s="62">
        <f t="shared" si="174"/>
        <v>0</v>
      </c>
    </row>
    <row r="455" spans="1:15" x14ac:dyDescent="0.25">
      <c r="A455" s="6" t="s">
        <v>32</v>
      </c>
      <c r="B455" s="6" t="s">
        <v>167</v>
      </c>
      <c r="C455" s="6">
        <v>10</v>
      </c>
      <c r="D455" s="63">
        <v>0</v>
      </c>
      <c r="E455" s="63">
        <v>0</v>
      </c>
      <c r="F455" s="62">
        <f t="shared" si="169"/>
        <v>0</v>
      </c>
      <c r="G455" s="62">
        <f t="shared" si="170"/>
        <v>0</v>
      </c>
      <c r="H455" s="62">
        <v>0</v>
      </c>
      <c r="I455" s="62">
        <v>0</v>
      </c>
      <c r="J455" s="62">
        <f t="shared" si="171"/>
        <v>0</v>
      </c>
      <c r="K455" s="62">
        <f t="shared" si="172"/>
        <v>0</v>
      </c>
      <c r="L455" s="6">
        <v>0</v>
      </c>
      <c r="M455" s="6">
        <v>0</v>
      </c>
      <c r="N455" s="62">
        <f t="shared" si="173"/>
        <v>0</v>
      </c>
      <c r="O455" s="62">
        <f t="shared" si="174"/>
        <v>0</v>
      </c>
    </row>
    <row r="456" spans="1:15" x14ac:dyDescent="0.25">
      <c r="A456" s="6" t="s">
        <v>32</v>
      </c>
      <c r="B456" s="6" t="s">
        <v>168</v>
      </c>
      <c r="C456" s="6">
        <v>11</v>
      </c>
      <c r="D456" s="63">
        <v>0</v>
      </c>
      <c r="E456" s="63">
        <v>0</v>
      </c>
      <c r="F456" s="62">
        <f t="shared" si="169"/>
        <v>0</v>
      </c>
      <c r="G456" s="62">
        <f t="shared" si="170"/>
        <v>0</v>
      </c>
      <c r="H456" s="62">
        <v>0</v>
      </c>
      <c r="I456" s="62">
        <v>0</v>
      </c>
      <c r="J456" s="62">
        <f t="shared" si="171"/>
        <v>0</v>
      </c>
      <c r="K456" s="62">
        <f t="shared" si="172"/>
        <v>0</v>
      </c>
      <c r="L456" s="6">
        <v>0</v>
      </c>
      <c r="M456" s="6">
        <v>0</v>
      </c>
      <c r="N456" s="62">
        <f t="shared" si="173"/>
        <v>0</v>
      </c>
      <c r="O456" s="62">
        <f t="shared" si="174"/>
        <v>0</v>
      </c>
    </row>
    <row r="457" spans="1:15" x14ac:dyDescent="0.25">
      <c r="A457" s="6" t="s">
        <v>32</v>
      </c>
      <c r="B457" s="6" t="s">
        <v>169</v>
      </c>
      <c r="C457" s="6">
        <v>12</v>
      </c>
      <c r="D457" s="63">
        <v>0</v>
      </c>
      <c r="E457" s="63">
        <v>0</v>
      </c>
      <c r="F457" s="62">
        <f t="shared" si="169"/>
        <v>0</v>
      </c>
      <c r="G457" s="62">
        <f t="shared" si="170"/>
        <v>0</v>
      </c>
      <c r="H457" s="62">
        <v>0</v>
      </c>
      <c r="I457" s="62">
        <v>0</v>
      </c>
      <c r="J457" s="62">
        <f t="shared" si="171"/>
        <v>0</v>
      </c>
      <c r="K457" s="62">
        <f t="shared" si="172"/>
        <v>0</v>
      </c>
      <c r="L457" s="6">
        <v>2</v>
      </c>
      <c r="M457" s="6">
        <v>900</v>
      </c>
      <c r="N457" s="62">
        <f t="shared" si="173"/>
        <v>2</v>
      </c>
      <c r="O457" s="62">
        <f t="shared" si="174"/>
        <v>900</v>
      </c>
    </row>
    <row r="458" spans="1:15" x14ac:dyDescent="0.25">
      <c r="A458" s="6" t="s">
        <v>150</v>
      </c>
      <c r="B458" s="6" t="s">
        <v>158</v>
      </c>
      <c r="C458" s="6">
        <v>1</v>
      </c>
      <c r="D458" s="63">
        <v>1</v>
      </c>
      <c r="E458" s="63">
        <v>4500</v>
      </c>
      <c r="F458" s="62">
        <f>D458</f>
        <v>1</v>
      </c>
      <c r="G458" s="62">
        <f>E458</f>
        <v>4500</v>
      </c>
      <c r="H458" s="61">
        <v>0</v>
      </c>
      <c r="I458" s="61">
        <v>0</v>
      </c>
      <c r="J458" s="61">
        <f>H458</f>
        <v>0</v>
      </c>
      <c r="K458" s="61">
        <f>I458</f>
        <v>0</v>
      </c>
      <c r="L458" s="6">
        <v>0</v>
      </c>
      <c r="M458" s="6">
        <v>0</v>
      </c>
      <c r="N458" s="62">
        <f>L458</f>
        <v>0</v>
      </c>
      <c r="O458" s="62">
        <f>M458</f>
        <v>0</v>
      </c>
    </row>
    <row r="459" spans="1:15" x14ac:dyDescent="0.25">
      <c r="A459" s="6" t="s">
        <v>150</v>
      </c>
      <c r="B459" s="6" t="s">
        <v>159</v>
      </c>
      <c r="C459" s="6">
        <v>2</v>
      </c>
      <c r="D459" s="63">
        <v>0</v>
      </c>
      <c r="E459" s="63">
        <v>0</v>
      </c>
      <c r="F459" s="62">
        <f t="shared" ref="F459:G469" si="175">F458+D459</f>
        <v>1</v>
      </c>
      <c r="G459" s="62">
        <f t="shared" si="175"/>
        <v>4500</v>
      </c>
      <c r="H459" s="61">
        <v>0</v>
      </c>
      <c r="I459" s="61">
        <v>0</v>
      </c>
      <c r="J459" s="61">
        <f t="shared" ref="J459:K469" si="176">J458+H459</f>
        <v>0</v>
      </c>
      <c r="K459" s="61">
        <f t="shared" si="176"/>
        <v>0</v>
      </c>
      <c r="L459" s="6">
        <v>3</v>
      </c>
      <c r="M459" s="6">
        <v>3250</v>
      </c>
      <c r="N459" s="62">
        <f t="shared" ref="N459:N469" si="177">N458+L459</f>
        <v>3</v>
      </c>
      <c r="O459" s="62">
        <f t="shared" ref="O459:O469" si="178">O458+M459</f>
        <v>3250</v>
      </c>
    </row>
    <row r="460" spans="1:15" x14ac:dyDescent="0.25">
      <c r="A460" s="6" t="s">
        <v>150</v>
      </c>
      <c r="B460" s="6" t="s">
        <v>160</v>
      </c>
      <c r="C460" s="6">
        <v>3</v>
      </c>
      <c r="D460" s="63">
        <v>0</v>
      </c>
      <c r="E460" s="63">
        <v>0</v>
      </c>
      <c r="F460" s="62">
        <f t="shared" si="175"/>
        <v>1</v>
      </c>
      <c r="G460" s="62">
        <f t="shared" si="175"/>
        <v>4500</v>
      </c>
      <c r="H460" s="61">
        <v>3</v>
      </c>
      <c r="I460" s="61">
        <v>10800</v>
      </c>
      <c r="J460" s="61">
        <f t="shared" si="176"/>
        <v>3</v>
      </c>
      <c r="K460" s="61">
        <f t="shared" si="176"/>
        <v>10800</v>
      </c>
      <c r="L460" s="6">
        <v>1</v>
      </c>
      <c r="M460" s="6">
        <v>300</v>
      </c>
      <c r="N460" s="62">
        <f t="shared" si="177"/>
        <v>4</v>
      </c>
      <c r="O460" s="62">
        <f t="shared" si="178"/>
        <v>3550</v>
      </c>
    </row>
    <row r="461" spans="1:15" x14ac:dyDescent="0.25">
      <c r="A461" s="6" t="s">
        <v>150</v>
      </c>
      <c r="B461" s="6" t="s">
        <v>161</v>
      </c>
      <c r="C461" s="6">
        <v>4</v>
      </c>
      <c r="D461" s="63">
        <v>1</v>
      </c>
      <c r="E461" s="63">
        <v>8750</v>
      </c>
      <c r="F461" s="62">
        <f t="shared" si="175"/>
        <v>2</v>
      </c>
      <c r="G461" s="62">
        <f t="shared" si="175"/>
        <v>13250</v>
      </c>
      <c r="H461" s="61">
        <v>1</v>
      </c>
      <c r="I461" s="61">
        <v>5400</v>
      </c>
      <c r="J461" s="61">
        <f t="shared" si="176"/>
        <v>4</v>
      </c>
      <c r="K461" s="61">
        <f t="shared" si="176"/>
        <v>16200</v>
      </c>
      <c r="L461" s="6">
        <v>1</v>
      </c>
      <c r="M461" s="6">
        <v>200</v>
      </c>
      <c r="N461" s="62">
        <f t="shared" si="177"/>
        <v>5</v>
      </c>
      <c r="O461" s="62">
        <f t="shared" si="178"/>
        <v>3750</v>
      </c>
    </row>
    <row r="462" spans="1:15" x14ac:dyDescent="0.25">
      <c r="A462" s="6" t="s">
        <v>150</v>
      </c>
      <c r="B462" s="6" t="s">
        <v>162</v>
      </c>
      <c r="C462" s="6">
        <v>5</v>
      </c>
      <c r="D462" s="63">
        <v>0</v>
      </c>
      <c r="E462" s="63">
        <v>0</v>
      </c>
      <c r="F462" s="62">
        <f t="shared" si="175"/>
        <v>2</v>
      </c>
      <c r="G462" s="62">
        <f t="shared" si="175"/>
        <v>13250</v>
      </c>
      <c r="H462" s="61">
        <v>0</v>
      </c>
      <c r="I462" s="61">
        <v>0</v>
      </c>
      <c r="J462" s="61">
        <f t="shared" si="176"/>
        <v>4</v>
      </c>
      <c r="K462" s="61">
        <f t="shared" si="176"/>
        <v>16200</v>
      </c>
      <c r="L462" s="6">
        <v>1</v>
      </c>
      <c r="M462" s="6">
        <v>1500</v>
      </c>
      <c r="N462" s="62">
        <f t="shared" si="177"/>
        <v>6</v>
      </c>
      <c r="O462" s="62">
        <f t="shared" si="178"/>
        <v>5250</v>
      </c>
    </row>
    <row r="463" spans="1:15" x14ac:dyDescent="0.25">
      <c r="A463" s="6" t="s">
        <v>150</v>
      </c>
      <c r="B463" s="6" t="s">
        <v>163</v>
      </c>
      <c r="C463" s="6">
        <v>6</v>
      </c>
      <c r="D463" s="63">
        <v>2</v>
      </c>
      <c r="E463" s="63">
        <v>7500</v>
      </c>
      <c r="F463" s="62">
        <f t="shared" si="175"/>
        <v>4</v>
      </c>
      <c r="G463" s="62">
        <f t="shared" si="175"/>
        <v>20750</v>
      </c>
      <c r="H463" s="61">
        <v>0</v>
      </c>
      <c r="I463" s="61">
        <v>0</v>
      </c>
      <c r="J463" s="61">
        <f t="shared" si="176"/>
        <v>4</v>
      </c>
      <c r="K463" s="61">
        <f t="shared" si="176"/>
        <v>16200</v>
      </c>
      <c r="L463" s="6">
        <v>0</v>
      </c>
      <c r="M463" s="6">
        <v>0</v>
      </c>
      <c r="N463" s="62">
        <f t="shared" si="177"/>
        <v>6</v>
      </c>
      <c r="O463" s="62">
        <f t="shared" si="178"/>
        <v>5250</v>
      </c>
    </row>
    <row r="464" spans="1:15" x14ac:dyDescent="0.25">
      <c r="A464" s="6" t="s">
        <v>150</v>
      </c>
      <c r="B464" s="6" t="s">
        <v>164</v>
      </c>
      <c r="C464" s="6">
        <v>7</v>
      </c>
      <c r="D464" s="63">
        <v>2</v>
      </c>
      <c r="E464" s="63">
        <v>25000</v>
      </c>
      <c r="F464" s="62">
        <f t="shared" si="175"/>
        <v>6</v>
      </c>
      <c r="G464" s="62">
        <f t="shared" si="175"/>
        <v>45750</v>
      </c>
      <c r="H464" s="61">
        <v>2</v>
      </c>
      <c r="I464" s="61">
        <v>3500</v>
      </c>
      <c r="J464" s="61">
        <f t="shared" si="176"/>
        <v>6</v>
      </c>
      <c r="K464" s="61">
        <f t="shared" si="176"/>
        <v>19700</v>
      </c>
      <c r="L464" s="6">
        <v>4</v>
      </c>
      <c r="M464" s="6">
        <v>6400</v>
      </c>
      <c r="N464" s="62">
        <f t="shared" si="177"/>
        <v>10</v>
      </c>
      <c r="O464" s="62">
        <f t="shared" si="178"/>
        <v>11650</v>
      </c>
    </row>
    <row r="465" spans="1:15" x14ac:dyDescent="0.25">
      <c r="A465" s="6" t="s">
        <v>150</v>
      </c>
      <c r="B465" s="6" t="s">
        <v>165</v>
      </c>
      <c r="C465" s="6">
        <v>8</v>
      </c>
      <c r="D465" s="63">
        <v>3</v>
      </c>
      <c r="E465" s="62">
        <v>23000</v>
      </c>
      <c r="F465" s="62">
        <f t="shared" si="175"/>
        <v>9</v>
      </c>
      <c r="G465" s="62">
        <f t="shared" si="175"/>
        <v>68750</v>
      </c>
      <c r="H465" s="61">
        <v>1</v>
      </c>
      <c r="I465" s="61">
        <v>2000</v>
      </c>
      <c r="J465" s="61">
        <f t="shared" si="176"/>
        <v>7</v>
      </c>
      <c r="K465" s="61">
        <f t="shared" si="176"/>
        <v>21700</v>
      </c>
      <c r="L465" s="6">
        <v>2</v>
      </c>
      <c r="M465" s="6">
        <v>5100</v>
      </c>
      <c r="N465" s="62">
        <f t="shared" si="177"/>
        <v>12</v>
      </c>
      <c r="O465" s="62">
        <f t="shared" si="178"/>
        <v>16750</v>
      </c>
    </row>
    <row r="466" spans="1:15" x14ac:dyDescent="0.25">
      <c r="A466" s="6" t="s">
        <v>150</v>
      </c>
      <c r="B466" s="6" t="s">
        <v>166</v>
      </c>
      <c r="C466" s="6">
        <v>9</v>
      </c>
      <c r="D466" s="63">
        <v>1</v>
      </c>
      <c r="E466" s="63">
        <v>4286</v>
      </c>
      <c r="F466" s="62">
        <f t="shared" si="175"/>
        <v>10</v>
      </c>
      <c r="G466" s="62">
        <f t="shared" si="175"/>
        <v>73036</v>
      </c>
      <c r="H466" s="61">
        <v>3</v>
      </c>
      <c r="I466" s="61">
        <v>21000</v>
      </c>
      <c r="J466" s="61">
        <f t="shared" si="176"/>
        <v>10</v>
      </c>
      <c r="K466" s="61">
        <f t="shared" si="176"/>
        <v>42700</v>
      </c>
      <c r="L466" s="6">
        <v>0</v>
      </c>
      <c r="M466" s="6">
        <v>0</v>
      </c>
      <c r="N466" s="62">
        <f t="shared" si="177"/>
        <v>12</v>
      </c>
      <c r="O466" s="62">
        <f t="shared" si="178"/>
        <v>16750</v>
      </c>
    </row>
    <row r="467" spans="1:15" x14ac:dyDescent="0.25">
      <c r="A467" s="6" t="s">
        <v>150</v>
      </c>
      <c r="B467" s="6" t="s">
        <v>167</v>
      </c>
      <c r="C467" s="6">
        <v>10</v>
      </c>
      <c r="D467" s="63">
        <v>1</v>
      </c>
      <c r="E467" s="63">
        <v>2600</v>
      </c>
      <c r="F467" s="62">
        <f t="shared" si="175"/>
        <v>11</v>
      </c>
      <c r="G467" s="62">
        <f t="shared" si="175"/>
        <v>75636</v>
      </c>
      <c r="H467" s="61">
        <v>2</v>
      </c>
      <c r="I467" s="61">
        <v>3900</v>
      </c>
      <c r="J467" s="61">
        <f t="shared" si="176"/>
        <v>12</v>
      </c>
      <c r="K467" s="61">
        <f t="shared" si="176"/>
        <v>46600</v>
      </c>
      <c r="L467" s="6">
        <v>1</v>
      </c>
      <c r="M467" s="6">
        <v>3300</v>
      </c>
      <c r="N467" s="62">
        <f t="shared" si="177"/>
        <v>13</v>
      </c>
      <c r="O467" s="62">
        <f t="shared" si="178"/>
        <v>20050</v>
      </c>
    </row>
    <row r="468" spans="1:15" x14ac:dyDescent="0.25">
      <c r="A468" s="6" t="s">
        <v>150</v>
      </c>
      <c r="B468" s="6" t="s">
        <v>168</v>
      </c>
      <c r="C468" s="6">
        <v>11</v>
      </c>
      <c r="D468" s="63">
        <v>2</v>
      </c>
      <c r="E468" s="63">
        <v>11800</v>
      </c>
      <c r="F468" s="62">
        <f t="shared" si="175"/>
        <v>13</v>
      </c>
      <c r="G468" s="62">
        <f t="shared" si="175"/>
        <v>87436</v>
      </c>
      <c r="H468" s="61">
        <v>2</v>
      </c>
      <c r="I468" s="61">
        <v>1100</v>
      </c>
      <c r="J468" s="61">
        <f t="shared" si="176"/>
        <v>14</v>
      </c>
      <c r="K468" s="61">
        <f t="shared" si="176"/>
        <v>47700</v>
      </c>
      <c r="L468" s="6">
        <v>1</v>
      </c>
      <c r="M468" s="6">
        <v>3850</v>
      </c>
      <c r="N468" s="62">
        <f t="shared" si="177"/>
        <v>14</v>
      </c>
      <c r="O468" s="62">
        <f t="shared" si="178"/>
        <v>23900</v>
      </c>
    </row>
    <row r="469" spans="1:15" x14ac:dyDescent="0.25">
      <c r="A469" s="6" t="s">
        <v>150</v>
      </c>
      <c r="B469" s="6" t="s">
        <v>169</v>
      </c>
      <c r="C469" s="6">
        <v>12</v>
      </c>
      <c r="D469" s="63">
        <v>0</v>
      </c>
      <c r="E469" s="63">
        <v>0</v>
      </c>
      <c r="F469" s="62">
        <f t="shared" si="175"/>
        <v>13</v>
      </c>
      <c r="G469" s="62">
        <f t="shared" si="175"/>
        <v>87436</v>
      </c>
      <c r="H469" s="61">
        <v>1</v>
      </c>
      <c r="I469" s="61">
        <v>45000</v>
      </c>
      <c r="J469" s="61">
        <f t="shared" si="176"/>
        <v>15</v>
      </c>
      <c r="K469" s="61">
        <f t="shared" si="176"/>
        <v>92700</v>
      </c>
      <c r="L469" s="6">
        <v>1</v>
      </c>
      <c r="M469" s="6">
        <v>2700</v>
      </c>
      <c r="N469" s="62">
        <f t="shared" si="177"/>
        <v>15</v>
      </c>
      <c r="O469" s="62">
        <f t="shared" si="178"/>
        <v>26600</v>
      </c>
    </row>
    <row r="470" spans="1:15" x14ac:dyDescent="0.25">
      <c r="A470" s="6" t="s">
        <v>71</v>
      </c>
      <c r="B470" s="6" t="s">
        <v>158</v>
      </c>
      <c r="C470" s="6">
        <v>1</v>
      </c>
      <c r="D470" s="63">
        <v>0</v>
      </c>
      <c r="E470" s="63">
        <v>0</v>
      </c>
      <c r="F470" s="62">
        <f>D470</f>
        <v>0</v>
      </c>
      <c r="G470" s="62">
        <f>E470</f>
        <v>0</v>
      </c>
      <c r="H470" s="62">
        <v>0</v>
      </c>
      <c r="I470" s="62">
        <v>0</v>
      </c>
      <c r="J470" s="62">
        <f>H470</f>
        <v>0</v>
      </c>
      <c r="K470" s="62">
        <f>I470</f>
        <v>0</v>
      </c>
      <c r="L470" s="6">
        <v>0</v>
      </c>
      <c r="M470" s="6">
        <v>0</v>
      </c>
      <c r="N470" s="62">
        <f>L470</f>
        <v>0</v>
      </c>
      <c r="O470" s="62">
        <f>M470</f>
        <v>0</v>
      </c>
    </row>
    <row r="471" spans="1:15" x14ac:dyDescent="0.25">
      <c r="A471" s="6" t="s">
        <v>71</v>
      </c>
      <c r="B471" s="6" t="s">
        <v>159</v>
      </c>
      <c r="C471" s="6">
        <v>2</v>
      </c>
      <c r="D471" s="63">
        <v>0</v>
      </c>
      <c r="E471" s="63">
        <v>0</v>
      </c>
      <c r="F471" s="62">
        <f t="shared" ref="F471:F481" si="179">F470+D471</f>
        <v>0</v>
      </c>
      <c r="G471" s="62">
        <f t="shared" ref="G471:G481" si="180">G470+E471</f>
        <v>0</v>
      </c>
      <c r="H471" s="62">
        <v>0</v>
      </c>
      <c r="I471" s="62">
        <v>0</v>
      </c>
      <c r="J471" s="62">
        <f t="shared" ref="J471:J481" si="181">J470+H471</f>
        <v>0</v>
      </c>
      <c r="K471" s="62">
        <f t="shared" ref="K471:K481" si="182">K470+I471</f>
        <v>0</v>
      </c>
      <c r="L471" s="6">
        <v>0</v>
      </c>
      <c r="M471" s="6">
        <v>0</v>
      </c>
      <c r="N471" s="62">
        <f t="shared" ref="N471:N481" si="183">N470+L471</f>
        <v>0</v>
      </c>
      <c r="O471" s="62">
        <f t="shared" ref="O471:O481" si="184">O470+M471</f>
        <v>0</v>
      </c>
    </row>
    <row r="472" spans="1:15" x14ac:dyDescent="0.25">
      <c r="A472" s="6" t="s">
        <v>71</v>
      </c>
      <c r="B472" s="6" t="s">
        <v>160</v>
      </c>
      <c r="C472" s="6">
        <v>3</v>
      </c>
      <c r="D472" s="63">
        <v>0</v>
      </c>
      <c r="E472" s="63">
        <v>0</v>
      </c>
      <c r="F472" s="62">
        <f t="shared" si="179"/>
        <v>0</v>
      </c>
      <c r="G472" s="62">
        <f t="shared" si="180"/>
        <v>0</v>
      </c>
      <c r="H472" s="62">
        <v>0</v>
      </c>
      <c r="I472" s="62">
        <v>0</v>
      </c>
      <c r="J472" s="62">
        <f t="shared" si="181"/>
        <v>0</v>
      </c>
      <c r="K472" s="62">
        <f t="shared" si="182"/>
        <v>0</v>
      </c>
      <c r="L472" s="6">
        <v>0</v>
      </c>
      <c r="M472" s="6">
        <v>0</v>
      </c>
      <c r="N472" s="62">
        <f t="shared" si="183"/>
        <v>0</v>
      </c>
      <c r="O472" s="62">
        <f t="shared" si="184"/>
        <v>0</v>
      </c>
    </row>
    <row r="473" spans="1:15" x14ac:dyDescent="0.25">
      <c r="A473" s="6" t="s">
        <v>71</v>
      </c>
      <c r="B473" s="6" t="s">
        <v>161</v>
      </c>
      <c r="C473" s="6">
        <v>4</v>
      </c>
      <c r="D473" s="63">
        <v>0</v>
      </c>
      <c r="E473" s="63">
        <v>0</v>
      </c>
      <c r="F473" s="62">
        <f t="shared" si="179"/>
        <v>0</v>
      </c>
      <c r="G473" s="62">
        <f t="shared" si="180"/>
        <v>0</v>
      </c>
      <c r="H473" s="62">
        <v>0</v>
      </c>
      <c r="I473" s="62">
        <v>0</v>
      </c>
      <c r="J473" s="62">
        <f t="shared" si="181"/>
        <v>0</v>
      </c>
      <c r="K473" s="62">
        <f t="shared" si="182"/>
        <v>0</v>
      </c>
      <c r="L473" s="6">
        <v>0</v>
      </c>
      <c r="M473" s="6">
        <v>0</v>
      </c>
      <c r="N473" s="62">
        <f t="shared" si="183"/>
        <v>0</v>
      </c>
      <c r="O473" s="62">
        <f t="shared" si="184"/>
        <v>0</v>
      </c>
    </row>
    <row r="474" spans="1:15" x14ac:dyDescent="0.25">
      <c r="A474" s="6" t="s">
        <v>71</v>
      </c>
      <c r="B474" s="6" t="s">
        <v>162</v>
      </c>
      <c r="C474" s="6">
        <v>5</v>
      </c>
      <c r="D474" s="63">
        <v>0</v>
      </c>
      <c r="E474" s="63">
        <v>0</v>
      </c>
      <c r="F474" s="62">
        <f t="shared" si="179"/>
        <v>0</v>
      </c>
      <c r="G474" s="62">
        <f t="shared" si="180"/>
        <v>0</v>
      </c>
      <c r="H474" s="62">
        <v>0</v>
      </c>
      <c r="I474" s="62">
        <v>0</v>
      </c>
      <c r="J474" s="62">
        <f t="shared" si="181"/>
        <v>0</v>
      </c>
      <c r="K474" s="62">
        <f t="shared" si="182"/>
        <v>0</v>
      </c>
      <c r="L474" s="6">
        <v>0</v>
      </c>
      <c r="M474" s="6">
        <v>0</v>
      </c>
      <c r="N474" s="62">
        <f t="shared" si="183"/>
        <v>0</v>
      </c>
      <c r="O474" s="62">
        <f t="shared" si="184"/>
        <v>0</v>
      </c>
    </row>
    <row r="475" spans="1:15" x14ac:dyDescent="0.25">
      <c r="A475" s="6" t="s">
        <v>71</v>
      </c>
      <c r="B475" s="6" t="s">
        <v>163</v>
      </c>
      <c r="C475" s="6">
        <v>6</v>
      </c>
      <c r="D475" s="63">
        <v>0</v>
      </c>
      <c r="E475" s="63">
        <v>0</v>
      </c>
      <c r="F475" s="62">
        <f t="shared" si="179"/>
        <v>0</v>
      </c>
      <c r="G475" s="62">
        <f t="shared" si="180"/>
        <v>0</v>
      </c>
      <c r="H475" s="62">
        <v>0</v>
      </c>
      <c r="I475" s="62">
        <v>0</v>
      </c>
      <c r="J475" s="62">
        <f t="shared" si="181"/>
        <v>0</v>
      </c>
      <c r="K475" s="62">
        <f t="shared" si="182"/>
        <v>0</v>
      </c>
      <c r="L475" s="6">
        <v>0</v>
      </c>
      <c r="M475" s="6">
        <v>0</v>
      </c>
      <c r="N475" s="62">
        <f t="shared" si="183"/>
        <v>0</v>
      </c>
      <c r="O475" s="62">
        <f t="shared" si="184"/>
        <v>0</v>
      </c>
    </row>
    <row r="476" spans="1:15" x14ac:dyDescent="0.25">
      <c r="A476" s="6" t="s">
        <v>71</v>
      </c>
      <c r="B476" s="6" t="s">
        <v>164</v>
      </c>
      <c r="C476" s="6">
        <v>7</v>
      </c>
      <c r="D476" s="63">
        <v>0</v>
      </c>
      <c r="E476" s="63">
        <v>0</v>
      </c>
      <c r="F476" s="62">
        <f t="shared" si="179"/>
        <v>0</v>
      </c>
      <c r="G476" s="62">
        <f t="shared" si="180"/>
        <v>0</v>
      </c>
      <c r="H476" s="62">
        <v>0</v>
      </c>
      <c r="I476" s="62">
        <v>0</v>
      </c>
      <c r="J476" s="62">
        <f t="shared" si="181"/>
        <v>0</v>
      </c>
      <c r="K476" s="62">
        <f t="shared" si="182"/>
        <v>0</v>
      </c>
      <c r="L476" s="6">
        <v>0</v>
      </c>
      <c r="M476" s="6">
        <v>0</v>
      </c>
      <c r="N476" s="62">
        <f t="shared" si="183"/>
        <v>0</v>
      </c>
      <c r="O476" s="62">
        <f t="shared" si="184"/>
        <v>0</v>
      </c>
    </row>
    <row r="477" spans="1:15" x14ac:dyDescent="0.25">
      <c r="A477" s="6" t="s">
        <v>71</v>
      </c>
      <c r="B477" s="6" t="s">
        <v>165</v>
      </c>
      <c r="C477" s="6">
        <v>8</v>
      </c>
      <c r="D477" s="63">
        <v>0</v>
      </c>
      <c r="E477" s="63">
        <v>0</v>
      </c>
      <c r="F477" s="62">
        <f t="shared" si="179"/>
        <v>0</v>
      </c>
      <c r="G477" s="62">
        <f t="shared" si="180"/>
        <v>0</v>
      </c>
      <c r="H477" s="62">
        <v>0</v>
      </c>
      <c r="I477" s="62">
        <v>0</v>
      </c>
      <c r="J477" s="62">
        <f t="shared" si="181"/>
        <v>0</v>
      </c>
      <c r="K477" s="62">
        <f t="shared" si="182"/>
        <v>0</v>
      </c>
      <c r="L477" s="6">
        <v>0</v>
      </c>
      <c r="M477" s="6">
        <v>0</v>
      </c>
      <c r="N477" s="62">
        <f t="shared" si="183"/>
        <v>0</v>
      </c>
      <c r="O477" s="62">
        <f t="shared" si="184"/>
        <v>0</v>
      </c>
    </row>
    <row r="478" spans="1:15" x14ac:dyDescent="0.25">
      <c r="A478" s="6" t="s">
        <v>71</v>
      </c>
      <c r="B478" s="6" t="s">
        <v>166</v>
      </c>
      <c r="C478" s="6">
        <v>9</v>
      </c>
      <c r="D478" s="63">
        <v>0</v>
      </c>
      <c r="E478" s="63">
        <v>0</v>
      </c>
      <c r="F478" s="62">
        <f t="shared" si="179"/>
        <v>0</v>
      </c>
      <c r="G478" s="62">
        <f t="shared" si="180"/>
        <v>0</v>
      </c>
      <c r="H478" s="62">
        <v>0</v>
      </c>
      <c r="I478" s="62">
        <v>0</v>
      </c>
      <c r="J478" s="62">
        <f t="shared" si="181"/>
        <v>0</v>
      </c>
      <c r="K478" s="62">
        <f t="shared" si="182"/>
        <v>0</v>
      </c>
      <c r="L478" s="6">
        <v>0</v>
      </c>
      <c r="M478" s="6">
        <v>0</v>
      </c>
      <c r="N478" s="62">
        <f t="shared" si="183"/>
        <v>0</v>
      </c>
      <c r="O478" s="62">
        <f t="shared" si="184"/>
        <v>0</v>
      </c>
    </row>
    <row r="479" spans="1:15" x14ac:dyDescent="0.25">
      <c r="A479" s="6" t="s">
        <v>71</v>
      </c>
      <c r="B479" s="6" t="s">
        <v>167</v>
      </c>
      <c r="C479" s="6">
        <v>10</v>
      </c>
      <c r="D479" s="63">
        <v>0</v>
      </c>
      <c r="E479" s="63">
        <v>0</v>
      </c>
      <c r="F479" s="62">
        <f t="shared" si="179"/>
        <v>0</v>
      </c>
      <c r="G479" s="62">
        <f t="shared" si="180"/>
        <v>0</v>
      </c>
      <c r="H479" s="62">
        <v>0</v>
      </c>
      <c r="I479" s="62">
        <v>0</v>
      </c>
      <c r="J479" s="62">
        <f t="shared" si="181"/>
        <v>0</v>
      </c>
      <c r="K479" s="62">
        <f t="shared" si="182"/>
        <v>0</v>
      </c>
      <c r="L479" s="6">
        <v>0</v>
      </c>
      <c r="M479" s="6">
        <v>0</v>
      </c>
      <c r="N479" s="62">
        <f t="shared" si="183"/>
        <v>0</v>
      </c>
      <c r="O479" s="62">
        <f t="shared" si="184"/>
        <v>0</v>
      </c>
    </row>
    <row r="480" spans="1:15" x14ac:dyDescent="0.25">
      <c r="A480" s="6" t="s">
        <v>71</v>
      </c>
      <c r="B480" s="6" t="s">
        <v>168</v>
      </c>
      <c r="C480" s="6">
        <v>11</v>
      </c>
      <c r="D480" s="63">
        <v>0</v>
      </c>
      <c r="E480" s="63">
        <v>0</v>
      </c>
      <c r="F480" s="62">
        <f t="shared" si="179"/>
        <v>0</v>
      </c>
      <c r="G480" s="62">
        <f t="shared" si="180"/>
        <v>0</v>
      </c>
      <c r="H480" s="62">
        <v>0</v>
      </c>
      <c r="I480" s="62">
        <v>0</v>
      </c>
      <c r="J480" s="62">
        <f t="shared" si="181"/>
        <v>0</v>
      </c>
      <c r="K480" s="62">
        <f t="shared" si="182"/>
        <v>0</v>
      </c>
      <c r="L480" s="6">
        <v>0</v>
      </c>
      <c r="M480" s="6">
        <v>0</v>
      </c>
      <c r="N480" s="62">
        <f t="shared" si="183"/>
        <v>0</v>
      </c>
      <c r="O480" s="62">
        <f t="shared" si="184"/>
        <v>0</v>
      </c>
    </row>
    <row r="481" spans="1:15" x14ac:dyDescent="0.25">
      <c r="A481" s="6" t="s">
        <v>71</v>
      </c>
      <c r="B481" s="6" t="s">
        <v>169</v>
      </c>
      <c r="C481" s="6">
        <v>12</v>
      </c>
      <c r="D481" s="63">
        <v>0</v>
      </c>
      <c r="E481" s="63">
        <v>0</v>
      </c>
      <c r="F481" s="62">
        <f t="shared" si="179"/>
        <v>0</v>
      </c>
      <c r="G481" s="62">
        <f t="shared" si="180"/>
        <v>0</v>
      </c>
      <c r="H481" s="62">
        <v>0</v>
      </c>
      <c r="I481" s="62">
        <v>0</v>
      </c>
      <c r="J481" s="62">
        <f t="shared" si="181"/>
        <v>0</v>
      </c>
      <c r="K481" s="62">
        <f t="shared" si="182"/>
        <v>0</v>
      </c>
      <c r="L481" s="6">
        <v>0</v>
      </c>
      <c r="M481" s="6">
        <v>0</v>
      </c>
      <c r="N481" s="62">
        <f t="shared" si="183"/>
        <v>0</v>
      </c>
      <c r="O481" s="62">
        <f t="shared" si="184"/>
        <v>0</v>
      </c>
    </row>
    <row r="482" spans="1:15" x14ac:dyDescent="0.25">
      <c r="A482" s="6" t="s">
        <v>84</v>
      </c>
      <c r="B482" s="6" t="s">
        <v>158</v>
      </c>
      <c r="C482" s="6">
        <v>1</v>
      </c>
      <c r="D482" s="63">
        <v>0</v>
      </c>
      <c r="E482" s="63">
        <v>0</v>
      </c>
      <c r="F482" s="62">
        <f>D482</f>
        <v>0</v>
      </c>
      <c r="G482" s="62">
        <f>E482</f>
        <v>0</v>
      </c>
      <c r="H482" s="61">
        <v>0</v>
      </c>
      <c r="I482" s="61">
        <v>0</v>
      </c>
      <c r="J482" s="61">
        <f>H482</f>
        <v>0</v>
      </c>
      <c r="K482" s="61">
        <f>I482</f>
        <v>0</v>
      </c>
      <c r="L482" s="6">
        <v>0</v>
      </c>
      <c r="M482" s="6">
        <v>0</v>
      </c>
      <c r="N482" s="62">
        <f>L482</f>
        <v>0</v>
      </c>
      <c r="O482" s="62">
        <f>M482</f>
        <v>0</v>
      </c>
    </row>
    <row r="483" spans="1:15" x14ac:dyDescent="0.25">
      <c r="A483" s="6" t="s">
        <v>84</v>
      </c>
      <c r="B483" s="6" t="s">
        <v>159</v>
      </c>
      <c r="C483" s="6">
        <v>2</v>
      </c>
      <c r="D483" s="63">
        <v>0</v>
      </c>
      <c r="E483" s="63">
        <v>0</v>
      </c>
      <c r="F483" s="62">
        <f t="shared" ref="F483:G493" si="185">F482+D483</f>
        <v>0</v>
      </c>
      <c r="G483" s="62">
        <f t="shared" si="185"/>
        <v>0</v>
      </c>
      <c r="H483" s="61">
        <v>1</v>
      </c>
      <c r="I483" s="61">
        <v>300</v>
      </c>
      <c r="J483" s="61">
        <f t="shared" ref="J483:K493" si="186">J482+H483</f>
        <v>1</v>
      </c>
      <c r="K483" s="61">
        <f t="shared" si="186"/>
        <v>300</v>
      </c>
      <c r="L483" s="6">
        <v>0</v>
      </c>
      <c r="M483" s="6">
        <v>0</v>
      </c>
      <c r="N483" s="62">
        <f t="shared" ref="N483:N493" si="187">N482+L483</f>
        <v>0</v>
      </c>
      <c r="O483" s="62">
        <f t="shared" ref="O483:O493" si="188">O482+M483</f>
        <v>0</v>
      </c>
    </row>
    <row r="484" spans="1:15" x14ac:dyDescent="0.25">
      <c r="A484" s="6" t="s">
        <v>84</v>
      </c>
      <c r="B484" s="6" t="s">
        <v>160</v>
      </c>
      <c r="C484" s="6">
        <v>3</v>
      </c>
      <c r="D484" s="63">
        <v>0</v>
      </c>
      <c r="E484" s="63">
        <v>0</v>
      </c>
      <c r="F484" s="62">
        <f t="shared" si="185"/>
        <v>0</v>
      </c>
      <c r="G484" s="62">
        <f t="shared" si="185"/>
        <v>0</v>
      </c>
      <c r="H484" s="61">
        <v>1</v>
      </c>
      <c r="I484" s="61">
        <v>600</v>
      </c>
      <c r="J484" s="61">
        <f t="shared" si="186"/>
        <v>2</v>
      </c>
      <c r="K484" s="61">
        <f t="shared" si="186"/>
        <v>900</v>
      </c>
      <c r="L484" s="6">
        <v>1</v>
      </c>
      <c r="M484" s="6">
        <v>1112.4000000000001</v>
      </c>
      <c r="N484" s="62">
        <f t="shared" si="187"/>
        <v>1</v>
      </c>
      <c r="O484" s="62">
        <f t="shared" si="188"/>
        <v>1112.4000000000001</v>
      </c>
    </row>
    <row r="485" spans="1:15" x14ac:dyDescent="0.25">
      <c r="A485" s="6" t="s">
        <v>84</v>
      </c>
      <c r="B485" s="6" t="s">
        <v>161</v>
      </c>
      <c r="C485" s="6">
        <v>4</v>
      </c>
      <c r="D485" s="63">
        <v>0</v>
      </c>
      <c r="E485" s="63">
        <v>0</v>
      </c>
      <c r="F485" s="62">
        <f t="shared" si="185"/>
        <v>0</v>
      </c>
      <c r="G485" s="62">
        <f t="shared" si="185"/>
        <v>0</v>
      </c>
      <c r="H485" s="61">
        <v>1</v>
      </c>
      <c r="I485" s="61">
        <v>2100</v>
      </c>
      <c r="J485" s="61">
        <f t="shared" si="186"/>
        <v>3</v>
      </c>
      <c r="K485" s="61">
        <f t="shared" si="186"/>
        <v>3000</v>
      </c>
      <c r="L485" s="6">
        <v>0</v>
      </c>
      <c r="M485" s="6">
        <v>0</v>
      </c>
      <c r="N485" s="62">
        <f t="shared" si="187"/>
        <v>1</v>
      </c>
      <c r="O485" s="62">
        <f t="shared" si="188"/>
        <v>1112.4000000000001</v>
      </c>
    </row>
    <row r="486" spans="1:15" x14ac:dyDescent="0.25">
      <c r="A486" s="6" t="s">
        <v>84</v>
      </c>
      <c r="B486" s="6" t="s">
        <v>162</v>
      </c>
      <c r="C486" s="6">
        <v>5</v>
      </c>
      <c r="D486" s="63">
        <v>1</v>
      </c>
      <c r="E486" s="63">
        <v>2150</v>
      </c>
      <c r="F486" s="62">
        <f t="shared" si="185"/>
        <v>1</v>
      </c>
      <c r="G486" s="62">
        <f t="shared" si="185"/>
        <v>2150</v>
      </c>
      <c r="H486" s="61">
        <v>1</v>
      </c>
      <c r="I486" s="61">
        <v>200</v>
      </c>
      <c r="J486" s="61">
        <f t="shared" si="186"/>
        <v>4</v>
      </c>
      <c r="K486" s="61">
        <f t="shared" si="186"/>
        <v>3200</v>
      </c>
      <c r="L486" s="6">
        <v>0</v>
      </c>
      <c r="M486" s="6">
        <v>0</v>
      </c>
      <c r="N486" s="62">
        <f t="shared" si="187"/>
        <v>1</v>
      </c>
      <c r="O486" s="62">
        <f t="shared" si="188"/>
        <v>1112.4000000000001</v>
      </c>
    </row>
    <row r="487" spans="1:15" x14ac:dyDescent="0.25">
      <c r="A487" s="6" t="s">
        <v>84</v>
      </c>
      <c r="B487" s="6" t="s">
        <v>163</v>
      </c>
      <c r="C487" s="6">
        <v>6</v>
      </c>
      <c r="D487" s="63">
        <v>0</v>
      </c>
      <c r="E487" s="63">
        <v>0</v>
      </c>
      <c r="F487" s="62">
        <f t="shared" si="185"/>
        <v>1</v>
      </c>
      <c r="G487" s="62">
        <f t="shared" si="185"/>
        <v>2150</v>
      </c>
      <c r="H487" s="61">
        <v>0</v>
      </c>
      <c r="I487" s="61">
        <v>0</v>
      </c>
      <c r="J487" s="61">
        <f t="shared" si="186"/>
        <v>4</v>
      </c>
      <c r="K487" s="61">
        <f t="shared" si="186"/>
        <v>3200</v>
      </c>
      <c r="L487" s="6">
        <v>0</v>
      </c>
      <c r="M487" s="6">
        <v>0</v>
      </c>
      <c r="N487" s="62">
        <f t="shared" si="187"/>
        <v>1</v>
      </c>
      <c r="O487" s="62">
        <f t="shared" si="188"/>
        <v>1112.4000000000001</v>
      </c>
    </row>
    <row r="488" spans="1:15" x14ac:dyDescent="0.25">
      <c r="A488" s="6" t="s">
        <v>84</v>
      </c>
      <c r="B488" s="6" t="s">
        <v>164</v>
      </c>
      <c r="C488" s="6">
        <v>7</v>
      </c>
      <c r="D488" s="63">
        <v>1</v>
      </c>
      <c r="E488" s="63">
        <v>1050</v>
      </c>
      <c r="F488" s="62">
        <f t="shared" si="185"/>
        <v>2</v>
      </c>
      <c r="G488" s="62">
        <f t="shared" si="185"/>
        <v>3200</v>
      </c>
      <c r="H488" s="61">
        <v>1</v>
      </c>
      <c r="I488" s="61">
        <v>150</v>
      </c>
      <c r="J488" s="61">
        <f t="shared" si="186"/>
        <v>5</v>
      </c>
      <c r="K488" s="61">
        <f t="shared" si="186"/>
        <v>3350</v>
      </c>
      <c r="L488" s="6">
        <v>1</v>
      </c>
      <c r="M488" s="6">
        <v>800</v>
      </c>
      <c r="N488" s="62">
        <f t="shared" si="187"/>
        <v>2</v>
      </c>
      <c r="O488" s="62">
        <f t="shared" si="188"/>
        <v>1912.4</v>
      </c>
    </row>
    <row r="489" spans="1:15" x14ac:dyDescent="0.25">
      <c r="A489" s="6" t="s">
        <v>84</v>
      </c>
      <c r="B489" s="6" t="s">
        <v>165</v>
      </c>
      <c r="C489" s="6">
        <v>8</v>
      </c>
      <c r="D489" s="63">
        <v>0</v>
      </c>
      <c r="E489" s="63">
        <v>0</v>
      </c>
      <c r="F489" s="62">
        <f t="shared" si="185"/>
        <v>2</v>
      </c>
      <c r="G489" s="62">
        <f t="shared" si="185"/>
        <v>3200</v>
      </c>
      <c r="H489" s="61">
        <v>2</v>
      </c>
      <c r="I489" s="61">
        <v>940</v>
      </c>
      <c r="J489" s="61">
        <f t="shared" si="186"/>
        <v>7</v>
      </c>
      <c r="K489" s="61">
        <f t="shared" si="186"/>
        <v>4290</v>
      </c>
      <c r="L489" s="6">
        <v>2</v>
      </c>
      <c r="M489" s="6">
        <v>2120</v>
      </c>
      <c r="N489" s="62">
        <f t="shared" si="187"/>
        <v>4</v>
      </c>
      <c r="O489" s="62">
        <f t="shared" si="188"/>
        <v>4032.4</v>
      </c>
    </row>
    <row r="490" spans="1:15" x14ac:dyDescent="0.25">
      <c r="A490" s="6" t="s">
        <v>84</v>
      </c>
      <c r="B490" s="6" t="s">
        <v>166</v>
      </c>
      <c r="C490" s="6">
        <v>9</v>
      </c>
      <c r="D490" s="63">
        <v>0</v>
      </c>
      <c r="E490" s="63">
        <v>0</v>
      </c>
      <c r="F490" s="62">
        <f t="shared" si="185"/>
        <v>2</v>
      </c>
      <c r="G490" s="62">
        <f t="shared" si="185"/>
        <v>3200</v>
      </c>
      <c r="H490" s="61">
        <v>0</v>
      </c>
      <c r="I490" s="61">
        <v>0</v>
      </c>
      <c r="J490" s="61">
        <f t="shared" si="186"/>
        <v>7</v>
      </c>
      <c r="K490" s="61">
        <f t="shared" si="186"/>
        <v>4290</v>
      </c>
      <c r="L490" s="6">
        <v>0</v>
      </c>
      <c r="M490" s="6">
        <v>0</v>
      </c>
      <c r="N490" s="62">
        <f t="shared" si="187"/>
        <v>4</v>
      </c>
      <c r="O490" s="62">
        <f t="shared" si="188"/>
        <v>4032.4</v>
      </c>
    </row>
    <row r="491" spans="1:15" x14ac:dyDescent="0.25">
      <c r="A491" s="6" t="s">
        <v>84</v>
      </c>
      <c r="B491" s="6" t="s">
        <v>167</v>
      </c>
      <c r="C491" s="6">
        <v>10</v>
      </c>
      <c r="D491" s="63">
        <v>1</v>
      </c>
      <c r="E491" s="63">
        <v>1000</v>
      </c>
      <c r="F491" s="62">
        <f t="shared" si="185"/>
        <v>3</v>
      </c>
      <c r="G491" s="62">
        <f t="shared" si="185"/>
        <v>4200</v>
      </c>
      <c r="H491" s="61">
        <v>0</v>
      </c>
      <c r="I491" s="61">
        <v>0</v>
      </c>
      <c r="J491" s="61">
        <f t="shared" si="186"/>
        <v>7</v>
      </c>
      <c r="K491" s="61">
        <f t="shared" si="186"/>
        <v>4290</v>
      </c>
      <c r="L491" s="6">
        <v>0</v>
      </c>
      <c r="M491" s="6">
        <v>0</v>
      </c>
      <c r="N491" s="62">
        <f t="shared" si="187"/>
        <v>4</v>
      </c>
      <c r="O491" s="62">
        <f t="shared" si="188"/>
        <v>4032.4</v>
      </c>
    </row>
    <row r="492" spans="1:15" x14ac:dyDescent="0.25">
      <c r="A492" s="6" t="s">
        <v>84</v>
      </c>
      <c r="B492" s="6" t="s">
        <v>168</v>
      </c>
      <c r="C492" s="6">
        <v>11</v>
      </c>
      <c r="D492" s="63">
        <v>0</v>
      </c>
      <c r="E492" s="63">
        <v>0</v>
      </c>
      <c r="F492" s="62">
        <f t="shared" si="185"/>
        <v>3</v>
      </c>
      <c r="G492" s="62">
        <f t="shared" si="185"/>
        <v>4200</v>
      </c>
      <c r="H492" s="61">
        <v>0</v>
      </c>
      <c r="I492" s="61">
        <v>0</v>
      </c>
      <c r="J492" s="61">
        <f t="shared" si="186"/>
        <v>7</v>
      </c>
      <c r="K492" s="61">
        <f t="shared" si="186"/>
        <v>4290</v>
      </c>
      <c r="L492" s="6">
        <v>2</v>
      </c>
      <c r="M492" s="6">
        <v>4645</v>
      </c>
      <c r="N492" s="62">
        <f t="shared" si="187"/>
        <v>6</v>
      </c>
      <c r="O492" s="62">
        <f t="shared" si="188"/>
        <v>8677.4</v>
      </c>
    </row>
    <row r="493" spans="1:15" x14ac:dyDescent="0.25">
      <c r="A493" s="6" t="s">
        <v>84</v>
      </c>
      <c r="B493" s="6" t="s">
        <v>169</v>
      </c>
      <c r="C493" s="6">
        <v>12</v>
      </c>
      <c r="D493" s="63">
        <v>1</v>
      </c>
      <c r="E493" s="63">
        <v>720</v>
      </c>
      <c r="F493" s="62">
        <f t="shared" si="185"/>
        <v>4</v>
      </c>
      <c r="G493" s="62">
        <f t="shared" si="185"/>
        <v>4920</v>
      </c>
      <c r="H493" s="61">
        <v>1</v>
      </c>
      <c r="I493" s="61">
        <v>1900</v>
      </c>
      <c r="J493" s="61">
        <f t="shared" si="186"/>
        <v>8</v>
      </c>
      <c r="K493" s="61">
        <f t="shared" si="186"/>
        <v>6190</v>
      </c>
      <c r="L493" s="6">
        <v>0</v>
      </c>
      <c r="M493" s="6">
        <v>0</v>
      </c>
      <c r="N493" s="62">
        <f t="shared" si="187"/>
        <v>6</v>
      </c>
      <c r="O493" s="62">
        <f t="shared" si="188"/>
        <v>8677.4</v>
      </c>
    </row>
    <row r="494" spans="1:15" x14ac:dyDescent="0.25">
      <c r="A494" s="6" t="s">
        <v>81</v>
      </c>
      <c r="B494" s="6" t="s">
        <v>158</v>
      </c>
      <c r="C494" s="6">
        <v>1</v>
      </c>
      <c r="D494" s="63">
        <v>0</v>
      </c>
      <c r="E494" s="63">
        <v>0</v>
      </c>
      <c r="F494" s="62">
        <f>D494</f>
        <v>0</v>
      </c>
      <c r="G494" s="62">
        <f>E494</f>
        <v>0</v>
      </c>
      <c r="H494" s="62">
        <v>0</v>
      </c>
      <c r="I494" s="62">
        <v>0</v>
      </c>
      <c r="J494" s="62">
        <f>H494</f>
        <v>0</v>
      </c>
      <c r="K494" s="62">
        <f>I494</f>
        <v>0</v>
      </c>
      <c r="L494" s="6">
        <v>0</v>
      </c>
      <c r="M494" s="6">
        <v>0</v>
      </c>
      <c r="N494" s="62">
        <f>L494</f>
        <v>0</v>
      </c>
      <c r="O494" s="62">
        <f>M494</f>
        <v>0</v>
      </c>
    </row>
    <row r="495" spans="1:15" x14ac:dyDescent="0.25">
      <c r="A495" s="6" t="s">
        <v>81</v>
      </c>
      <c r="B495" s="6" t="s">
        <v>159</v>
      </c>
      <c r="C495" s="6">
        <v>2</v>
      </c>
      <c r="D495" s="63">
        <v>0</v>
      </c>
      <c r="E495" s="63">
        <v>0</v>
      </c>
      <c r="F495" s="62">
        <f t="shared" ref="F495:F505" si="189">F494+D495</f>
        <v>0</v>
      </c>
      <c r="G495" s="62">
        <f t="shared" ref="G495:G505" si="190">G494+E495</f>
        <v>0</v>
      </c>
      <c r="H495" s="62">
        <v>0</v>
      </c>
      <c r="I495" s="62">
        <v>0</v>
      </c>
      <c r="J495" s="62">
        <f t="shared" ref="J495:J505" si="191">J494+H495</f>
        <v>0</v>
      </c>
      <c r="K495" s="62">
        <f t="shared" ref="K495:K505" si="192">K494+I495</f>
        <v>0</v>
      </c>
      <c r="L495" s="6">
        <v>0</v>
      </c>
      <c r="M495" s="6">
        <v>0</v>
      </c>
      <c r="N495" s="62">
        <f t="shared" ref="N495:N505" si="193">N494+L495</f>
        <v>0</v>
      </c>
      <c r="O495" s="62">
        <f t="shared" ref="O495:O505" si="194">O494+M495</f>
        <v>0</v>
      </c>
    </row>
    <row r="496" spans="1:15" x14ac:dyDescent="0.25">
      <c r="A496" s="6" t="s">
        <v>81</v>
      </c>
      <c r="B496" s="6" t="s">
        <v>160</v>
      </c>
      <c r="C496" s="6">
        <v>3</v>
      </c>
      <c r="D496" s="63">
        <v>0</v>
      </c>
      <c r="E496" s="63">
        <v>0</v>
      </c>
      <c r="F496" s="62">
        <f t="shared" si="189"/>
        <v>0</v>
      </c>
      <c r="G496" s="62">
        <f t="shared" si="190"/>
        <v>0</v>
      </c>
      <c r="H496" s="62">
        <v>0</v>
      </c>
      <c r="I496" s="62">
        <v>0</v>
      </c>
      <c r="J496" s="62">
        <f t="shared" si="191"/>
        <v>0</v>
      </c>
      <c r="K496" s="62">
        <f t="shared" si="192"/>
        <v>0</v>
      </c>
      <c r="L496" s="6">
        <v>0</v>
      </c>
      <c r="M496" s="6">
        <v>0</v>
      </c>
      <c r="N496" s="62">
        <f t="shared" si="193"/>
        <v>0</v>
      </c>
      <c r="O496" s="62">
        <f t="shared" si="194"/>
        <v>0</v>
      </c>
    </row>
    <row r="497" spans="1:15" x14ac:dyDescent="0.25">
      <c r="A497" s="6" t="s">
        <v>81</v>
      </c>
      <c r="B497" s="6" t="s">
        <v>161</v>
      </c>
      <c r="C497" s="6">
        <v>4</v>
      </c>
      <c r="D497" s="63">
        <v>0</v>
      </c>
      <c r="E497" s="63">
        <v>0</v>
      </c>
      <c r="F497" s="62">
        <f t="shared" si="189"/>
        <v>0</v>
      </c>
      <c r="G497" s="62">
        <f t="shared" si="190"/>
        <v>0</v>
      </c>
      <c r="H497" s="62">
        <v>0</v>
      </c>
      <c r="I497" s="62">
        <v>0</v>
      </c>
      <c r="J497" s="62">
        <f t="shared" si="191"/>
        <v>0</v>
      </c>
      <c r="K497" s="62">
        <f t="shared" si="192"/>
        <v>0</v>
      </c>
      <c r="L497" s="6">
        <v>0</v>
      </c>
      <c r="M497" s="6">
        <v>0</v>
      </c>
      <c r="N497" s="62">
        <f t="shared" si="193"/>
        <v>0</v>
      </c>
      <c r="O497" s="62">
        <f t="shared" si="194"/>
        <v>0</v>
      </c>
    </row>
    <row r="498" spans="1:15" x14ac:dyDescent="0.25">
      <c r="A498" s="6" t="s">
        <v>81</v>
      </c>
      <c r="B498" s="6" t="s">
        <v>162</v>
      </c>
      <c r="C498" s="6">
        <v>5</v>
      </c>
      <c r="D498" s="63">
        <v>0</v>
      </c>
      <c r="E498" s="63">
        <v>0</v>
      </c>
      <c r="F498" s="62">
        <f t="shared" si="189"/>
        <v>0</v>
      </c>
      <c r="G498" s="62">
        <f t="shared" si="190"/>
        <v>0</v>
      </c>
      <c r="H498" s="62">
        <v>0</v>
      </c>
      <c r="I498" s="62">
        <v>0</v>
      </c>
      <c r="J498" s="62">
        <f t="shared" si="191"/>
        <v>0</v>
      </c>
      <c r="K498" s="62">
        <f t="shared" si="192"/>
        <v>0</v>
      </c>
      <c r="L498" s="6">
        <v>0</v>
      </c>
      <c r="M498" s="6">
        <v>0</v>
      </c>
      <c r="N498" s="62">
        <f t="shared" si="193"/>
        <v>0</v>
      </c>
      <c r="O498" s="62">
        <f t="shared" si="194"/>
        <v>0</v>
      </c>
    </row>
    <row r="499" spans="1:15" x14ac:dyDescent="0.25">
      <c r="A499" s="6" t="s">
        <v>81</v>
      </c>
      <c r="B499" s="6" t="s">
        <v>163</v>
      </c>
      <c r="C499" s="6">
        <v>6</v>
      </c>
      <c r="D499" s="63">
        <v>0</v>
      </c>
      <c r="E499" s="63">
        <v>0</v>
      </c>
      <c r="F499" s="62">
        <f t="shared" si="189"/>
        <v>0</v>
      </c>
      <c r="G499" s="62">
        <f t="shared" si="190"/>
        <v>0</v>
      </c>
      <c r="H499" s="62">
        <v>0</v>
      </c>
      <c r="I499" s="62">
        <v>0</v>
      </c>
      <c r="J499" s="62">
        <f t="shared" si="191"/>
        <v>0</v>
      </c>
      <c r="K499" s="62">
        <f t="shared" si="192"/>
        <v>0</v>
      </c>
      <c r="L499" s="6">
        <v>0</v>
      </c>
      <c r="M499" s="6">
        <v>0</v>
      </c>
      <c r="N499" s="62">
        <f t="shared" si="193"/>
        <v>0</v>
      </c>
      <c r="O499" s="62">
        <f t="shared" si="194"/>
        <v>0</v>
      </c>
    </row>
    <row r="500" spans="1:15" x14ac:dyDescent="0.25">
      <c r="A500" s="6" t="s">
        <v>81</v>
      </c>
      <c r="B500" s="6" t="s">
        <v>164</v>
      </c>
      <c r="C500" s="6">
        <v>7</v>
      </c>
      <c r="D500" s="63">
        <v>0</v>
      </c>
      <c r="E500" s="63">
        <v>0</v>
      </c>
      <c r="F500" s="62">
        <f t="shared" si="189"/>
        <v>0</v>
      </c>
      <c r="G500" s="62">
        <f t="shared" si="190"/>
        <v>0</v>
      </c>
      <c r="H500" s="62">
        <v>0</v>
      </c>
      <c r="I500" s="62">
        <v>0</v>
      </c>
      <c r="J500" s="62">
        <f t="shared" si="191"/>
        <v>0</v>
      </c>
      <c r="K500" s="62">
        <f t="shared" si="192"/>
        <v>0</v>
      </c>
      <c r="L500" s="6">
        <v>0</v>
      </c>
      <c r="M500" s="6">
        <v>0</v>
      </c>
      <c r="N500" s="62">
        <f t="shared" si="193"/>
        <v>0</v>
      </c>
      <c r="O500" s="62">
        <f t="shared" si="194"/>
        <v>0</v>
      </c>
    </row>
    <row r="501" spans="1:15" x14ac:dyDescent="0.25">
      <c r="A501" s="6" t="s">
        <v>81</v>
      </c>
      <c r="B501" s="6" t="s">
        <v>165</v>
      </c>
      <c r="C501" s="6">
        <v>8</v>
      </c>
      <c r="D501" s="63">
        <v>0</v>
      </c>
      <c r="E501" s="63">
        <v>0</v>
      </c>
      <c r="F501" s="62">
        <f t="shared" si="189"/>
        <v>0</v>
      </c>
      <c r="G501" s="62">
        <f t="shared" si="190"/>
        <v>0</v>
      </c>
      <c r="H501" s="62">
        <v>0</v>
      </c>
      <c r="I501" s="62">
        <v>0</v>
      </c>
      <c r="J501" s="62">
        <f t="shared" si="191"/>
        <v>0</v>
      </c>
      <c r="K501" s="62">
        <f t="shared" si="192"/>
        <v>0</v>
      </c>
      <c r="L501" s="6">
        <v>0</v>
      </c>
      <c r="M501" s="6">
        <v>0</v>
      </c>
      <c r="N501" s="62">
        <f t="shared" si="193"/>
        <v>0</v>
      </c>
      <c r="O501" s="62">
        <f t="shared" si="194"/>
        <v>0</v>
      </c>
    </row>
    <row r="502" spans="1:15" x14ac:dyDescent="0.25">
      <c r="A502" s="6" t="s">
        <v>81</v>
      </c>
      <c r="B502" s="6" t="s">
        <v>166</v>
      </c>
      <c r="C502" s="6">
        <v>9</v>
      </c>
      <c r="D502" s="63">
        <v>0</v>
      </c>
      <c r="E502" s="63">
        <v>0</v>
      </c>
      <c r="F502" s="62">
        <f t="shared" si="189"/>
        <v>0</v>
      </c>
      <c r="G502" s="62">
        <f t="shared" si="190"/>
        <v>0</v>
      </c>
      <c r="H502" s="62">
        <v>0</v>
      </c>
      <c r="I502" s="62">
        <v>0</v>
      </c>
      <c r="J502" s="62">
        <f t="shared" si="191"/>
        <v>0</v>
      </c>
      <c r="K502" s="62">
        <f t="shared" si="192"/>
        <v>0</v>
      </c>
      <c r="L502" s="6">
        <v>0</v>
      </c>
      <c r="M502" s="6">
        <v>0</v>
      </c>
      <c r="N502" s="62">
        <f t="shared" si="193"/>
        <v>0</v>
      </c>
      <c r="O502" s="62">
        <f t="shared" si="194"/>
        <v>0</v>
      </c>
    </row>
    <row r="503" spans="1:15" x14ac:dyDescent="0.25">
      <c r="A503" s="6" t="s">
        <v>81</v>
      </c>
      <c r="B503" s="6" t="s">
        <v>167</v>
      </c>
      <c r="C503" s="6">
        <v>10</v>
      </c>
      <c r="D503" s="63">
        <v>0</v>
      </c>
      <c r="E503" s="63">
        <v>0</v>
      </c>
      <c r="F503" s="62">
        <f t="shared" si="189"/>
        <v>0</v>
      </c>
      <c r="G503" s="62">
        <f t="shared" si="190"/>
        <v>0</v>
      </c>
      <c r="H503" s="62">
        <v>0</v>
      </c>
      <c r="I503" s="62">
        <v>0</v>
      </c>
      <c r="J503" s="62">
        <f t="shared" si="191"/>
        <v>0</v>
      </c>
      <c r="K503" s="62">
        <f t="shared" si="192"/>
        <v>0</v>
      </c>
      <c r="L503" s="6">
        <v>2</v>
      </c>
      <c r="M503" s="6">
        <v>540</v>
      </c>
      <c r="N503" s="62">
        <f t="shared" si="193"/>
        <v>2</v>
      </c>
      <c r="O503" s="62">
        <f t="shared" si="194"/>
        <v>540</v>
      </c>
    </row>
    <row r="504" spans="1:15" x14ac:dyDescent="0.25">
      <c r="A504" s="6" t="s">
        <v>81</v>
      </c>
      <c r="B504" s="6" t="s">
        <v>168</v>
      </c>
      <c r="C504" s="6">
        <v>11</v>
      </c>
      <c r="D504" s="63">
        <v>0</v>
      </c>
      <c r="E504" s="63">
        <v>0</v>
      </c>
      <c r="F504" s="62">
        <f t="shared" si="189"/>
        <v>0</v>
      </c>
      <c r="G504" s="62">
        <f t="shared" si="190"/>
        <v>0</v>
      </c>
      <c r="H504" s="62">
        <v>0</v>
      </c>
      <c r="I504" s="62">
        <v>0</v>
      </c>
      <c r="J504" s="62">
        <f t="shared" si="191"/>
        <v>0</v>
      </c>
      <c r="K504" s="62">
        <f t="shared" si="192"/>
        <v>0</v>
      </c>
      <c r="L504" s="6">
        <v>0</v>
      </c>
      <c r="M504" s="6">
        <v>0</v>
      </c>
      <c r="N504" s="62">
        <f t="shared" si="193"/>
        <v>2</v>
      </c>
      <c r="O504" s="62">
        <f t="shared" si="194"/>
        <v>540</v>
      </c>
    </row>
    <row r="505" spans="1:15" x14ac:dyDescent="0.25">
      <c r="A505" s="6" t="s">
        <v>81</v>
      </c>
      <c r="B505" s="6" t="s">
        <v>169</v>
      </c>
      <c r="C505" s="6">
        <v>12</v>
      </c>
      <c r="D505" s="63">
        <v>0</v>
      </c>
      <c r="E505" s="63">
        <v>0</v>
      </c>
      <c r="F505" s="62">
        <f t="shared" si="189"/>
        <v>0</v>
      </c>
      <c r="G505" s="62">
        <f t="shared" si="190"/>
        <v>0</v>
      </c>
      <c r="H505" s="62">
        <v>0</v>
      </c>
      <c r="I505" s="62">
        <v>0</v>
      </c>
      <c r="J505" s="62">
        <f t="shared" si="191"/>
        <v>0</v>
      </c>
      <c r="K505" s="62">
        <f t="shared" si="192"/>
        <v>0</v>
      </c>
      <c r="L505" s="6">
        <v>0</v>
      </c>
      <c r="M505" s="6">
        <v>0</v>
      </c>
      <c r="N505" s="62">
        <f t="shared" si="193"/>
        <v>2</v>
      </c>
      <c r="O505" s="62">
        <f t="shared" si="194"/>
        <v>540</v>
      </c>
    </row>
    <row r="506" spans="1:15" x14ac:dyDescent="0.25">
      <c r="A506" s="6" t="s">
        <v>53</v>
      </c>
      <c r="B506" s="6" t="s">
        <v>158</v>
      </c>
      <c r="C506" s="6">
        <v>1</v>
      </c>
      <c r="D506" s="63">
        <v>0</v>
      </c>
      <c r="E506" s="63">
        <v>0</v>
      </c>
      <c r="F506" s="62">
        <f>D506</f>
        <v>0</v>
      </c>
      <c r="G506" s="62">
        <f>E506</f>
        <v>0</v>
      </c>
      <c r="H506" s="61">
        <v>0</v>
      </c>
      <c r="I506" s="61">
        <v>0</v>
      </c>
      <c r="J506" s="61">
        <f>H506</f>
        <v>0</v>
      </c>
      <c r="K506" s="61">
        <f>I506</f>
        <v>0</v>
      </c>
      <c r="L506" s="6">
        <v>0</v>
      </c>
      <c r="M506" s="6">
        <v>0</v>
      </c>
      <c r="N506" s="62">
        <f>L506</f>
        <v>0</v>
      </c>
      <c r="O506" s="62">
        <f>M506</f>
        <v>0</v>
      </c>
    </row>
    <row r="507" spans="1:15" x14ac:dyDescent="0.25">
      <c r="A507" s="6" t="s">
        <v>53</v>
      </c>
      <c r="B507" s="6" t="s">
        <v>159</v>
      </c>
      <c r="C507" s="6">
        <v>2</v>
      </c>
      <c r="D507" s="63">
        <v>0</v>
      </c>
      <c r="E507" s="63">
        <v>0</v>
      </c>
      <c r="F507" s="62">
        <f t="shared" ref="F507:G517" si="195">F506+D507</f>
        <v>0</v>
      </c>
      <c r="G507" s="62">
        <f t="shared" si="195"/>
        <v>0</v>
      </c>
      <c r="H507" s="61">
        <v>0</v>
      </c>
      <c r="I507" s="61">
        <v>0</v>
      </c>
      <c r="J507" s="61">
        <f t="shared" ref="J507:K517" si="196">J506+H507</f>
        <v>0</v>
      </c>
      <c r="K507" s="61">
        <f t="shared" si="196"/>
        <v>0</v>
      </c>
      <c r="L507" s="6">
        <v>0</v>
      </c>
      <c r="M507" s="6">
        <v>0</v>
      </c>
      <c r="N507" s="62">
        <f t="shared" ref="N507:N517" si="197">N506+L507</f>
        <v>0</v>
      </c>
      <c r="O507" s="62">
        <f t="shared" ref="O507:O517" si="198">O506+M507</f>
        <v>0</v>
      </c>
    </row>
    <row r="508" spans="1:15" x14ac:dyDescent="0.25">
      <c r="A508" s="6" t="s">
        <v>53</v>
      </c>
      <c r="B508" s="6" t="s">
        <v>160</v>
      </c>
      <c r="C508" s="6">
        <v>3</v>
      </c>
      <c r="D508" s="63">
        <v>0</v>
      </c>
      <c r="E508" s="63">
        <v>0</v>
      </c>
      <c r="F508" s="62">
        <f t="shared" si="195"/>
        <v>0</v>
      </c>
      <c r="G508" s="62">
        <f t="shared" si="195"/>
        <v>0</v>
      </c>
      <c r="H508" s="61">
        <v>5</v>
      </c>
      <c r="I508" s="61">
        <v>720</v>
      </c>
      <c r="J508" s="61">
        <f t="shared" si="196"/>
        <v>5</v>
      </c>
      <c r="K508" s="61">
        <f t="shared" si="196"/>
        <v>720</v>
      </c>
      <c r="L508" s="6">
        <v>0</v>
      </c>
      <c r="M508" s="6">
        <v>0</v>
      </c>
      <c r="N508" s="62">
        <f t="shared" si="197"/>
        <v>0</v>
      </c>
      <c r="O508" s="62">
        <f t="shared" si="198"/>
        <v>0</v>
      </c>
    </row>
    <row r="509" spans="1:15" x14ac:dyDescent="0.25">
      <c r="A509" s="6" t="s">
        <v>53</v>
      </c>
      <c r="B509" s="6" t="s">
        <v>161</v>
      </c>
      <c r="C509" s="6">
        <v>4</v>
      </c>
      <c r="D509" s="63">
        <v>0</v>
      </c>
      <c r="E509" s="63">
        <v>0</v>
      </c>
      <c r="F509" s="62">
        <f t="shared" si="195"/>
        <v>0</v>
      </c>
      <c r="G509" s="62">
        <f t="shared" si="195"/>
        <v>0</v>
      </c>
      <c r="H509" s="61">
        <v>0</v>
      </c>
      <c r="I509" s="61">
        <v>0</v>
      </c>
      <c r="J509" s="61">
        <f t="shared" si="196"/>
        <v>5</v>
      </c>
      <c r="K509" s="61">
        <f t="shared" si="196"/>
        <v>720</v>
      </c>
      <c r="L509" s="6">
        <v>2</v>
      </c>
      <c r="M509" s="6">
        <v>250</v>
      </c>
      <c r="N509" s="62">
        <f t="shared" si="197"/>
        <v>2</v>
      </c>
      <c r="O509" s="62">
        <f t="shared" si="198"/>
        <v>250</v>
      </c>
    </row>
    <row r="510" spans="1:15" x14ac:dyDescent="0.25">
      <c r="A510" s="6" t="s">
        <v>53</v>
      </c>
      <c r="B510" s="6" t="s">
        <v>162</v>
      </c>
      <c r="C510" s="6">
        <v>5</v>
      </c>
      <c r="D510" s="63">
        <v>0</v>
      </c>
      <c r="E510" s="63">
        <v>0</v>
      </c>
      <c r="F510" s="62">
        <f t="shared" si="195"/>
        <v>0</v>
      </c>
      <c r="G510" s="62">
        <f t="shared" si="195"/>
        <v>0</v>
      </c>
      <c r="H510" s="61">
        <v>0</v>
      </c>
      <c r="I510" s="61">
        <v>0</v>
      </c>
      <c r="J510" s="61">
        <f t="shared" si="196"/>
        <v>5</v>
      </c>
      <c r="K510" s="61">
        <f t="shared" si="196"/>
        <v>720</v>
      </c>
      <c r="L510" s="6">
        <v>0</v>
      </c>
      <c r="M510" s="6">
        <v>0</v>
      </c>
      <c r="N510" s="62">
        <f t="shared" si="197"/>
        <v>2</v>
      </c>
      <c r="O510" s="62">
        <f t="shared" si="198"/>
        <v>250</v>
      </c>
    </row>
    <row r="511" spans="1:15" x14ac:dyDescent="0.25">
      <c r="A511" s="6" t="s">
        <v>53</v>
      </c>
      <c r="B511" s="6" t="s">
        <v>163</v>
      </c>
      <c r="C511" s="6">
        <v>6</v>
      </c>
      <c r="D511" s="63">
        <v>0</v>
      </c>
      <c r="E511" s="63">
        <v>0</v>
      </c>
      <c r="F511" s="62">
        <f t="shared" si="195"/>
        <v>0</v>
      </c>
      <c r="G511" s="62">
        <f t="shared" si="195"/>
        <v>0</v>
      </c>
      <c r="H511" s="61">
        <v>0</v>
      </c>
      <c r="I511" s="61">
        <v>0</v>
      </c>
      <c r="J511" s="61">
        <f t="shared" si="196"/>
        <v>5</v>
      </c>
      <c r="K511" s="61">
        <f t="shared" si="196"/>
        <v>720</v>
      </c>
      <c r="L511" s="6">
        <v>2</v>
      </c>
      <c r="M511" s="6">
        <v>100</v>
      </c>
      <c r="N511" s="62">
        <f t="shared" si="197"/>
        <v>4</v>
      </c>
      <c r="O511" s="62">
        <f t="shared" si="198"/>
        <v>350</v>
      </c>
    </row>
    <row r="512" spans="1:15" x14ac:dyDescent="0.25">
      <c r="A512" s="6" t="s">
        <v>53</v>
      </c>
      <c r="B512" s="6" t="s">
        <v>164</v>
      </c>
      <c r="C512" s="6">
        <v>7</v>
      </c>
      <c r="D512" s="63">
        <v>0</v>
      </c>
      <c r="E512" s="63">
        <v>0</v>
      </c>
      <c r="F512" s="62">
        <f t="shared" si="195"/>
        <v>0</v>
      </c>
      <c r="G512" s="62">
        <f t="shared" si="195"/>
        <v>0</v>
      </c>
      <c r="H512" s="61">
        <v>0</v>
      </c>
      <c r="I512" s="61">
        <v>0</v>
      </c>
      <c r="J512" s="61">
        <f t="shared" si="196"/>
        <v>5</v>
      </c>
      <c r="K512" s="61">
        <f t="shared" si="196"/>
        <v>720</v>
      </c>
      <c r="L512" s="6">
        <v>2</v>
      </c>
      <c r="M512" s="6">
        <v>350</v>
      </c>
      <c r="N512" s="62">
        <f t="shared" si="197"/>
        <v>6</v>
      </c>
      <c r="O512" s="62">
        <f t="shared" si="198"/>
        <v>700</v>
      </c>
    </row>
    <row r="513" spans="1:15" x14ac:dyDescent="0.25">
      <c r="A513" s="6" t="s">
        <v>53</v>
      </c>
      <c r="B513" s="6" t="s">
        <v>165</v>
      </c>
      <c r="C513" s="6">
        <v>8</v>
      </c>
      <c r="D513" s="63">
        <v>0</v>
      </c>
      <c r="E513" s="63">
        <v>0</v>
      </c>
      <c r="F513" s="62">
        <f t="shared" si="195"/>
        <v>0</v>
      </c>
      <c r="G513" s="62">
        <f t="shared" si="195"/>
        <v>0</v>
      </c>
      <c r="H513" s="61">
        <v>0</v>
      </c>
      <c r="I513" s="61">
        <v>0</v>
      </c>
      <c r="J513" s="61">
        <f t="shared" si="196"/>
        <v>5</v>
      </c>
      <c r="K513" s="61">
        <f t="shared" si="196"/>
        <v>720</v>
      </c>
      <c r="L513" s="6">
        <v>0</v>
      </c>
      <c r="M513" s="6">
        <v>0</v>
      </c>
      <c r="N513" s="62">
        <f t="shared" si="197"/>
        <v>6</v>
      </c>
      <c r="O513" s="62">
        <f t="shared" si="198"/>
        <v>700</v>
      </c>
    </row>
    <row r="514" spans="1:15" x14ac:dyDescent="0.25">
      <c r="A514" s="6" t="s">
        <v>53</v>
      </c>
      <c r="B514" s="6" t="s">
        <v>166</v>
      </c>
      <c r="C514" s="6">
        <v>9</v>
      </c>
      <c r="D514" s="63">
        <v>0</v>
      </c>
      <c r="E514" s="63">
        <v>0</v>
      </c>
      <c r="F514" s="62">
        <f t="shared" si="195"/>
        <v>0</v>
      </c>
      <c r="G514" s="62">
        <f t="shared" si="195"/>
        <v>0</v>
      </c>
      <c r="H514" s="61">
        <v>0</v>
      </c>
      <c r="I514" s="61">
        <v>0</v>
      </c>
      <c r="J514" s="61">
        <f t="shared" si="196"/>
        <v>5</v>
      </c>
      <c r="K514" s="61">
        <f t="shared" si="196"/>
        <v>720</v>
      </c>
      <c r="L514" s="6">
        <v>0</v>
      </c>
      <c r="M514" s="6">
        <v>0</v>
      </c>
      <c r="N514" s="62">
        <f t="shared" si="197"/>
        <v>6</v>
      </c>
      <c r="O514" s="62">
        <f t="shared" si="198"/>
        <v>700</v>
      </c>
    </row>
    <row r="515" spans="1:15" x14ac:dyDescent="0.25">
      <c r="A515" s="6" t="s">
        <v>53</v>
      </c>
      <c r="B515" s="6" t="s">
        <v>167</v>
      </c>
      <c r="C515" s="6">
        <v>10</v>
      </c>
      <c r="D515" s="63">
        <v>0</v>
      </c>
      <c r="E515" s="63">
        <v>0</v>
      </c>
      <c r="F515" s="62">
        <f t="shared" si="195"/>
        <v>0</v>
      </c>
      <c r="G515" s="62">
        <f t="shared" si="195"/>
        <v>0</v>
      </c>
      <c r="H515" s="61">
        <v>0</v>
      </c>
      <c r="I515" s="61">
        <v>0</v>
      </c>
      <c r="J515" s="61">
        <f t="shared" si="196"/>
        <v>5</v>
      </c>
      <c r="K515" s="61">
        <f t="shared" si="196"/>
        <v>720</v>
      </c>
      <c r="L515" s="6">
        <v>3</v>
      </c>
      <c r="M515" s="6">
        <v>1196.54</v>
      </c>
      <c r="N515" s="62">
        <f t="shared" si="197"/>
        <v>9</v>
      </c>
      <c r="O515" s="62">
        <f t="shared" si="198"/>
        <v>1896.54</v>
      </c>
    </row>
    <row r="516" spans="1:15" x14ac:dyDescent="0.25">
      <c r="A516" s="6" t="s">
        <v>53</v>
      </c>
      <c r="B516" s="6" t="s">
        <v>168</v>
      </c>
      <c r="C516" s="6">
        <v>11</v>
      </c>
      <c r="D516" s="63">
        <v>0</v>
      </c>
      <c r="E516" s="63">
        <v>0</v>
      </c>
      <c r="F516" s="62">
        <f t="shared" si="195"/>
        <v>0</v>
      </c>
      <c r="G516" s="62">
        <f t="shared" si="195"/>
        <v>0</v>
      </c>
      <c r="H516" s="61">
        <v>6</v>
      </c>
      <c r="I516" s="61">
        <v>680</v>
      </c>
      <c r="J516" s="61">
        <f t="shared" si="196"/>
        <v>11</v>
      </c>
      <c r="K516" s="61">
        <f t="shared" si="196"/>
        <v>1400</v>
      </c>
      <c r="L516" s="6">
        <v>7</v>
      </c>
      <c r="M516" s="6">
        <v>2838.5</v>
      </c>
      <c r="N516" s="62">
        <f t="shared" si="197"/>
        <v>16</v>
      </c>
      <c r="O516" s="62">
        <f t="shared" si="198"/>
        <v>4735.04</v>
      </c>
    </row>
    <row r="517" spans="1:15" x14ac:dyDescent="0.25">
      <c r="A517" s="6" t="s">
        <v>53</v>
      </c>
      <c r="B517" s="6" t="s">
        <v>169</v>
      </c>
      <c r="C517" s="6">
        <v>12</v>
      </c>
      <c r="D517" s="63">
        <v>0</v>
      </c>
      <c r="E517" s="63">
        <v>0</v>
      </c>
      <c r="F517" s="62">
        <f t="shared" si="195"/>
        <v>0</v>
      </c>
      <c r="G517" s="62">
        <f t="shared" si="195"/>
        <v>0</v>
      </c>
      <c r="H517" s="61">
        <v>0</v>
      </c>
      <c r="I517" s="61">
        <v>0</v>
      </c>
      <c r="J517" s="61">
        <f t="shared" si="196"/>
        <v>11</v>
      </c>
      <c r="K517" s="61">
        <f t="shared" si="196"/>
        <v>1400</v>
      </c>
      <c r="L517" s="6">
        <v>4</v>
      </c>
      <c r="M517" s="6">
        <v>525</v>
      </c>
      <c r="N517" s="62">
        <f t="shared" si="197"/>
        <v>20</v>
      </c>
      <c r="O517" s="62">
        <f t="shared" si="198"/>
        <v>5260.04</v>
      </c>
    </row>
    <row r="518" spans="1:15" x14ac:dyDescent="0.25">
      <c r="A518" s="6" t="s">
        <v>109</v>
      </c>
      <c r="B518" s="6" t="s">
        <v>158</v>
      </c>
      <c r="C518" s="6">
        <v>1</v>
      </c>
      <c r="D518" s="63">
        <v>1</v>
      </c>
      <c r="E518" s="63">
        <v>4500</v>
      </c>
      <c r="F518" s="62">
        <f>D518</f>
        <v>1</v>
      </c>
      <c r="G518" s="62">
        <f>E518</f>
        <v>4500</v>
      </c>
      <c r="H518" s="61">
        <v>0</v>
      </c>
      <c r="I518" s="61">
        <v>0</v>
      </c>
      <c r="J518" s="61">
        <f>H518</f>
        <v>0</v>
      </c>
      <c r="K518" s="61">
        <f>I518</f>
        <v>0</v>
      </c>
      <c r="L518" s="6">
        <v>0</v>
      </c>
      <c r="M518" s="6">
        <v>0</v>
      </c>
      <c r="N518" s="62">
        <f>L518</f>
        <v>0</v>
      </c>
      <c r="O518" s="62">
        <f>M518</f>
        <v>0</v>
      </c>
    </row>
    <row r="519" spans="1:15" x14ac:dyDescent="0.25">
      <c r="A519" s="6" t="s">
        <v>109</v>
      </c>
      <c r="B519" s="6" t="s">
        <v>159</v>
      </c>
      <c r="C519" s="6">
        <v>2</v>
      </c>
      <c r="D519" s="63">
        <v>1</v>
      </c>
      <c r="E519" s="63">
        <v>718.68</v>
      </c>
      <c r="F519" s="62">
        <f t="shared" ref="F519:G529" si="199">F518+D519</f>
        <v>2</v>
      </c>
      <c r="G519" s="62">
        <f t="shared" si="199"/>
        <v>5218.68</v>
      </c>
      <c r="H519" s="61">
        <v>0</v>
      </c>
      <c r="I519" s="61">
        <v>0</v>
      </c>
      <c r="J519" s="61">
        <f t="shared" ref="J519:K529" si="200">J518+H519</f>
        <v>0</v>
      </c>
      <c r="K519" s="61">
        <f t="shared" si="200"/>
        <v>0</v>
      </c>
      <c r="L519" s="6">
        <v>2</v>
      </c>
      <c r="M519" s="6">
        <v>1535</v>
      </c>
      <c r="N519" s="62">
        <f t="shared" ref="N519:N529" si="201">N518+L519</f>
        <v>2</v>
      </c>
      <c r="O519" s="62">
        <f t="shared" ref="O519:O529" si="202">O518+M519</f>
        <v>1535</v>
      </c>
    </row>
    <row r="520" spans="1:15" x14ac:dyDescent="0.25">
      <c r="A520" s="6" t="s">
        <v>109</v>
      </c>
      <c r="B520" s="6" t="s">
        <v>160</v>
      </c>
      <c r="C520" s="6">
        <v>3</v>
      </c>
      <c r="D520" s="63">
        <v>2</v>
      </c>
      <c r="E520" s="63">
        <v>2100</v>
      </c>
      <c r="F520" s="62">
        <f t="shared" si="199"/>
        <v>4</v>
      </c>
      <c r="G520" s="62">
        <f t="shared" si="199"/>
        <v>7318.68</v>
      </c>
      <c r="H520" s="61">
        <v>0</v>
      </c>
      <c r="I520" s="61">
        <v>0</v>
      </c>
      <c r="J520" s="61">
        <f t="shared" si="200"/>
        <v>0</v>
      </c>
      <c r="K520" s="61">
        <f t="shared" si="200"/>
        <v>0</v>
      </c>
      <c r="L520" s="6">
        <v>0</v>
      </c>
      <c r="M520" s="6">
        <v>0</v>
      </c>
      <c r="N520" s="62">
        <f t="shared" si="201"/>
        <v>2</v>
      </c>
      <c r="O520" s="62">
        <f t="shared" si="202"/>
        <v>1535</v>
      </c>
    </row>
    <row r="521" spans="1:15" x14ac:dyDescent="0.25">
      <c r="A521" s="6" t="s">
        <v>109</v>
      </c>
      <c r="B521" s="6" t="s">
        <v>161</v>
      </c>
      <c r="C521" s="6">
        <v>4</v>
      </c>
      <c r="D521" s="63">
        <v>0</v>
      </c>
      <c r="E521" s="63">
        <v>0</v>
      </c>
      <c r="F521" s="62">
        <f t="shared" si="199"/>
        <v>4</v>
      </c>
      <c r="G521" s="62">
        <f t="shared" si="199"/>
        <v>7318.68</v>
      </c>
      <c r="H521" s="61">
        <v>0</v>
      </c>
      <c r="I521" s="61">
        <v>0</v>
      </c>
      <c r="J521" s="61">
        <f t="shared" si="200"/>
        <v>0</v>
      </c>
      <c r="K521" s="61">
        <f t="shared" si="200"/>
        <v>0</v>
      </c>
      <c r="L521" s="6">
        <v>1</v>
      </c>
      <c r="M521" s="6">
        <v>100</v>
      </c>
      <c r="N521" s="62">
        <f t="shared" si="201"/>
        <v>3</v>
      </c>
      <c r="O521" s="62">
        <f t="shared" si="202"/>
        <v>1635</v>
      </c>
    </row>
    <row r="522" spans="1:15" x14ac:dyDescent="0.25">
      <c r="A522" s="6" t="s">
        <v>109</v>
      </c>
      <c r="B522" s="6" t="s">
        <v>162</v>
      </c>
      <c r="C522" s="6">
        <v>5</v>
      </c>
      <c r="D522" s="63">
        <v>3</v>
      </c>
      <c r="E522" s="62">
        <v>3747.66</v>
      </c>
      <c r="F522" s="62">
        <f t="shared" si="199"/>
        <v>7</v>
      </c>
      <c r="G522" s="62">
        <f t="shared" si="199"/>
        <v>11066.34</v>
      </c>
      <c r="H522" s="61">
        <v>1</v>
      </c>
      <c r="I522" s="61">
        <v>925</v>
      </c>
      <c r="J522" s="61">
        <f t="shared" si="200"/>
        <v>1</v>
      </c>
      <c r="K522" s="61">
        <f t="shared" si="200"/>
        <v>925</v>
      </c>
      <c r="L522" s="6">
        <v>1</v>
      </c>
      <c r="M522" s="6">
        <v>1200</v>
      </c>
      <c r="N522" s="62">
        <f t="shared" si="201"/>
        <v>4</v>
      </c>
      <c r="O522" s="62">
        <f t="shared" si="202"/>
        <v>2835</v>
      </c>
    </row>
    <row r="523" spans="1:15" x14ac:dyDescent="0.25">
      <c r="A523" s="6" t="s">
        <v>109</v>
      </c>
      <c r="B523" s="6" t="s">
        <v>163</v>
      </c>
      <c r="C523" s="6">
        <v>6</v>
      </c>
      <c r="D523" s="63">
        <v>1</v>
      </c>
      <c r="E523" s="63">
        <v>2500</v>
      </c>
      <c r="F523" s="62">
        <f t="shared" si="199"/>
        <v>8</v>
      </c>
      <c r="G523" s="62">
        <f t="shared" si="199"/>
        <v>13566.34</v>
      </c>
      <c r="H523" s="61">
        <v>0</v>
      </c>
      <c r="I523" s="61">
        <v>0</v>
      </c>
      <c r="J523" s="61">
        <f t="shared" si="200"/>
        <v>1</v>
      </c>
      <c r="K523" s="61">
        <f t="shared" si="200"/>
        <v>925</v>
      </c>
      <c r="L523" s="6">
        <v>1</v>
      </c>
      <c r="M523" s="6">
        <v>850</v>
      </c>
      <c r="N523" s="62">
        <f t="shared" si="201"/>
        <v>5</v>
      </c>
      <c r="O523" s="62">
        <f t="shared" si="202"/>
        <v>3685</v>
      </c>
    </row>
    <row r="524" spans="1:15" x14ac:dyDescent="0.25">
      <c r="A524" s="6" t="s">
        <v>109</v>
      </c>
      <c r="B524" s="6" t="s">
        <v>164</v>
      </c>
      <c r="C524" s="6">
        <v>7</v>
      </c>
      <c r="D524" s="63">
        <v>1</v>
      </c>
      <c r="E524" s="63">
        <v>1200</v>
      </c>
      <c r="F524" s="62">
        <f t="shared" si="199"/>
        <v>9</v>
      </c>
      <c r="G524" s="62">
        <f t="shared" si="199"/>
        <v>14766.34</v>
      </c>
      <c r="H524" s="61">
        <v>0</v>
      </c>
      <c r="I524" s="61">
        <v>0</v>
      </c>
      <c r="J524" s="61">
        <f t="shared" si="200"/>
        <v>1</v>
      </c>
      <c r="K524" s="61">
        <f t="shared" si="200"/>
        <v>925</v>
      </c>
      <c r="L524" s="6">
        <v>3</v>
      </c>
      <c r="M524" s="6">
        <v>1160.0999999999999</v>
      </c>
      <c r="N524" s="62">
        <f t="shared" si="201"/>
        <v>8</v>
      </c>
      <c r="O524" s="62">
        <f t="shared" si="202"/>
        <v>4845.1000000000004</v>
      </c>
    </row>
    <row r="525" spans="1:15" x14ac:dyDescent="0.25">
      <c r="A525" s="6" t="s">
        <v>109</v>
      </c>
      <c r="B525" s="6" t="s">
        <v>165</v>
      </c>
      <c r="C525" s="6">
        <v>8</v>
      </c>
      <c r="D525" s="63">
        <v>0</v>
      </c>
      <c r="E525" s="63">
        <v>0</v>
      </c>
      <c r="F525" s="62">
        <f t="shared" si="199"/>
        <v>9</v>
      </c>
      <c r="G525" s="62">
        <f t="shared" si="199"/>
        <v>14766.34</v>
      </c>
      <c r="H525" s="61">
        <v>0</v>
      </c>
      <c r="I525" s="61">
        <v>0</v>
      </c>
      <c r="J525" s="61">
        <f t="shared" si="200"/>
        <v>1</v>
      </c>
      <c r="K525" s="61">
        <f t="shared" si="200"/>
        <v>925</v>
      </c>
      <c r="L525" s="6">
        <v>1</v>
      </c>
      <c r="M525" s="6">
        <v>885</v>
      </c>
      <c r="N525" s="62">
        <f t="shared" si="201"/>
        <v>9</v>
      </c>
      <c r="O525" s="62">
        <f t="shared" si="202"/>
        <v>5730.1</v>
      </c>
    </row>
    <row r="526" spans="1:15" x14ac:dyDescent="0.25">
      <c r="A526" s="6" t="s">
        <v>109</v>
      </c>
      <c r="B526" s="6" t="s">
        <v>166</v>
      </c>
      <c r="C526" s="6">
        <v>9</v>
      </c>
      <c r="D526" s="63">
        <v>0</v>
      </c>
      <c r="E526" s="63">
        <v>0</v>
      </c>
      <c r="F526" s="62">
        <f t="shared" si="199"/>
        <v>9</v>
      </c>
      <c r="G526" s="62">
        <f t="shared" si="199"/>
        <v>14766.34</v>
      </c>
      <c r="H526" s="61">
        <v>3</v>
      </c>
      <c r="I526" s="61">
        <v>1200</v>
      </c>
      <c r="J526" s="61">
        <f t="shared" si="200"/>
        <v>4</v>
      </c>
      <c r="K526" s="61">
        <f t="shared" si="200"/>
        <v>2125</v>
      </c>
      <c r="L526" s="6">
        <v>3</v>
      </c>
      <c r="M526" s="6">
        <v>3280</v>
      </c>
      <c r="N526" s="62">
        <f t="shared" si="201"/>
        <v>12</v>
      </c>
      <c r="O526" s="62">
        <f t="shared" si="202"/>
        <v>9010.1</v>
      </c>
    </row>
    <row r="527" spans="1:15" x14ac:dyDescent="0.25">
      <c r="A527" s="6" t="s">
        <v>109</v>
      </c>
      <c r="B527" s="6" t="s">
        <v>167</v>
      </c>
      <c r="C527" s="6">
        <v>10</v>
      </c>
      <c r="D527" s="63">
        <v>0</v>
      </c>
      <c r="E527" s="63">
        <v>0</v>
      </c>
      <c r="F527" s="62">
        <f t="shared" si="199"/>
        <v>9</v>
      </c>
      <c r="G527" s="62">
        <f t="shared" si="199"/>
        <v>14766.34</v>
      </c>
      <c r="H527" s="61">
        <v>1</v>
      </c>
      <c r="I527" s="61">
        <v>350</v>
      </c>
      <c r="J527" s="61">
        <f t="shared" si="200"/>
        <v>5</v>
      </c>
      <c r="K527" s="61">
        <f t="shared" si="200"/>
        <v>2475</v>
      </c>
      <c r="L527" s="6">
        <v>0</v>
      </c>
      <c r="M527" s="6">
        <v>0</v>
      </c>
      <c r="N527" s="62">
        <f t="shared" si="201"/>
        <v>12</v>
      </c>
      <c r="O527" s="62">
        <f t="shared" si="202"/>
        <v>9010.1</v>
      </c>
    </row>
    <row r="528" spans="1:15" x14ac:dyDescent="0.25">
      <c r="A528" s="6" t="s">
        <v>109</v>
      </c>
      <c r="B528" s="6" t="s">
        <v>168</v>
      </c>
      <c r="C528" s="6">
        <v>11</v>
      </c>
      <c r="D528" s="63">
        <v>0</v>
      </c>
      <c r="E528" s="63">
        <v>0</v>
      </c>
      <c r="F528" s="62">
        <f t="shared" si="199"/>
        <v>9</v>
      </c>
      <c r="G528" s="62">
        <f t="shared" si="199"/>
        <v>14766.34</v>
      </c>
      <c r="H528" s="61">
        <v>5</v>
      </c>
      <c r="I528" s="61">
        <v>4405</v>
      </c>
      <c r="J528" s="61">
        <f t="shared" si="200"/>
        <v>10</v>
      </c>
      <c r="K528" s="61">
        <f t="shared" si="200"/>
        <v>6880</v>
      </c>
      <c r="L528" s="6">
        <v>1</v>
      </c>
      <c r="M528" s="6">
        <v>1100</v>
      </c>
      <c r="N528" s="62">
        <f t="shared" si="201"/>
        <v>13</v>
      </c>
      <c r="O528" s="62">
        <f t="shared" si="202"/>
        <v>10110.1</v>
      </c>
    </row>
    <row r="529" spans="1:15" x14ac:dyDescent="0.25">
      <c r="A529" s="6" t="s">
        <v>109</v>
      </c>
      <c r="B529" s="6" t="s">
        <v>169</v>
      </c>
      <c r="C529" s="6">
        <v>12</v>
      </c>
      <c r="D529" s="63">
        <v>0</v>
      </c>
      <c r="E529" s="63">
        <v>0</v>
      </c>
      <c r="F529" s="62">
        <f t="shared" si="199"/>
        <v>9</v>
      </c>
      <c r="G529" s="62">
        <f t="shared" si="199"/>
        <v>14766.34</v>
      </c>
      <c r="H529" s="61">
        <v>0</v>
      </c>
      <c r="I529" s="61">
        <v>0</v>
      </c>
      <c r="J529" s="61">
        <f t="shared" si="200"/>
        <v>10</v>
      </c>
      <c r="K529" s="61">
        <f t="shared" si="200"/>
        <v>6880</v>
      </c>
      <c r="L529" s="6">
        <v>8</v>
      </c>
      <c r="M529" s="6">
        <v>6320</v>
      </c>
      <c r="N529" s="62">
        <f t="shared" si="201"/>
        <v>21</v>
      </c>
      <c r="O529" s="62">
        <f t="shared" si="202"/>
        <v>16430.099999999999</v>
      </c>
    </row>
    <row r="530" spans="1:15" x14ac:dyDescent="0.25">
      <c r="A530" s="6" t="s">
        <v>102</v>
      </c>
      <c r="B530" s="6" t="s">
        <v>158</v>
      </c>
      <c r="C530" s="6">
        <v>1</v>
      </c>
      <c r="D530" s="63">
        <v>2</v>
      </c>
      <c r="E530" s="62">
        <v>8470.7999999999993</v>
      </c>
      <c r="F530" s="62">
        <f>D530</f>
        <v>2</v>
      </c>
      <c r="G530" s="62">
        <f>E530</f>
        <v>8470.7999999999993</v>
      </c>
      <c r="H530" s="61">
        <v>1</v>
      </c>
      <c r="I530" s="61">
        <v>4950</v>
      </c>
      <c r="J530" s="61">
        <f>H530</f>
        <v>1</v>
      </c>
      <c r="K530" s="61">
        <f>I530</f>
        <v>4950</v>
      </c>
      <c r="L530" s="6">
        <v>5</v>
      </c>
      <c r="M530" s="6">
        <v>37884.69</v>
      </c>
      <c r="N530" s="62">
        <f>L530</f>
        <v>5</v>
      </c>
      <c r="O530" s="62">
        <f>M530</f>
        <v>37884.69</v>
      </c>
    </row>
    <row r="531" spans="1:15" x14ac:dyDescent="0.25">
      <c r="A531" s="6" t="s">
        <v>102</v>
      </c>
      <c r="B531" s="6" t="s">
        <v>159</v>
      </c>
      <c r="C531" s="6">
        <v>2</v>
      </c>
      <c r="D531" s="63">
        <v>5</v>
      </c>
      <c r="E531" s="62">
        <v>22414</v>
      </c>
      <c r="F531" s="62">
        <f t="shared" ref="F531:G541" si="203">F530+D531</f>
        <v>7</v>
      </c>
      <c r="G531" s="62">
        <f t="shared" si="203"/>
        <v>30884.799999999999</v>
      </c>
      <c r="H531" s="61">
        <v>4</v>
      </c>
      <c r="I531" s="61">
        <v>25217</v>
      </c>
      <c r="J531" s="61">
        <f t="shared" ref="J531:K541" si="204">J530+H531</f>
        <v>5</v>
      </c>
      <c r="K531" s="61">
        <f t="shared" si="204"/>
        <v>30167</v>
      </c>
      <c r="L531" s="6">
        <v>2</v>
      </c>
      <c r="M531" s="6">
        <v>8685</v>
      </c>
      <c r="N531" s="62">
        <f t="shared" ref="N531:N541" si="205">N530+L531</f>
        <v>7</v>
      </c>
      <c r="O531" s="62">
        <f t="shared" ref="O531:O541" si="206">O530+M531</f>
        <v>46569.69</v>
      </c>
    </row>
    <row r="532" spans="1:15" x14ac:dyDescent="0.25">
      <c r="A532" s="6" t="s">
        <v>102</v>
      </c>
      <c r="B532" s="6" t="s">
        <v>160</v>
      </c>
      <c r="C532" s="6">
        <v>3</v>
      </c>
      <c r="D532" s="63">
        <v>2</v>
      </c>
      <c r="E532" s="62">
        <v>14896.4</v>
      </c>
      <c r="F532" s="62">
        <f t="shared" si="203"/>
        <v>9</v>
      </c>
      <c r="G532" s="62">
        <f t="shared" si="203"/>
        <v>45781.2</v>
      </c>
      <c r="H532" s="61">
        <v>2</v>
      </c>
      <c r="I532" s="61">
        <v>8650</v>
      </c>
      <c r="J532" s="61">
        <f t="shared" si="204"/>
        <v>7</v>
      </c>
      <c r="K532" s="61">
        <f t="shared" si="204"/>
        <v>38817</v>
      </c>
      <c r="L532" s="6">
        <v>5</v>
      </c>
      <c r="M532" s="6">
        <v>33589.5</v>
      </c>
      <c r="N532" s="62">
        <f t="shared" si="205"/>
        <v>12</v>
      </c>
      <c r="O532" s="62">
        <f t="shared" si="206"/>
        <v>80159.19</v>
      </c>
    </row>
    <row r="533" spans="1:15" x14ac:dyDescent="0.25">
      <c r="A533" s="6" t="s">
        <v>102</v>
      </c>
      <c r="B533" s="6" t="s">
        <v>161</v>
      </c>
      <c r="C533" s="6">
        <v>4</v>
      </c>
      <c r="D533" s="63">
        <v>1</v>
      </c>
      <c r="E533" s="63">
        <v>4900</v>
      </c>
      <c r="F533" s="62">
        <f t="shared" si="203"/>
        <v>10</v>
      </c>
      <c r="G533" s="62">
        <f t="shared" si="203"/>
        <v>50681.2</v>
      </c>
      <c r="H533" s="61">
        <v>5</v>
      </c>
      <c r="I533" s="61">
        <v>29819</v>
      </c>
      <c r="J533" s="61">
        <f t="shared" si="204"/>
        <v>12</v>
      </c>
      <c r="K533" s="61">
        <f t="shared" si="204"/>
        <v>68636</v>
      </c>
      <c r="L533" s="6">
        <v>4</v>
      </c>
      <c r="M533" s="6">
        <v>8873.35</v>
      </c>
      <c r="N533" s="62">
        <f t="shared" si="205"/>
        <v>16</v>
      </c>
      <c r="O533" s="62">
        <f t="shared" si="206"/>
        <v>89032.540000000008</v>
      </c>
    </row>
    <row r="534" spans="1:15" x14ac:dyDescent="0.25">
      <c r="A534" s="6" t="s">
        <v>102</v>
      </c>
      <c r="B534" s="6" t="s">
        <v>162</v>
      </c>
      <c r="C534" s="6">
        <v>5</v>
      </c>
      <c r="D534" s="63">
        <v>5</v>
      </c>
      <c r="E534" s="62">
        <v>25788.739999999998</v>
      </c>
      <c r="F534" s="62">
        <f t="shared" si="203"/>
        <v>15</v>
      </c>
      <c r="G534" s="62">
        <f t="shared" si="203"/>
        <v>76469.94</v>
      </c>
      <c r="H534" s="61">
        <v>6</v>
      </c>
      <c r="I534" s="61">
        <v>70337.78</v>
      </c>
      <c r="J534" s="61">
        <f t="shared" si="204"/>
        <v>18</v>
      </c>
      <c r="K534" s="61">
        <f t="shared" si="204"/>
        <v>138973.78</v>
      </c>
      <c r="L534" s="6">
        <v>11</v>
      </c>
      <c r="M534" s="6">
        <v>49065.79</v>
      </c>
      <c r="N534" s="62">
        <f t="shared" si="205"/>
        <v>27</v>
      </c>
      <c r="O534" s="62">
        <f t="shared" si="206"/>
        <v>138098.33000000002</v>
      </c>
    </row>
    <row r="535" spans="1:15" x14ac:dyDescent="0.25">
      <c r="A535" s="6" t="s">
        <v>102</v>
      </c>
      <c r="B535" s="6" t="s">
        <v>163</v>
      </c>
      <c r="C535" s="6">
        <v>6</v>
      </c>
      <c r="D535" s="63">
        <v>12</v>
      </c>
      <c r="E535" s="62">
        <v>57032.700000000004</v>
      </c>
      <c r="F535" s="62">
        <f t="shared" si="203"/>
        <v>27</v>
      </c>
      <c r="G535" s="62">
        <f t="shared" si="203"/>
        <v>133502.64000000001</v>
      </c>
      <c r="H535" s="61">
        <v>1</v>
      </c>
      <c r="I535" s="61">
        <v>8000</v>
      </c>
      <c r="J535" s="61">
        <f t="shared" si="204"/>
        <v>19</v>
      </c>
      <c r="K535" s="61">
        <f t="shared" si="204"/>
        <v>146973.78</v>
      </c>
      <c r="L535" s="6">
        <v>2</v>
      </c>
      <c r="M535" s="6">
        <v>9350</v>
      </c>
      <c r="N535" s="62">
        <f t="shared" si="205"/>
        <v>29</v>
      </c>
      <c r="O535" s="62">
        <f t="shared" si="206"/>
        <v>147448.33000000002</v>
      </c>
    </row>
    <row r="536" spans="1:15" x14ac:dyDescent="0.25">
      <c r="A536" s="6" t="s">
        <v>102</v>
      </c>
      <c r="B536" s="6" t="s">
        <v>164</v>
      </c>
      <c r="C536" s="6">
        <v>7</v>
      </c>
      <c r="D536" s="62">
        <v>13</v>
      </c>
      <c r="E536" s="62">
        <v>80201</v>
      </c>
      <c r="F536" s="62">
        <f t="shared" si="203"/>
        <v>40</v>
      </c>
      <c r="G536" s="62">
        <f t="shared" si="203"/>
        <v>213703.64</v>
      </c>
      <c r="H536" s="61">
        <v>2</v>
      </c>
      <c r="I536" s="61">
        <v>9688</v>
      </c>
      <c r="J536" s="61">
        <f t="shared" si="204"/>
        <v>21</v>
      </c>
      <c r="K536" s="61">
        <f t="shared" si="204"/>
        <v>156661.78</v>
      </c>
      <c r="L536" s="6">
        <v>4</v>
      </c>
      <c r="M536" s="6">
        <v>22477.26</v>
      </c>
      <c r="N536" s="62">
        <f t="shared" si="205"/>
        <v>33</v>
      </c>
      <c r="O536" s="62">
        <f t="shared" si="206"/>
        <v>169925.59000000003</v>
      </c>
    </row>
    <row r="537" spans="1:15" x14ac:dyDescent="0.25">
      <c r="A537" s="6" t="s">
        <v>102</v>
      </c>
      <c r="B537" s="6" t="s">
        <v>165</v>
      </c>
      <c r="C537" s="6">
        <v>8</v>
      </c>
      <c r="D537" s="63">
        <v>8</v>
      </c>
      <c r="E537" s="62">
        <v>49952.9</v>
      </c>
      <c r="F537" s="62">
        <f t="shared" si="203"/>
        <v>48</v>
      </c>
      <c r="G537" s="62">
        <f t="shared" si="203"/>
        <v>263656.54000000004</v>
      </c>
      <c r="H537" s="61">
        <v>6</v>
      </c>
      <c r="I537" s="61">
        <v>30143</v>
      </c>
      <c r="J537" s="61">
        <f t="shared" si="204"/>
        <v>27</v>
      </c>
      <c r="K537" s="61">
        <f t="shared" si="204"/>
        <v>186804.78</v>
      </c>
      <c r="L537" s="6">
        <v>8</v>
      </c>
      <c r="M537" s="6">
        <v>29737.54</v>
      </c>
      <c r="N537" s="62">
        <f t="shared" si="205"/>
        <v>41</v>
      </c>
      <c r="O537" s="62">
        <f t="shared" si="206"/>
        <v>199663.13000000003</v>
      </c>
    </row>
    <row r="538" spans="1:15" x14ac:dyDescent="0.25">
      <c r="A538" s="6" t="s">
        <v>102</v>
      </c>
      <c r="B538" s="6" t="s">
        <v>166</v>
      </c>
      <c r="C538" s="6">
        <v>9</v>
      </c>
      <c r="D538" s="63">
        <v>6</v>
      </c>
      <c r="E538" s="62">
        <v>44800</v>
      </c>
      <c r="F538" s="62">
        <f t="shared" si="203"/>
        <v>54</v>
      </c>
      <c r="G538" s="62">
        <f t="shared" si="203"/>
        <v>308456.54000000004</v>
      </c>
      <c r="H538" s="61">
        <v>6</v>
      </c>
      <c r="I538" s="61">
        <v>52024.95</v>
      </c>
      <c r="J538" s="61">
        <f t="shared" si="204"/>
        <v>33</v>
      </c>
      <c r="K538" s="61">
        <f t="shared" si="204"/>
        <v>238829.72999999998</v>
      </c>
      <c r="L538" s="6">
        <v>3</v>
      </c>
      <c r="M538" s="6">
        <v>16614.07</v>
      </c>
      <c r="N538" s="62">
        <f t="shared" si="205"/>
        <v>44</v>
      </c>
      <c r="O538" s="62">
        <f t="shared" si="206"/>
        <v>216277.20000000004</v>
      </c>
    </row>
    <row r="539" spans="1:15" x14ac:dyDescent="0.25">
      <c r="A539" s="6" t="s">
        <v>102</v>
      </c>
      <c r="B539" s="6" t="s">
        <v>167</v>
      </c>
      <c r="C539" s="6">
        <v>10</v>
      </c>
      <c r="D539" s="63">
        <v>4</v>
      </c>
      <c r="E539" s="62">
        <v>34166.58</v>
      </c>
      <c r="F539" s="62">
        <f t="shared" si="203"/>
        <v>58</v>
      </c>
      <c r="G539" s="62">
        <f t="shared" si="203"/>
        <v>342623.12000000005</v>
      </c>
      <c r="H539" s="61">
        <v>4</v>
      </c>
      <c r="I539" s="61">
        <v>23002.780000000002</v>
      </c>
      <c r="J539" s="61">
        <f t="shared" si="204"/>
        <v>37</v>
      </c>
      <c r="K539" s="61">
        <f t="shared" si="204"/>
        <v>261832.50999999998</v>
      </c>
      <c r="L539" s="6">
        <v>8</v>
      </c>
      <c r="M539" s="6">
        <v>30986.5</v>
      </c>
      <c r="N539" s="62">
        <f t="shared" si="205"/>
        <v>52</v>
      </c>
      <c r="O539" s="62">
        <f t="shared" si="206"/>
        <v>247263.70000000004</v>
      </c>
    </row>
    <row r="540" spans="1:15" x14ac:dyDescent="0.25">
      <c r="A540" s="6" t="s">
        <v>102</v>
      </c>
      <c r="B540" s="6" t="s">
        <v>168</v>
      </c>
      <c r="C540" s="6">
        <v>11</v>
      </c>
      <c r="D540" s="63">
        <v>5</v>
      </c>
      <c r="E540" s="62">
        <v>21037</v>
      </c>
      <c r="F540" s="62">
        <f t="shared" si="203"/>
        <v>63</v>
      </c>
      <c r="G540" s="62">
        <f t="shared" si="203"/>
        <v>363660.12000000005</v>
      </c>
      <c r="H540" s="61">
        <v>6</v>
      </c>
      <c r="I540" s="61">
        <v>12597.5</v>
      </c>
      <c r="J540" s="61">
        <f t="shared" si="204"/>
        <v>43</v>
      </c>
      <c r="K540" s="61">
        <f t="shared" si="204"/>
        <v>274430.01</v>
      </c>
      <c r="L540" s="6">
        <v>2</v>
      </c>
      <c r="M540" s="6">
        <v>4000</v>
      </c>
      <c r="N540" s="62">
        <f t="shared" si="205"/>
        <v>54</v>
      </c>
      <c r="O540" s="62">
        <f t="shared" si="206"/>
        <v>251263.70000000004</v>
      </c>
    </row>
    <row r="541" spans="1:15" x14ac:dyDescent="0.25">
      <c r="A541" s="6" t="s">
        <v>102</v>
      </c>
      <c r="B541" s="6" t="s">
        <v>169</v>
      </c>
      <c r="C541" s="6">
        <v>12</v>
      </c>
      <c r="D541" s="63">
        <v>4</v>
      </c>
      <c r="E541" s="62">
        <v>20842</v>
      </c>
      <c r="F541" s="62">
        <f t="shared" si="203"/>
        <v>67</v>
      </c>
      <c r="G541" s="62">
        <f t="shared" si="203"/>
        <v>384502.12000000005</v>
      </c>
      <c r="H541" s="61">
        <v>4</v>
      </c>
      <c r="I541" s="61">
        <v>30244.29</v>
      </c>
      <c r="J541" s="61">
        <f t="shared" si="204"/>
        <v>47</v>
      </c>
      <c r="K541" s="61">
        <f t="shared" si="204"/>
        <v>304674.3</v>
      </c>
      <c r="L541" s="6">
        <v>1</v>
      </c>
      <c r="M541" s="6">
        <v>7602.84</v>
      </c>
      <c r="N541" s="62">
        <f t="shared" si="205"/>
        <v>55</v>
      </c>
      <c r="O541" s="62">
        <f t="shared" si="206"/>
        <v>258866.54000000004</v>
      </c>
    </row>
    <row r="542" spans="1:15" x14ac:dyDescent="0.25">
      <c r="A542" s="6" t="s">
        <v>113</v>
      </c>
      <c r="B542" s="6" t="s">
        <v>158</v>
      </c>
      <c r="C542" s="6">
        <v>1</v>
      </c>
      <c r="D542" s="63">
        <v>0</v>
      </c>
      <c r="E542" s="63">
        <v>0</v>
      </c>
      <c r="F542" s="62">
        <f>D542</f>
        <v>0</v>
      </c>
      <c r="G542" s="62">
        <f>E542</f>
        <v>0</v>
      </c>
      <c r="H542" s="61">
        <v>0</v>
      </c>
      <c r="I542" s="61">
        <v>0</v>
      </c>
      <c r="J542" s="61">
        <f>H542</f>
        <v>0</v>
      </c>
      <c r="K542" s="61">
        <f>I542</f>
        <v>0</v>
      </c>
      <c r="L542" s="6">
        <v>0</v>
      </c>
      <c r="M542" s="6">
        <v>0</v>
      </c>
      <c r="N542" s="62">
        <f>L542</f>
        <v>0</v>
      </c>
      <c r="O542" s="62">
        <f>M542</f>
        <v>0</v>
      </c>
    </row>
    <row r="543" spans="1:15" x14ac:dyDescent="0.25">
      <c r="A543" s="6" t="s">
        <v>113</v>
      </c>
      <c r="B543" s="6" t="s">
        <v>159</v>
      </c>
      <c r="C543" s="6">
        <v>2</v>
      </c>
      <c r="D543" s="63">
        <v>0</v>
      </c>
      <c r="E543" s="63">
        <v>0</v>
      </c>
      <c r="F543" s="62">
        <f t="shared" ref="F543:G553" si="207">F542+D543</f>
        <v>0</v>
      </c>
      <c r="G543" s="62">
        <f t="shared" si="207"/>
        <v>0</v>
      </c>
      <c r="H543" s="61">
        <v>3</v>
      </c>
      <c r="I543" s="61">
        <v>1000</v>
      </c>
      <c r="J543" s="61">
        <f t="shared" ref="J543:K553" si="208">J542+H543</f>
        <v>3</v>
      </c>
      <c r="K543" s="61">
        <f t="shared" si="208"/>
        <v>1000</v>
      </c>
      <c r="L543" s="6">
        <v>0</v>
      </c>
      <c r="M543" s="6">
        <v>0</v>
      </c>
      <c r="N543" s="62">
        <f t="shared" ref="N543:N553" si="209">N542+L543</f>
        <v>0</v>
      </c>
      <c r="O543" s="62">
        <f t="shared" ref="O543:O553" si="210">O542+M543</f>
        <v>0</v>
      </c>
    </row>
    <row r="544" spans="1:15" x14ac:dyDescent="0.25">
      <c r="A544" s="6" t="s">
        <v>113</v>
      </c>
      <c r="B544" s="6" t="s">
        <v>160</v>
      </c>
      <c r="C544" s="6">
        <v>3</v>
      </c>
      <c r="D544" s="63">
        <v>0</v>
      </c>
      <c r="E544" s="63">
        <v>0</v>
      </c>
      <c r="F544" s="62">
        <f t="shared" si="207"/>
        <v>0</v>
      </c>
      <c r="G544" s="62">
        <f t="shared" si="207"/>
        <v>0</v>
      </c>
      <c r="H544" s="61">
        <v>0</v>
      </c>
      <c r="I544" s="61">
        <v>0</v>
      </c>
      <c r="J544" s="61">
        <f t="shared" si="208"/>
        <v>3</v>
      </c>
      <c r="K544" s="61">
        <f t="shared" si="208"/>
        <v>1000</v>
      </c>
      <c r="L544" s="6">
        <v>1</v>
      </c>
      <c r="M544" s="6">
        <v>320.10000000000002</v>
      </c>
      <c r="N544" s="62">
        <f t="shared" si="209"/>
        <v>1</v>
      </c>
      <c r="O544" s="62">
        <f t="shared" si="210"/>
        <v>320.10000000000002</v>
      </c>
    </row>
    <row r="545" spans="1:15" x14ac:dyDescent="0.25">
      <c r="A545" s="6" t="s">
        <v>113</v>
      </c>
      <c r="B545" s="6" t="s">
        <v>161</v>
      </c>
      <c r="C545" s="6">
        <v>4</v>
      </c>
      <c r="D545" s="63">
        <v>0</v>
      </c>
      <c r="E545" s="63">
        <v>0</v>
      </c>
      <c r="F545" s="62">
        <f t="shared" si="207"/>
        <v>0</v>
      </c>
      <c r="G545" s="62">
        <f t="shared" si="207"/>
        <v>0</v>
      </c>
      <c r="H545" s="61">
        <v>0</v>
      </c>
      <c r="I545" s="61">
        <v>0</v>
      </c>
      <c r="J545" s="61">
        <f t="shared" si="208"/>
        <v>3</v>
      </c>
      <c r="K545" s="61">
        <f t="shared" si="208"/>
        <v>1000</v>
      </c>
      <c r="L545" s="6">
        <v>2</v>
      </c>
      <c r="M545" s="6">
        <v>2294.8000000000002</v>
      </c>
      <c r="N545" s="62">
        <f t="shared" si="209"/>
        <v>3</v>
      </c>
      <c r="O545" s="62">
        <f t="shared" si="210"/>
        <v>2614.9</v>
      </c>
    </row>
    <row r="546" spans="1:15" x14ac:dyDescent="0.25">
      <c r="A546" s="6" t="s">
        <v>113</v>
      </c>
      <c r="B546" s="6" t="s">
        <v>162</v>
      </c>
      <c r="C546" s="6">
        <v>5</v>
      </c>
      <c r="D546" s="63">
        <v>0</v>
      </c>
      <c r="E546" s="63">
        <v>0</v>
      </c>
      <c r="F546" s="62">
        <f t="shared" si="207"/>
        <v>0</v>
      </c>
      <c r="G546" s="62">
        <f t="shared" si="207"/>
        <v>0</v>
      </c>
      <c r="H546" s="61">
        <v>0</v>
      </c>
      <c r="I546" s="61">
        <v>0</v>
      </c>
      <c r="J546" s="61">
        <f t="shared" si="208"/>
        <v>3</v>
      </c>
      <c r="K546" s="61">
        <f t="shared" si="208"/>
        <v>1000</v>
      </c>
      <c r="L546" s="6">
        <v>1</v>
      </c>
      <c r="M546" s="6">
        <v>2400</v>
      </c>
      <c r="N546" s="62">
        <f t="shared" si="209"/>
        <v>4</v>
      </c>
      <c r="O546" s="62">
        <f t="shared" si="210"/>
        <v>5014.8999999999996</v>
      </c>
    </row>
    <row r="547" spans="1:15" x14ac:dyDescent="0.25">
      <c r="A547" s="6" t="s">
        <v>113</v>
      </c>
      <c r="B547" s="6" t="s">
        <v>163</v>
      </c>
      <c r="C547" s="6">
        <v>6</v>
      </c>
      <c r="D547" s="63">
        <v>0</v>
      </c>
      <c r="E547" s="63">
        <v>0</v>
      </c>
      <c r="F547" s="62">
        <f t="shared" si="207"/>
        <v>0</v>
      </c>
      <c r="G547" s="62">
        <f t="shared" si="207"/>
        <v>0</v>
      </c>
      <c r="H547" s="61">
        <v>2</v>
      </c>
      <c r="I547" s="61">
        <v>1175</v>
      </c>
      <c r="J547" s="61">
        <f t="shared" si="208"/>
        <v>5</v>
      </c>
      <c r="K547" s="61">
        <f t="shared" si="208"/>
        <v>2175</v>
      </c>
      <c r="L547" s="6">
        <v>1</v>
      </c>
      <c r="M547" s="6">
        <v>550</v>
      </c>
      <c r="N547" s="62">
        <f t="shared" si="209"/>
        <v>5</v>
      </c>
      <c r="O547" s="62">
        <f t="shared" si="210"/>
        <v>5564.9</v>
      </c>
    </row>
    <row r="548" spans="1:15" x14ac:dyDescent="0.25">
      <c r="A548" s="6" t="s">
        <v>113</v>
      </c>
      <c r="B548" s="6" t="s">
        <v>164</v>
      </c>
      <c r="C548" s="6">
        <v>7</v>
      </c>
      <c r="D548" s="63">
        <v>0</v>
      </c>
      <c r="E548" s="63">
        <v>0</v>
      </c>
      <c r="F548" s="62">
        <f t="shared" si="207"/>
        <v>0</v>
      </c>
      <c r="G548" s="62">
        <f t="shared" si="207"/>
        <v>0</v>
      </c>
      <c r="H548" s="61">
        <v>1</v>
      </c>
      <c r="I548" s="61">
        <v>1150</v>
      </c>
      <c r="J548" s="61">
        <f t="shared" si="208"/>
        <v>6</v>
      </c>
      <c r="K548" s="61">
        <f t="shared" si="208"/>
        <v>3325</v>
      </c>
      <c r="L548" s="6">
        <v>0</v>
      </c>
      <c r="M548" s="6">
        <v>0</v>
      </c>
      <c r="N548" s="62">
        <f t="shared" si="209"/>
        <v>5</v>
      </c>
      <c r="O548" s="62">
        <f t="shared" si="210"/>
        <v>5564.9</v>
      </c>
    </row>
    <row r="549" spans="1:15" x14ac:dyDescent="0.25">
      <c r="A549" s="6" t="s">
        <v>113</v>
      </c>
      <c r="B549" s="6" t="s">
        <v>165</v>
      </c>
      <c r="C549" s="6">
        <v>8</v>
      </c>
      <c r="D549" s="63">
        <v>0</v>
      </c>
      <c r="E549" s="63">
        <v>0</v>
      </c>
      <c r="F549" s="62">
        <f t="shared" si="207"/>
        <v>0</v>
      </c>
      <c r="G549" s="62">
        <f t="shared" si="207"/>
        <v>0</v>
      </c>
      <c r="H549" s="61">
        <v>2</v>
      </c>
      <c r="I549" s="61">
        <v>1411.25</v>
      </c>
      <c r="J549" s="61">
        <f t="shared" si="208"/>
        <v>8</v>
      </c>
      <c r="K549" s="61">
        <f t="shared" si="208"/>
        <v>4736.25</v>
      </c>
      <c r="L549" s="6">
        <v>2</v>
      </c>
      <c r="M549" s="6">
        <v>425</v>
      </c>
      <c r="N549" s="62">
        <f t="shared" si="209"/>
        <v>7</v>
      </c>
      <c r="O549" s="62">
        <f t="shared" si="210"/>
        <v>5989.9</v>
      </c>
    </row>
    <row r="550" spans="1:15" x14ac:dyDescent="0.25">
      <c r="A550" s="6" t="s">
        <v>113</v>
      </c>
      <c r="B550" s="6" t="s">
        <v>166</v>
      </c>
      <c r="C550" s="6">
        <v>9</v>
      </c>
      <c r="D550" s="63">
        <v>0</v>
      </c>
      <c r="E550" s="63">
        <v>0</v>
      </c>
      <c r="F550" s="62">
        <f t="shared" si="207"/>
        <v>0</v>
      </c>
      <c r="G550" s="62">
        <f t="shared" si="207"/>
        <v>0</v>
      </c>
      <c r="H550" s="61">
        <v>0</v>
      </c>
      <c r="I550" s="61">
        <v>0</v>
      </c>
      <c r="J550" s="61">
        <f t="shared" si="208"/>
        <v>8</v>
      </c>
      <c r="K550" s="61">
        <f t="shared" si="208"/>
        <v>4736.25</v>
      </c>
      <c r="L550" s="6">
        <v>0</v>
      </c>
      <c r="M550" s="6">
        <v>0</v>
      </c>
      <c r="N550" s="62">
        <f t="shared" si="209"/>
        <v>7</v>
      </c>
      <c r="O550" s="62">
        <f t="shared" si="210"/>
        <v>5989.9</v>
      </c>
    </row>
    <row r="551" spans="1:15" x14ac:dyDescent="0.25">
      <c r="A551" s="6" t="s">
        <v>113</v>
      </c>
      <c r="B551" s="6" t="s">
        <v>167</v>
      </c>
      <c r="C551" s="6">
        <v>10</v>
      </c>
      <c r="D551" s="63">
        <v>0</v>
      </c>
      <c r="E551" s="63">
        <v>0</v>
      </c>
      <c r="F551" s="62">
        <f t="shared" si="207"/>
        <v>0</v>
      </c>
      <c r="G551" s="62">
        <f t="shared" si="207"/>
        <v>0</v>
      </c>
      <c r="H551" s="61">
        <v>2</v>
      </c>
      <c r="I551" s="61">
        <v>580</v>
      </c>
      <c r="J551" s="61">
        <f t="shared" si="208"/>
        <v>10</v>
      </c>
      <c r="K551" s="61">
        <f t="shared" si="208"/>
        <v>5316.25</v>
      </c>
      <c r="L551" s="6">
        <v>2</v>
      </c>
      <c r="M551" s="6">
        <v>340</v>
      </c>
      <c r="N551" s="62">
        <f t="shared" si="209"/>
        <v>9</v>
      </c>
      <c r="O551" s="62">
        <f t="shared" si="210"/>
        <v>6329.9</v>
      </c>
    </row>
    <row r="552" spans="1:15" x14ac:dyDescent="0.25">
      <c r="A552" s="6" t="s">
        <v>113</v>
      </c>
      <c r="B552" s="6" t="s">
        <v>168</v>
      </c>
      <c r="C552" s="6">
        <v>11</v>
      </c>
      <c r="D552" s="63">
        <v>0</v>
      </c>
      <c r="E552" s="63">
        <v>0</v>
      </c>
      <c r="F552" s="62">
        <f t="shared" si="207"/>
        <v>0</v>
      </c>
      <c r="G552" s="62">
        <f t="shared" si="207"/>
        <v>0</v>
      </c>
      <c r="H552" s="61">
        <v>0</v>
      </c>
      <c r="I552" s="61">
        <v>0</v>
      </c>
      <c r="J552" s="61">
        <f t="shared" si="208"/>
        <v>10</v>
      </c>
      <c r="K552" s="61">
        <f t="shared" si="208"/>
        <v>5316.25</v>
      </c>
      <c r="L552" s="6">
        <v>1</v>
      </c>
      <c r="M552" s="6">
        <v>2400</v>
      </c>
      <c r="N552" s="62">
        <f t="shared" si="209"/>
        <v>10</v>
      </c>
      <c r="O552" s="62">
        <f t="shared" si="210"/>
        <v>8729.9</v>
      </c>
    </row>
    <row r="553" spans="1:15" x14ac:dyDescent="0.25">
      <c r="A553" s="6" t="s">
        <v>113</v>
      </c>
      <c r="B553" s="6" t="s">
        <v>169</v>
      </c>
      <c r="C553" s="6">
        <v>12</v>
      </c>
      <c r="D553" s="63">
        <v>0</v>
      </c>
      <c r="E553" s="63">
        <v>0</v>
      </c>
      <c r="F553" s="62">
        <f t="shared" si="207"/>
        <v>0</v>
      </c>
      <c r="G553" s="62">
        <f t="shared" si="207"/>
        <v>0</v>
      </c>
      <c r="H553" s="61">
        <v>0</v>
      </c>
      <c r="I553" s="61">
        <v>0</v>
      </c>
      <c r="J553" s="61">
        <f t="shared" si="208"/>
        <v>10</v>
      </c>
      <c r="K553" s="61">
        <f t="shared" si="208"/>
        <v>5316.25</v>
      </c>
      <c r="L553" s="6">
        <v>0</v>
      </c>
      <c r="M553" s="6">
        <v>0</v>
      </c>
      <c r="N553" s="62">
        <f t="shared" si="209"/>
        <v>10</v>
      </c>
      <c r="O553" s="62">
        <f t="shared" si="210"/>
        <v>8729.9</v>
      </c>
    </row>
    <row r="554" spans="1:15" x14ac:dyDescent="0.25">
      <c r="A554" s="6" t="s">
        <v>100</v>
      </c>
      <c r="B554" s="6" t="s">
        <v>158</v>
      </c>
      <c r="C554" s="6">
        <v>1</v>
      </c>
      <c r="D554" s="63">
        <v>0</v>
      </c>
      <c r="E554" s="63">
        <v>0</v>
      </c>
      <c r="F554" s="62">
        <f>D554</f>
        <v>0</v>
      </c>
      <c r="G554" s="62">
        <f>E554</f>
        <v>0</v>
      </c>
      <c r="H554" s="61">
        <v>0</v>
      </c>
      <c r="I554" s="61">
        <v>0</v>
      </c>
      <c r="J554" s="61">
        <f>H554</f>
        <v>0</v>
      </c>
      <c r="K554" s="61">
        <f>I554</f>
        <v>0</v>
      </c>
      <c r="L554" s="6">
        <v>0</v>
      </c>
      <c r="M554" s="6">
        <v>0</v>
      </c>
      <c r="N554" s="62">
        <f>L554</f>
        <v>0</v>
      </c>
      <c r="O554" s="62">
        <f>M554</f>
        <v>0</v>
      </c>
    </row>
    <row r="555" spans="1:15" x14ac:dyDescent="0.25">
      <c r="A555" s="6" t="s">
        <v>100</v>
      </c>
      <c r="B555" s="6" t="s">
        <v>159</v>
      </c>
      <c r="C555" s="6">
        <v>2</v>
      </c>
      <c r="D555" s="63">
        <v>0</v>
      </c>
      <c r="E555" s="63">
        <v>0</v>
      </c>
      <c r="F555" s="62">
        <f t="shared" ref="F555:G565" si="211">F554+D555</f>
        <v>0</v>
      </c>
      <c r="G555" s="62">
        <f t="shared" si="211"/>
        <v>0</v>
      </c>
      <c r="H555" s="61">
        <v>0</v>
      </c>
      <c r="I555" s="61">
        <v>0</v>
      </c>
      <c r="J555" s="61">
        <f t="shared" ref="J555:K565" si="212">J554+H555</f>
        <v>0</v>
      </c>
      <c r="K555" s="61">
        <f t="shared" si="212"/>
        <v>0</v>
      </c>
      <c r="L555" s="6">
        <v>1</v>
      </c>
      <c r="M555" s="6">
        <v>651.78</v>
      </c>
      <c r="N555" s="62">
        <f t="shared" ref="N555:N565" si="213">N554+L555</f>
        <v>1</v>
      </c>
      <c r="O555" s="62">
        <f t="shared" ref="O555:O565" si="214">O554+M555</f>
        <v>651.78</v>
      </c>
    </row>
    <row r="556" spans="1:15" x14ac:dyDescent="0.25">
      <c r="A556" s="6" t="s">
        <v>100</v>
      </c>
      <c r="B556" s="6" t="s">
        <v>160</v>
      </c>
      <c r="C556" s="6">
        <v>3</v>
      </c>
      <c r="D556" s="63">
        <v>0</v>
      </c>
      <c r="E556" s="63">
        <v>0</v>
      </c>
      <c r="F556" s="62">
        <f t="shared" si="211"/>
        <v>0</v>
      </c>
      <c r="G556" s="62">
        <f t="shared" si="211"/>
        <v>0</v>
      </c>
      <c r="H556" s="61">
        <v>0</v>
      </c>
      <c r="I556" s="61">
        <v>0</v>
      </c>
      <c r="J556" s="61">
        <f t="shared" si="212"/>
        <v>0</v>
      </c>
      <c r="K556" s="61">
        <f t="shared" si="212"/>
        <v>0</v>
      </c>
      <c r="L556" s="6">
        <v>1</v>
      </c>
      <c r="M556" s="6">
        <v>1004</v>
      </c>
      <c r="N556" s="62">
        <f t="shared" si="213"/>
        <v>2</v>
      </c>
      <c r="O556" s="62">
        <f t="shared" si="214"/>
        <v>1655.78</v>
      </c>
    </row>
    <row r="557" spans="1:15" x14ac:dyDescent="0.25">
      <c r="A557" s="6" t="s">
        <v>100</v>
      </c>
      <c r="B557" s="6" t="s">
        <v>161</v>
      </c>
      <c r="C557" s="6">
        <v>4</v>
      </c>
      <c r="D557" s="63">
        <v>0</v>
      </c>
      <c r="E557" s="63">
        <v>0</v>
      </c>
      <c r="F557" s="62">
        <f t="shared" si="211"/>
        <v>0</v>
      </c>
      <c r="G557" s="62">
        <f t="shared" si="211"/>
        <v>0</v>
      </c>
      <c r="H557" s="61">
        <v>1</v>
      </c>
      <c r="I557" s="61">
        <v>220</v>
      </c>
      <c r="J557" s="61">
        <f t="shared" si="212"/>
        <v>1</v>
      </c>
      <c r="K557" s="61">
        <f t="shared" si="212"/>
        <v>220</v>
      </c>
      <c r="L557" s="6">
        <v>2</v>
      </c>
      <c r="M557" s="6">
        <v>2938.45</v>
      </c>
      <c r="N557" s="62">
        <f t="shared" si="213"/>
        <v>4</v>
      </c>
      <c r="O557" s="62">
        <f t="shared" si="214"/>
        <v>4594.2299999999996</v>
      </c>
    </row>
    <row r="558" spans="1:15" x14ac:dyDescent="0.25">
      <c r="A558" s="6" t="s">
        <v>100</v>
      </c>
      <c r="B558" s="6" t="s">
        <v>162</v>
      </c>
      <c r="C558" s="6">
        <v>5</v>
      </c>
      <c r="D558" s="63">
        <v>0</v>
      </c>
      <c r="E558" s="63">
        <v>0</v>
      </c>
      <c r="F558" s="62">
        <f t="shared" si="211"/>
        <v>0</v>
      </c>
      <c r="G558" s="62">
        <f t="shared" si="211"/>
        <v>0</v>
      </c>
      <c r="H558" s="61">
        <v>5</v>
      </c>
      <c r="I558" s="61">
        <v>5110.33</v>
      </c>
      <c r="J558" s="61">
        <f t="shared" si="212"/>
        <v>6</v>
      </c>
      <c r="K558" s="61">
        <f t="shared" si="212"/>
        <v>5330.33</v>
      </c>
      <c r="L558" s="6">
        <v>0</v>
      </c>
      <c r="M558" s="6">
        <v>0</v>
      </c>
      <c r="N558" s="62">
        <f t="shared" si="213"/>
        <v>4</v>
      </c>
      <c r="O558" s="62">
        <f t="shared" si="214"/>
        <v>4594.2299999999996</v>
      </c>
    </row>
    <row r="559" spans="1:15" x14ac:dyDescent="0.25">
      <c r="A559" s="6" t="s">
        <v>100</v>
      </c>
      <c r="B559" s="6" t="s">
        <v>163</v>
      </c>
      <c r="C559" s="6">
        <v>6</v>
      </c>
      <c r="D559" s="63">
        <v>0</v>
      </c>
      <c r="E559" s="63">
        <v>0</v>
      </c>
      <c r="F559" s="62">
        <f t="shared" si="211"/>
        <v>0</v>
      </c>
      <c r="G559" s="62">
        <f t="shared" si="211"/>
        <v>0</v>
      </c>
      <c r="H559" s="61">
        <v>0</v>
      </c>
      <c r="I559" s="61">
        <v>0</v>
      </c>
      <c r="J559" s="61">
        <f t="shared" si="212"/>
        <v>6</v>
      </c>
      <c r="K559" s="61">
        <f t="shared" si="212"/>
        <v>5330.33</v>
      </c>
      <c r="L559" s="6">
        <v>0</v>
      </c>
      <c r="M559" s="6">
        <v>0</v>
      </c>
      <c r="N559" s="62">
        <f t="shared" si="213"/>
        <v>4</v>
      </c>
      <c r="O559" s="62">
        <f t="shared" si="214"/>
        <v>4594.2299999999996</v>
      </c>
    </row>
    <row r="560" spans="1:15" x14ac:dyDescent="0.25">
      <c r="A560" s="6" t="s">
        <v>100</v>
      </c>
      <c r="B560" s="6" t="s">
        <v>164</v>
      </c>
      <c r="C560" s="6">
        <v>7</v>
      </c>
      <c r="D560" s="63">
        <v>0</v>
      </c>
      <c r="E560" s="63">
        <v>0</v>
      </c>
      <c r="F560" s="62">
        <f t="shared" si="211"/>
        <v>0</v>
      </c>
      <c r="G560" s="62">
        <f t="shared" si="211"/>
        <v>0</v>
      </c>
      <c r="H560" s="61">
        <v>0</v>
      </c>
      <c r="I560" s="61">
        <v>0</v>
      </c>
      <c r="J560" s="61">
        <f t="shared" si="212"/>
        <v>6</v>
      </c>
      <c r="K560" s="61">
        <f t="shared" si="212"/>
        <v>5330.33</v>
      </c>
      <c r="L560" s="6">
        <v>6</v>
      </c>
      <c r="M560" s="6">
        <v>20612.060000000001</v>
      </c>
      <c r="N560" s="62">
        <f t="shared" si="213"/>
        <v>10</v>
      </c>
      <c r="O560" s="62">
        <f t="shared" si="214"/>
        <v>25206.29</v>
      </c>
    </row>
    <row r="561" spans="1:15" x14ac:dyDescent="0.25">
      <c r="A561" s="6" t="s">
        <v>100</v>
      </c>
      <c r="B561" s="6" t="s">
        <v>165</v>
      </c>
      <c r="C561" s="6">
        <v>8</v>
      </c>
      <c r="D561" s="63">
        <v>0</v>
      </c>
      <c r="E561" s="63">
        <v>0</v>
      </c>
      <c r="F561" s="62">
        <f t="shared" si="211"/>
        <v>0</v>
      </c>
      <c r="G561" s="62">
        <f t="shared" si="211"/>
        <v>0</v>
      </c>
      <c r="H561" s="61">
        <v>0</v>
      </c>
      <c r="I561" s="61">
        <v>0</v>
      </c>
      <c r="J561" s="61">
        <f t="shared" si="212"/>
        <v>6</v>
      </c>
      <c r="K561" s="61">
        <f t="shared" si="212"/>
        <v>5330.33</v>
      </c>
      <c r="L561" s="6">
        <v>2</v>
      </c>
      <c r="M561" s="6">
        <v>975.9</v>
      </c>
      <c r="N561" s="62">
        <f t="shared" si="213"/>
        <v>12</v>
      </c>
      <c r="O561" s="62">
        <f t="shared" si="214"/>
        <v>26182.190000000002</v>
      </c>
    </row>
    <row r="562" spans="1:15" x14ac:dyDescent="0.25">
      <c r="A562" s="6" t="s">
        <v>100</v>
      </c>
      <c r="B562" s="6" t="s">
        <v>166</v>
      </c>
      <c r="C562" s="6">
        <v>9</v>
      </c>
      <c r="D562" s="63">
        <v>1</v>
      </c>
      <c r="E562" s="63">
        <v>816</v>
      </c>
      <c r="F562" s="62">
        <f t="shared" si="211"/>
        <v>1</v>
      </c>
      <c r="G562" s="62">
        <f t="shared" si="211"/>
        <v>816</v>
      </c>
      <c r="H562" s="61">
        <v>1</v>
      </c>
      <c r="I562" s="61">
        <v>1400</v>
      </c>
      <c r="J562" s="61">
        <f t="shared" si="212"/>
        <v>7</v>
      </c>
      <c r="K562" s="61">
        <f t="shared" si="212"/>
        <v>6730.33</v>
      </c>
      <c r="L562" s="6">
        <v>0</v>
      </c>
      <c r="M562" s="6">
        <v>0</v>
      </c>
      <c r="N562" s="62">
        <f t="shared" si="213"/>
        <v>12</v>
      </c>
      <c r="O562" s="62">
        <f t="shared" si="214"/>
        <v>26182.190000000002</v>
      </c>
    </row>
    <row r="563" spans="1:15" x14ac:dyDescent="0.25">
      <c r="A563" s="6" t="s">
        <v>100</v>
      </c>
      <c r="B563" s="6" t="s">
        <v>167</v>
      </c>
      <c r="C563" s="6">
        <v>10</v>
      </c>
      <c r="D563" s="63">
        <v>1</v>
      </c>
      <c r="E563" s="63">
        <v>240</v>
      </c>
      <c r="F563" s="62">
        <f t="shared" si="211"/>
        <v>2</v>
      </c>
      <c r="G563" s="62">
        <f t="shared" si="211"/>
        <v>1056</v>
      </c>
      <c r="H563" s="61">
        <v>2</v>
      </c>
      <c r="I563" s="61">
        <v>3465.3500000000004</v>
      </c>
      <c r="J563" s="61">
        <f t="shared" si="212"/>
        <v>9</v>
      </c>
      <c r="K563" s="61">
        <f t="shared" si="212"/>
        <v>10195.68</v>
      </c>
      <c r="L563" s="6">
        <v>4</v>
      </c>
      <c r="M563" s="6">
        <v>8859.44</v>
      </c>
      <c r="N563" s="62">
        <f t="shared" si="213"/>
        <v>16</v>
      </c>
      <c r="O563" s="62">
        <f t="shared" si="214"/>
        <v>35041.630000000005</v>
      </c>
    </row>
    <row r="564" spans="1:15" x14ac:dyDescent="0.25">
      <c r="A564" s="6" t="s">
        <v>100</v>
      </c>
      <c r="B564" s="6" t="s">
        <v>168</v>
      </c>
      <c r="C564" s="6">
        <v>11</v>
      </c>
      <c r="D564" s="63">
        <v>2</v>
      </c>
      <c r="E564" s="63">
        <v>397.7</v>
      </c>
      <c r="F564" s="62">
        <f t="shared" si="211"/>
        <v>4</v>
      </c>
      <c r="G564" s="62">
        <f t="shared" si="211"/>
        <v>1453.7</v>
      </c>
      <c r="H564" s="61">
        <v>0</v>
      </c>
      <c r="I564" s="61">
        <v>0</v>
      </c>
      <c r="J564" s="61">
        <f t="shared" si="212"/>
        <v>9</v>
      </c>
      <c r="K564" s="61">
        <f t="shared" si="212"/>
        <v>10195.68</v>
      </c>
      <c r="L564" s="6">
        <v>4</v>
      </c>
      <c r="M564" s="6">
        <v>4201.03</v>
      </c>
      <c r="N564" s="62">
        <f t="shared" si="213"/>
        <v>20</v>
      </c>
      <c r="O564" s="62">
        <f t="shared" si="214"/>
        <v>39242.660000000003</v>
      </c>
    </row>
    <row r="565" spans="1:15" x14ac:dyDescent="0.25">
      <c r="A565" s="6" t="s">
        <v>100</v>
      </c>
      <c r="B565" s="6" t="s">
        <v>169</v>
      </c>
      <c r="C565" s="6">
        <v>12</v>
      </c>
      <c r="D565" s="63">
        <v>1</v>
      </c>
      <c r="E565" s="63">
        <v>4184</v>
      </c>
      <c r="F565" s="62">
        <f t="shared" si="211"/>
        <v>5</v>
      </c>
      <c r="G565" s="62">
        <f t="shared" si="211"/>
        <v>5637.7</v>
      </c>
      <c r="H565" s="61">
        <v>1</v>
      </c>
      <c r="I565" s="61">
        <v>2000</v>
      </c>
      <c r="J565" s="61">
        <f t="shared" si="212"/>
        <v>10</v>
      </c>
      <c r="K565" s="61">
        <f t="shared" si="212"/>
        <v>12195.68</v>
      </c>
      <c r="L565" s="6">
        <v>0</v>
      </c>
      <c r="M565" s="6">
        <v>0</v>
      </c>
      <c r="N565" s="62">
        <f t="shared" si="213"/>
        <v>20</v>
      </c>
      <c r="O565" s="62">
        <f t="shared" si="214"/>
        <v>39242.660000000003</v>
      </c>
    </row>
    <row r="566" spans="1:15" x14ac:dyDescent="0.25">
      <c r="A566" s="6" t="s">
        <v>67</v>
      </c>
      <c r="B566" s="6" t="s">
        <v>158</v>
      </c>
      <c r="C566" s="6">
        <v>1</v>
      </c>
      <c r="D566" s="63">
        <v>0</v>
      </c>
      <c r="E566" s="63">
        <v>0</v>
      </c>
      <c r="F566" s="62">
        <f>D566</f>
        <v>0</v>
      </c>
      <c r="G566" s="62">
        <f>E566</f>
        <v>0</v>
      </c>
      <c r="H566" s="62">
        <v>0</v>
      </c>
      <c r="I566" s="62">
        <v>0</v>
      </c>
      <c r="J566" s="62">
        <f>H566</f>
        <v>0</v>
      </c>
      <c r="K566" s="62">
        <f>I566</f>
        <v>0</v>
      </c>
      <c r="L566" s="6">
        <v>0</v>
      </c>
      <c r="M566" s="6">
        <v>0</v>
      </c>
      <c r="N566" s="62">
        <f>L566</f>
        <v>0</v>
      </c>
      <c r="O566" s="62">
        <f>M566</f>
        <v>0</v>
      </c>
    </row>
    <row r="567" spans="1:15" x14ac:dyDescent="0.25">
      <c r="A567" s="6" t="s">
        <v>67</v>
      </c>
      <c r="B567" s="6" t="s">
        <v>159</v>
      </c>
      <c r="C567" s="6">
        <v>2</v>
      </c>
      <c r="D567" s="63">
        <v>0</v>
      </c>
      <c r="E567" s="63">
        <v>0</v>
      </c>
      <c r="F567" s="62">
        <f t="shared" ref="F567:F577" si="215">F566+D567</f>
        <v>0</v>
      </c>
      <c r="G567" s="62">
        <f t="shared" ref="G567:G577" si="216">G566+E567</f>
        <v>0</v>
      </c>
      <c r="H567" s="62">
        <v>0</v>
      </c>
      <c r="I567" s="62">
        <v>0</v>
      </c>
      <c r="J567" s="62">
        <f t="shared" ref="J567:J577" si="217">J566+H567</f>
        <v>0</v>
      </c>
      <c r="K567" s="62">
        <f t="shared" ref="K567:K577" si="218">K566+I567</f>
        <v>0</v>
      </c>
      <c r="L567" s="6">
        <v>0</v>
      </c>
      <c r="M567" s="6">
        <v>0</v>
      </c>
      <c r="N567" s="62">
        <f t="shared" ref="N567:N577" si="219">N566+L567</f>
        <v>0</v>
      </c>
      <c r="O567" s="62">
        <f t="shared" ref="O567:O577" si="220">O566+M567</f>
        <v>0</v>
      </c>
    </row>
    <row r="568" spans="1:15" x14ac:dyDescent="0.25">
      <c r="A568" s="6" t="s">
        <v>67</v>
      </c>
      <c r="B568" s="6" t="s">
        <v>160</v>
      </c>
      <c r="C568" s="6">
        <v>3</v>
      </c>
      <c r="D568" s="63">
        <v>0</v>
      </c>
      <c r="E568" s="63">
        <v>0</v>
      </c>
      <c r="F568" s="62">
        <f t="shared" si="215"/>
        <v>0</v>
      </c>
      <c r="G568" s="62">
        <f t="shared" si="216"/>
        <v>0</v>
      </c>
      <c r="H568" s="62">
        <v>0</v>
      </c>
      <c r="I568" s="62">
        <v>0</v>
      </c>
      <c r="J568" s="62">
        <f t="shared" si="217"/>
        <v>0</v>
      </c>
      <c r="K568" s="62">
        <f t="shared" si="218"/>
        <v>0</v>
      </c>
      <c r="L568" s="6">
        <v>0</v>
      </c>
      <c r="M568" s="6">
        <v>0</v>
      </c>
      <c r="N568" s="62">
        <f t="shared" si="219"/>
        <v>0</v>
      </c>
      <c r="O568" s="62">
        <f t="shared" si="220"/>
        <v>0</v>
      </c>
    </row>
    <row r="569" spans="1:15" x14ac:dyDescent="0.25">
      <c r="A569" s="6" t="s">
        <v>67</v>
      </c>
      <c r="B569" s="6" t="s">
        <v>161</v>
      </c>
      <c r="C569" s="6">
        <v>4</v>
      </c>
      <c r="D569" s="63">
        <v>0</v>
      </c>
      <c r="E569" s="63">
        <v>0</v>
      </c>
      <c r="F569" s="62">
        <f t="shared" si="215"/>
        <v>0</v>
      </c>
      <c r="G569" s="62">
        <f t="shared" si="216"/>
        <v>0</v>
      </c>
      <c r="H569" s="62">
        <v>0</v>
      </c>
      <c r="I569" s="62">
        <v>0</v>
      </c>
      <c r="J569" s="62">
        <f t="shared" si="217"/>
        <v>0</v>
      </c>
      <c r="K569" s="62">
        <f t="shared" si="218"/>
        <v>0</v>
      </c>
      <c r="L569" s="6">
        <v>0</v>
      </c>
      <c r="M569" s="6">
        <v>0</v>
      </c>
      <c r="N569" s="62">
        <f t="shared" si="219"/>
        <v>0</v>
      </c>
      <c r="O569" s="62">
        <f t="shared" si="220"/>
        <v>0</v>
      </c>
    </row>
    <row r="570" spans="1:15" x14ac:dyDescent="0.25">
      <c r="A570" s="6" t="s">
        <v>67</v>
      </c>
      <c r="B570" s="6" t="s">
        <v>162</v>
      </c>
      <c r="C570" s="6">
        <v>5</v>
      </c>
      <c r="D570" s="63">
        <v>0</v>
      </c>
      <c r="E570" s="63">
        <v>0</v>
      </c>
      <c r="F570" s="62">
        <f t="shared" si="215"/>
        <v>0</v>
      </c>
      <c r="G570" s="62">
        <f t="shared" si="216"/>
        <v>0</v>
      </c>
      <c r="H570" s="62">
        <v>0</v>
      </c>
      <c r="I570" s="62">
        <v>0</v>
      </c>
      <c r="J570" s="62">
        <f t="shared" si="217"/>
        <v>0</v>
      </c>
      <c r="K570" s="62">
        <f t="shared" si="218"/>
        <v>0</v>
      </c>
      <c r="L570" s="6">
        <v>1</v>
      </c>
      <c r="M570" s="6">
        <v>100</v>
      </c>
      <c r="N570" s="62">
        <f t="shared" si="219"/>
        <v>1</v>
      </c>
      <c r="O570" s="62">
        <f t="shared" si="220"/>
        <v>100</v>
      </c>
    </row>
    <row r="571" spans="1:15" x14ac:dyDescent="0.25">
      <c r="A571" s="6" t="s">
        <v>67</v>
      </c>
      <c r="B571" s="6" t="s">
        <v>163</v>
      </c>
      <c r="C571" s="6">
        <v>6</v>
      </c>
      <c r="D571" s="63">
        <v>0</v>
      </c>
      <c r="E571" s="63">
        <v>0</v>
      </c>
      <c r="F571" s="62">
        <f t="shared" si="215"/>
        <v>0</v>
      </c>
      <c r="G571" s="62">
        <f t="shared" si="216"/>
        <v>0</v>
      </c>
      <c r="H571" s="62">
        <v>0</v>
      </c>
      <c r="I571" s="62">
        <v>0</v>
      </c>
      <c r="J571" s="62">
        <f t="shared" si="217"/>
        <v>0</v>
      </c>
      <c r="K571" s="62">
        <f t="shared" si="218"/>
        <v>0</v>
      </c>
      <c r="L571" s="6">
        <v>0</v>
      </c>
      <c r="M571" s="6">
        <v>0</v>
      </c>
      <c r="N571" s="62">
        <f t="shared" si="219"/>
        <v>1</v>
      </c>
      <c r="O571" s="62">
        <f t="shared" si="220"/>
        <v>100</v>
      </c>
    </row>
    <row r="572" spans="1:15" x14ac:dyDescent="0.25">
      <c r="A572" s="6" t="s">
        <v>67</v>
      </c>
      <c r="B572" s="6" t="s">
        <v>164</v>
      </c>
      <c r="C572" s="6">
        <v>7</v>
      </c>
      <c r="D572" s="63">
        <v>0</v>
      </c>
      <c r="E572" s="63">
        <v>0</v>
      </c>
      <c r="F572" s="62">
        <f t="shared" si="215"/>
        <v>0</v>
      </c>
      <c r="G572" s="62">
        <f t="shared" si="216"/>
        <v>0</v>
      </c>
      <c r="H572" s="62">
        <v>0</v>
      </c>
      <c r="I572" s="62">
        <v>0</v>
      </c>
      <c r="J572" s="62">
        <f t="shared" si="217"/>
        <v>0</v>
      </c>
      <c r="K572" s="62">
        <f t="shared" si="218"/>
        <v>0</v>
      </c>
      <c r="L572" s="6">
        <v>0</v>
      </c>
      <c r="M572" s="6">
        <v>0</v>
      </c>
      <c r="N572" s="62">
        <f t="shared" si="219"/>
        <v>1</v>
      </c>
      <c r="O572" s="62">
        <f t="shared" si="220"/>
        <v>100</v>
      </c>
    </row>
    <row r="573" spans="1:15" x14ac:dyDescent="0.25">
      <c r="A573" s="6" t="s">
        <v>67</v>
      </c>
      <c r="B573" s="6" t="s">
        <v>165</v>
      </c>
      <c r="C573" s="6">
        <v>8</v>
      </c>
      <c r="D573" s="63">
        <v>0</v>
      </c>
      <c r="E573" s="63">
        <v>0</v>
      </c>
      <c r="F573" s="62">
        <f t="shared" si="215"/>
        <v>0</v>
      </c>
      <c r="G573" s="62">
        <f t="shared" si="216"/>
        <v>0</v>
      </c>
      <c r="H573" s="62">
        <v>0</v>
      </c>
      <c r="I573" s="62">
        <v>0</v>
      </c>
      <c r="J573" s="62">
        <f t="shared" si="217"/>
        <v>0</v>
      </c>
      <c r="K573" s="62">
        <f t="shared" si="218"/>
        <v>0</v>
      </c>
      <c r="L573" s="6">
        <v>1</v>
      </c>
      <c r="M573" s="6">
        <v>200</v>
      </c>
      <c r="N573" s="62">
        <f t="shared" si="219"/>
        <v>2</v>
      </c>
      <c r="O573" s="62">
        <f t="shared" si="220"/>
        <v>300</v>
      </c>
    </row>
    <row r="574" spans="1:15" x14ac:dyDescent="0.25">
      <c r="A574" s="6" t="s">
        <v>67</v>
      </c>
      <c r="B574" s="6" t="s">
        <v>166</v>
      </c>
      <c r="C574" s="6">
        <v>9</v>
      </c>
      <c r="D574" s="63">
        <v>0</v>
      </c>
      <c r="E574" s="63">
        <v>0</v>
      </c>
      <c r="F574" s="62">
        <f t="shared" si="215"/>
        <v>0</v>
      </c>
      <c r="G574" s="62">
        <f t="shared" si="216"/>
        <v>0</v>
      </c>
      <c r="H574" s="62">
        <v>0</v>
      </c>
      <c r="I574" s="62">
        <v>0</v>
      </c>
      <c r="J574" s="62">
        <f t="shared" si="217"/>
        <v>0</v>
      </c>
      <c r="K574" s="62">
        <f t="shared" si="218"/>
        <v>0</v>
      </c>
      <c r="L574" s="6">
        <v>0</v>
      </c>
      <c r="M574" s="6">
        <v>0</v>
      </c>
      <c r="N574" s="62">
        <f t="shared" si="219"/>
        <v>2</v>
      </c>
      <c r="O574" s="62">
        <f t="shared" si="220"/>
        <v>300</v>
      </c>
    </row>
    <row r="575" spans="1:15" x14ac:dyDescent="0.25">
      <c r="A575" s="6" t="s">
        <v>67</v>
      </c>
      <c r="B575" s="6" t="s">
        <v>167</v>
      </c>
      <c r="C575" s="6">
        <v>10</v>
      </c>
      <c r="D575" s="63">
        <v>0</v>
      </c>
      <c r="E575" s="63">
        <v>0</v>
      </c>
      <c r="F575" s="62">
        <f t="shared" si="215"/>
        <v>0</v>
      </c>
      <c r="G575" s="62">
        <f t="shared" si="216"/>
        <v>0</v>
      </c>
      <c r="H575" s="62">
        <v>0</v>
      </c>
      <c r="I575" s="62">
        <v>0</v>
      </c>
      <c r="J575" s="62">
        <f t="shared" si="217"/>
        <v>0</v>
      </c>
      <c r="K575" s="62">
        <f t="shared" si="218"/>
        <v>0</v>
      </c>
      <c r="L575" s="6">
        <v>0</v>
      </c>
      <c r="M575" s="6">
        <v>0</v>
      </c>
      <c r="N575" s="62">
        <f t="shared" si="219"/>
        <v>2</v>
      </c>
      <c r="O575" s="62">
        <f t="shared" si="220"/>
        <v>300</v>
      </c>
    </row>
    <row r="576" spans="1:15" x14ac:dyDescent="0.25">
      <c r="A576" s="6" t="s">
        <v>67</v>
      </c>
      <c r="B576" s="6" t="s">
        <v>168</v>
      </c>
      <c r="C576" s="6">
        <v>11</v>
      </c>
      <c r="D576" s="63">
        <v>0</v>
      </c>
      <c r="E576" s="63">
        <v>0</v>
      </c>
      <c r="F576" s="62">
        <f t="shared" si="215"/>
        <v>0</v>
      </c>
      <c r="G576" s="62">
        <f t="shared" si="216"/>
        <v>0</v>
      </c>
      <c r="H576" s="62">
        <v>0</v>
      </c>
      <c r="I576" s="62">
        <v>0</v>
      </c>
      <c r="J576" s="62">
        <f t="shared" si="217"/>
        <v>0</v>
      </c>
      <c r="K576" s="62">
        <f t="shared" si="218"/>
        <v>0</v>
      </c>
      <c r="L576" s="6">
        <v>6</v>
      </c>
      <c r="M576" s="6">
        <v>3593.79</v>
      </c>
      <c r="N576" s="62">
        <f t="shared" si="219"/>
        <v>8</v>
      </c>
      <c r="O576" s="62">
        <f t="shared" si="220"/>
        <v>3893.79</v>
      </c>
    </row>
    <row r="577" spans="1:15" x14ac:dyDescent="0.25">
      <c r="A577" s="6" t="s">
        <v>67</v>
      </c>
      <c r="B577" s="6" t="s">
        <v>169</v>
      </c>
      <c r="C577" s="6">
        <v>12</v>
      </c>
      <c r="D577" s="63">
        <v>0</v>
      </c>
      <c r="E577" s="63">
        <v>0</v>
      </c>
      <c r="F577" s="62">
        <f t="shared" si="215"/>
        <v>0</v>
      </c>
      <c r="G577" s="62">
        <f t="shared" si="216"/>
        <v>0</v>
      </c>
      <c r="H577" s="62">
        <v>0</v>
      </c>
      <c r="I577" s="62">
        <v>0</v>
      </c>
      <c r="J577" s="62">
        <f t="shared" si="217"/>
        <v>0</v>
      </c>
      <c r="K577" s="62">
        <f t="shared" si="218"/>
        <v>0</v>
      </c>
      <c r="L577" s="6">
        <v>1</v>
      </c>
      <c r="M577" s="6">
        <v>180</v>
      </c>
      <c r="N577" s="62">
        <f t="shared" si="219"/>
        <v>9</v>
      </c>
      <c r="O577" s="62">
        <f t="shared" si="220"/>
        <v>4073.79</v>
      </c>
    </row>
    <row r="578" spans="1:15" x14ac:dyDescent="0.25">
      <c r="A578" s="6" t="s">
        <v>153</v>
      </c>
      <c r="B578" s="6" t="s">
        <v>158</v>
      </c>
      <c r="C578" s="6">
        <v>1</v>
      </c>
      <c r="D578" s="63">
        <v>0</v>
      </c>
      <c r="E578" s="63">
        <v>0</v>
      </c>
      <c r="F578" s="62">
        <f>D578</f>
        <v>0</v>
      </c>
      <c r="G578" s="62">
        <f>E578</f>
        <v>0</v>
      </c>
      <c r="H578" s="61">
        <v>2</v>
      </c>
      <c r="I578" s="61">
        <v>631.4</v>
      </c>
      <c r="J578" s="61">
        <f>H578</f>
        <v>2</v>
      </c>
      <c r="K578" s="61">
        <f>I578</f>
        <v>631.4</v>
      </c>
      <c r="L578" s="6">
        <v>4</v>
      </c>
      <c r="M578" s="6">
        <v>1551.42</v>
      </c>
      <c r="N578" s="62">
        <f>L578</f>
        <v>4</v>
      </c>
      <c r="O578" s="62">
        <f>M578</f>
        <v>1551.42</v>
      </c>
    </row>
    <row r="579" spans="1:15" x14ac:dyDescent="0.25">
      <c r="A579" s="6" t="s">
        <v>153</v>
      </c>
      <c r="B579" s="6" t="s">
        <v>159</v>
      </c>
      <c r="C579" s="6">
        <v>2</v>
      </c>
      <c r="D579" s="63">
        <v>1</v>
      </c>
      <c r="E579" s="63">
        <v>301.95</v>
      </c>
      <c r="F579" s="62">
        <f t="shared" ref="F579:G589" si="221">F578+D579</f>
        <v>1</v>
      </c>
      <c r="G579" s="62">
        <f t="shared" si="221"/>
        <v>301.95</v>
      </c>
      <c r="H579" s="61">
        <v>1</v>
      </c>
      <c r="I579" s="61">
        <v>2102.48</v>
      </c>
      <c r="J579" s="61">
        <f t="shared" ref="J579:K589" si="222">J578+H579</f>
        <v>3</v>
      </c>
      <c r="K579" s="61">
        <f t="shared" si="222"/>
        <v>2733.88</v>
      </c>
      <c r="L579" s="6">
        <v>0</v>
      </c>
      <c r="M579" s="6">
        <v>0</v>
      </c>
      <c r="N579" s="62">
        <f t="shared" ref="N579:N589" si="223">N578+L579</f>
        <v>4</v>
      </c>
      <c r="O579" s="62">
        <f t="shared" ref="O579:O589" si="224">O578+M579</f>
        <v>1551.42</v>
      </c>
    </row>
    <row r="580" spans="1:15" x14ac:dyDescent="0.25">
      <c r="A580" s="6" t="s">
        <v>153</v>
      </c>
      <c r="B580" s="6" t="s">
        <v>160</v>
      </c>
      <c r="C580" s="6">
        <v>3</v>
      </c>
      <c r="D580" s="63">
        <v>1</v>
      </c>
      <c r="E580" s="63">
        <v>367.77</v>
      </c>
      <c r="F580" s="62">
        <f t="shared" si="221"/>
        <v>2</v>
      </c>
      <c r="G580" s="62">
        <f t="shared" si="221"/>
        <v>669.72</v>
      </c>
      <c r="H580" s="61">
        <v>2</v>
      </c>
      <c r="I580" s="61">
        <v>4089.75</v>
      </c>
      <c r="J580" s="61">
        <f t="shared" si="222"/>
        <v>5</v>
      </c>
      <c r="K580" s="61">
        <f t="shared" si="222"/>
        <v>6823.63</v>
      </c>
      <c r="L580" s="6">
        <v>7</v>
      </c>
      <c r="M580" s="6">
        <v>2003.34</v>
      </c>
      <c r="N580" s="62">
        <f t="shared" si="223"/>
        <v>11</v>
      </c>
      <c r="O580" s="62">
        <f t="shared" si="224"/>
        <v>3554.76</v>
      </c>
    </row>
    <row r="581" spans="1:15" x14ac:dyDescent="0.25">
      <c r="A581" s="6" t="s">
        <v>153</v>
      </c>
      <c r="B581" s="6" t="s">
        <v>161</v>
      </c>
      <c r="C581" s="6">
        <v>4</v>
      </c>
      <c r="D581" s="63">
        <v>2</v>
      </c>
      <c r="E581" s="62">
        <v>953.98</v>
      </c>
      <c r="F581" s="62">
        <f t="shared" si="221"/>
        <v>4</v>
      </c>
      <c r="G581" s="62">
        <f t="shared" si="221"/>
        <v>1623.7</v>
      </c>
      <c r="H581" s="61">
        <v>1</v>
      </c>
      <c r="I581" s="61">
        <v>164</v>
      </c>
      <c r="J581" s="61">
        <f t="shared" si="222"/>
        <v>6</v>
      </c>
      <c r="K581" s="61">
        <f t="shared" si="222"/>
        <v>6987.63</v>
      </c>
      <c r="L581" s="6">
        <v>2</v>
      </c>
      <c r="M581" s="6">
        <v>2952</v>
      </c>
      <c r="N581" s="62">
        <f t="shared" si="223"/>
        <v>13</v>
      </c>
      <c r="O581" s="62">
        <f t="shared" si="224"/>
        <v>6506.76</v>
      </c>
    </row>
    <row r="582" spans="1:15" x14ac:dyDescent="0.25">
      <c r="A582" s="6" t="s">
        <v>153</v>
      </c>
      <c r="B582" s="6" t="s">
        <v>162</v>
      </c>
      <c r="C582" s="6">
        <v>5</v>
      </c>
      <c r="D582" s="63">
        <v>3</v>
      </c>
      <c r="E582" s="62">
        <v>3704.76</v>
      </c>
      <c r="F582" s="62">
        <f t="shared" si="221"/>
        <v>7</v>
      </c>
      <c r="G582" s="62">
        <f t="shared" si="221"/>
        <v>5328.46</v>
      </c>
      <c r="H582" s="61">
        <v>6</v>
      </c>
      <c r="I582" s="61">
        <v>1894.1999999999998</v>
      </c>
      <c r="J582" s="61">
        <f t="shared" si="222"/>
        <v>12</v>
      </c>
      <c r="K582" s="61">
        <f t="shared" si="222"/>
        <v>8881.83</v>
      </c>
      <c r="L582" s="6">
        <v>4</v>
      </c>
      <c r="M582" s="6">
        <v>2532</v>
      </c>
      <c r="N582" s="62">
        <f t="shared" si="223"/>
        <v>17</v>
      </c>
      <c r="O582" s="62">
        <f t="shared" si="224"/>
        <v>9038.76</v>
      </c>
    </row>
    <row r="583" spans="1:15" x14ac:dyDescent="0.25">
      <c r="A583" s="6" t="s">
        <v>153</v>
      </c>
      <c r="B583" s="6" t="s">
        <v>163</v>
      </c>
      <c r="C583" s="6">
        <v>6</v>
      </c>
      <c r="D583" s="63">
        <v>2</v>
      </c>
      <c r="E583" s="62">
        <v>611.37</v>
      </c>
      <c r="F583" s="62">
        <f t="shared" si="221"/>
        <v>9</v>
      </c>
      <c r="G583" s="62">
        <f t="shared" si="221"/>
        <v>5939.83</v>
      </c>
      <c r="H583" s="61">
        <v>13</v>
      </c>
      <c r="I583" s="61">
        <v>2933.5499999999997</v>
      </c>
      <c r="J583" s="61">
        <f t="shared" si="222"/>
        <v>25</v>
      </c>
      <c r="K583" s="61">
        <f t="shared" si="222"/>
        <v>11815.38</v>
      </c>
      <c r="L583" s="6">
        <v>1</v>
      </c>
      <c r="M583" s="6">
        <v>300</v>
      </c>
      <c r="N583" s="62">
        <f t="shared" si="223"/>
        <v>18</v>
      </c>
      <c r="O583" s="62">
        <f t="shared" si="224"/>
        <v>9338.76</v>
      </c>
    </row>
    <row r="584" spans="1:15" x14ac:dyDescent="0.25">
      <c r="A584" s="6" t="s">
        <v>153</v>
      </c>
      <c r="B584" s="6" t="s">
        <v>164</v>
      </c>
      <c r="C584" s="6">
        <v>7</v>
      </c>
      <c r="D584" s="63">
        <v>1</v>
      </c>
      <c r="E584" s="63">
        <v>947.1</v>
      </c>
      <c r="F584" s="62">
        <f t="shared" si="221"/>
        <v>10</v>
      </c>
      <c r="G584" s="62">
        <f t="shared" si="221"/>
        <v>6886.93</v>
      </c>
      <c r="H584" s="61">
        <v>3</v>
      </c>
      <c r="I584" s="61">
        <v>4784.59</v>
      </c>
      <c r="J584" s="61">
        <f t="shared" si="222"/>
        <v>28</v>
      </c>
      <c r="K584" s="61">
        <f t="shared" si="222"/>
        <v>16599.97</v>
      </c>
      <c r="L584" s="6">
        <v>3</v>
      </c>
      <c r="M584" s="6">
        <v>2641.06</v>
      </c>
      <c r="N584" s="62">
        <f t="shared" si="223"/>
        <v>21</v>
      </c>
      <c r="O584" s="62">
        <f t="shared" si="224"/>
        <v>11979.82</v>
      </c>
    </row>
    <row r="585" spans="1:15" x14ac:dyDescent="0.25">
      <c r="A585" s="6" t="s">
        <v>153</v>
      </c>
      <c r="B585" s="6" t="s">
        <v>165</v>
      </c>
      <c r="C585" s="6">
        <v>8</v>
      </c>
      <c r="D585" s="63">
        <v>2</v>
      </c>
      <c r="E585" s="62">
        <v>896.67</v>
      </c>
      <c r="F585" s="62">
        <f t="shared" si="221"/>
        <v>12</v>
      </c>
      <c r="G585" s="62">
        <f t="shared" si="221"/>
        <v>7783.6</v>
      </c>
      <c r="H585" s="61">
        <v>2</v>
      </c>
      <c r="I585" s="61">
        <v>912.37</v>
      </c>
      <c r="J585" s="61">
        <f t="shared" si="222"/>
        <v>30</v>
      </c>
      <c r="K585" s="61">
        <f t="shared" si="222"/>
        <v>17512.34</v>
      </c>
      <c r="L585" s="6">
        <v>0</v>
      </c>
      <c r="M585" s="6">
        <v>0</v>
      </c>
      <c r="N585" s="62">
        <f t="shared" si="223"/>
        <v>21</v>
      </c>
      <c r="O585" s="62">
        <f t="shared" si="224"/>
        <v>11979.82</v>
      </c>
    </row>
    <row r="586" spans="1:15" x14ac:dyDescent="0.25">
      <c r="A586" s="6" t="s">
        <v>153</v>
      </c>
      <c r="B586" s="6" t="s">
        <v>166</v>
      </c>
      <c r="C586" s="6">
        <v>9</v>
      </c>
      <c r="D586" s="63">
        <v>1</v>
      </c>
      <c r="E586" s="63">
        <v>1090.5999999999999</v>
      </c>
      <c r="F586" s="62">
        <f t="shared" si="221"/>
        <v>13</v>
      </c>
      <c r="G586" s="62">
        <f t="shared" si="221"/>
        <v>8874.2000000000007</v>
      </c>
      <c r="H586" s="61">
        <v>0</v>
      </c>
      <c r="I586" s="61">
        <v>0</v>
      </c>
      <c r="J586" s="61">
        <f t="shared" si="222"/>
        <v>30</v>
      </c>
      <c r="K586" s="61">
        <f t="shared" si="222"/>
        <v>17512.34</v>
      </c>
      <c r="L586" s="6">
        <v>3</v>
      </c>
      <c r="M586" s="6">
        <v>1263</v>
      </c>
      <c r="N586" s="62">
        <f t="shared" si="223"/>
        <v>24</v>
      </c>
      <c r="O586" s="62">
        <f t="shared" si="224"/>
        <v>13242.82</v>
      </c>
    </row>
    <row r="587" spans="1:15" x14ac:dyDescent="0.25">
      <c r="A587" s="6" t="s">
        <v>153</v>
      </c>
      <c r="B587" s="6" t="s">
        <v>167</v>
      </c>
      <c r="C587" s="6">
        <v>10</v>
      </c>
      <c r="D587" s="63">
        <v>2</v>
      </c>
      <c r="E587" s="62">
        <v>1111.0999999999999</v>
      </c>
      <c r="F587" s="62">
        <f t="shared" si="221"/>
        <v>15</v>
      </c>
      <c r="G587" s="62">
        <f t="shared" si="221"/>
        <v>9985.3000000000011</v>
      </c>
      <c r="H587" s="61">
        <v>0</v>
      </c>
      <c r="I587" s="61">
        <v>0</v>
      </c>
      <c r="J587" s="61">
        <f t="shared" si="222"/>
        <v>30</v>
      </c>
      <c r="K587" s="61">
        <f t="shared" si="222"/>
        <v>17512.34</v>
      </c>
      <c r="L587" s="6">
        <v>0</v>
      </c>
      <c r="M587" s="6">
        <v>0</v>
      </c>
      <c r="N587" s="62">
        <f t="shared" si="223"/>
        <v>24</v>
      </c>
      <c r="O587" s="62">
        <f t="shared" si="224"/>
        <v>13242.82</v>
      </c>
    </row>
    <row r="588" spans="1:15" x14ac:dyDescent="0.25">
      <c r="A588" s="6" t="s">
        <v>153</v>
      </c>
      <c r="B588" s="6" t="s">
        <v>168</v>
      </c>
      <c r="C588" s="6">
        <v>11</v>
      </c>
      <c r="D588" s="63">
        <v>2</v>
      </c>
      <c r="E588" s="63">
        <v>1074.2</v>
      </c>
      <c r="F588" s="62">
        <f t="shared" si="221"/>
        <v>17</v>
      </c>
      <c r="G588" s="62">
        <f t="shared" si="221"/>
        <v>11059.500000000002</v>
      </c>
      <c r="H588" s="61">
        <v>6</v>
      </c>
      <c r="I588" s="61">
        <v>3022.09</v>
      </c>
      <c r="J588" s="61">
        <f t="shared" si="222"/>
        <v>36</v>
      </c>
      <c r="K588" s="61">
        <f t="shared" si="222"/>
        <v>20534.43</v>
      </c>
      <c r="L588" s="6">
        <v>0</v>
      </c>
      <c r="M588" s="6">
        <v>0</v>
      </c>
      <c r="N588" s="62">
        <f t="shared" si="223"/>
        <v>24</v>
      </c>
      <c r="O588" s="62">
        <f t="shared" si="224"/>
        <v>13242.82</v>
      </c>
    </row>
    <row r="589" spans="1:15" x14ac:dyDescent="0.25">
      <c r="A589" s="6" t="s">
        <v>153</v>
      </c>
      <c r="B589" s="6" t="s">
        <v>169</v>
      </c>
      <c r="C589" s="6">
        <v>12</v>
      </c>
      <c r="D589" s="63">
        <v>1</v>
      </c>
      <c r="E589" s="63">
        <v>229.6</v>
      </c>
      <c r="F589" s="62">
        <f t="shared" si="221"/>
        <v>18</v>
      </c>
      <c r="G589" s="62">
        <f t="shared" si="221"/>
        <v>11289.100000000002</v>
      </c>
      <c r="H589" s="61">
        <v>1</v>
      </c>
      <c r="I589" s="61">
        <v>852.39</v>
      </c>
      <c r="J589" s="61">
        <f t="shared" si="222"/>
        <v>37</v>
      </c>
      <c r="K589" s="61">
        <f t="shared" si="222"/>
        <v>21386.82</v>
      </c>
      <c r="L589" s="6">
        <v>0</v>
      </c>
      <c r="M589" s="6">
        <v>0</v>
      </c>
      <c r="N589" s="62">
        <f t="shared" si="223"/>
        <v>24</v>
      </c>
      <c r="O589" s="62">
        <f t="shared" si="224"/>
        <v>13242.82</v>
      </c>
    </row>
    <row r="590" spans="1:15" x14ac:dyDescent="0.25">
      <c r="A590" s="6" t="s">
        <v>137</v>
      </c>
      <c r="B590" s="6" t="s">
        <v>158</v>
      </c>
      <c r="C590" s="6">
        <v>1</v>
      </c>
      <c r="D590" s="63">
        <v>0</v>
      </c>
      <c r="E590" s="63">
        <v>0</v>
      </c>
      <c r="F590" s="62">
        <f>D590</f>
        <v>0</v>
      </c>
      <c r="G590" s="62">
        <f>E590</f>
        <v>0</v>
      </c>
      <c r="H590" s="61">
        <v>0</v>
      </c>
      <c r="I590" s="61">
        <v>0</v>
      </c>
      <c r="J590" s="61">
        <f>H590</f>
        <v>0</v>
      </c>
      <c r="K590" s="61">
        <f>I590</f>
        <v>0</v>
      </c>
      <c r="L590" s="6">
        <v>2</v>
      </c>
      <c r="M590" s="6">
        <v>2300</v>
      </c>
      <c r="N590" s="62">
        <f>L590</f>
        <v>2</v>
      </c>
      <c r="O590" s="62">
        <f>M590</f>
        <v>2300</v>
      </c>
    </row>
    <row r="591" spans="1:15" x14ac:dyDescent="0.25">
      <c r="A591" s="6" t="s">
        <v>137</v>
      </c>
      <c r="B591" s="6" t="s">
        <v>159</v>
      </c>
      <c r="C591" s="6">
        <v>2</v>
      </c>
      <c r="D591" s="63">
        <v>0</v>
      </c>
      <c r="E591" s="63">
        <v>0</v>
      </c>
      <c r="F591" s="62">
        <f t="shared" ref="F591:G601" si="225">F590+D591</f>
        <v>0</v>
      </c>
      <c r="G591" s="62">
        <f t="shared" si="225"/>
        <v>0</v>
      </c>
      <c r="H591" s="61">
        <v>0</v>
      </c>
      <c r="I591" s="61">
        <v>0</v>
      </c>
      <c r="J591" s="61">
        <f t="shared" ref="J591:K601" si="226">J590+H591</f>
        <v>0</v>
      </c>
      <c r="K591" s="61">
        <f t="shared" si="226"/>
        <v>0</v>
      </c>
      <c r="L591" s="6">
        <v>0</v>
      </c>
      <c r="M591" s="6">
        <v>0</v>
      </c>
      <c r="N591" s="62">
        <f t="shared" ref="N591:N601" si="227">N590+L591</f>
        <v>2</v>
      </c>
      <c r="O591" s="62">
        <f t="shared" ref="O591:O601" si="228">O590+M591</f>
        <v>2300</v>
      </c>
    </row>
    <row r="592" spans="1:15" x14ac:dyDescent="0.25">
      <c r="A592" s="6" t="s">
        <v>137</v>
      </c>
      <c r="B592" s="6" t="s">
        <v>160</v>
      </c>
      <c r="C592" s="6">
        <v>3</v>
      </c>
      <c r="D592" s="63">
        <v>0</v>
      </c>
      <c r="E592" s="63">
        <v>0</v>
      </c>
      <c r="F592" s="62">
        <f t="shared" si="225"/>
        <v>0</v>
      </c>
      <c r="G592" s="62">
        <f t="shared" si="225"/>
        <v>0</v>
      </c>
      <c r="H592" s="61">
        <v>0</v>
      </c>
      <c r="I592" s="61">
        <v>0</v>
      </c>
      <c r="J592" s="61">
        <f t="shared" si="226"/>
        <v>0</v>
      </c>
      <c r="K592" s="61">
        <f t="shared" si="226"/>
        <v>0</v>
      </c>
      <c r="L592" s="6">
        <v>0</v>
      </c>
      <c r="M592" s="6">
        <v>0</v>
      </c>
      <c r="N592" s="62">
        <f t="shared" si="227"/>
        <v>2</v>
      </c>
      <c r="O592" s="62">
        <f t="shared" si="228"/>
        <v>2300</v>
      </c>
    </row>
    <row r="593" spans="1:15" x14ac:dyDescent="0.25">
      <c r="A593" s="6" t="s">
        <v>137</v>
      </c>
      <c r="B593" s="6" t="s">
        <v>161</v>
      </c>
      <c r="C593" s="6">
        <v>4</v>
      </c>
      <c r="D593" s="63">
        <v>0</v>
      </c>
      <c r="E593" s="63">
        <v>0</v>
      </c>
      <c r="F593" s="62">
        <f t="shared" si="225"/>
        <v>0</v>
      </c>
      <c r="G593" s="62">
        <f t="shared" si="225"/>
        <v>0</v>
      </c>
      <c r="H593" s="61">
        <v>0</v>
      </c>
      <c r="I593" s="61">
        <v>0</v>
      </c>
      <c r="J593" s="61">
        <f t="shared" si="226"/>
        <v>0</v>
      </c>
      <c r="K593" s="61">
        <f t="shared" si="226"/>
        <v>0</v>
      </c>
      <c r="L593" s="6">
        <v>0</v>
      </c>
      <c r="M593" s="6">
        <v>0</v>
      </c>
      <c r="N593" s="62">
        <f t="shared" si="227"/>
        <v>2</v>
      </c>
      <c r="O593" s="62">
        <f t="shared" si="228"/>
        <v>2300</v>
      </c>
    </row>
    <row r="594" spans="1:15" x14ac:dyDescent="0.25">
      <c r="A594" s="6" t="s">
        <v>137</v>
      </c>
      <c r="B594" s="6" t="s">
        <v>162</v>
      </c>
      <c r="C594" s="6">
        <v>5</v>
      </c>
      <c r="D594" s="63">
        <v>0</v>
      </c>
      <c r="E594" s="63">
        <v>0</v>
      </c>
      <c r="F594" s="62">
        <f t="shared" si="225"/>
        <v>0</v>
      </c>
      <c r="G594" s="62">
        <f t="shared" si="225"/>
        <v>0</v>
      </c>
      <c r="H594" s="61">
        <v>0</v>
      </c>
      <c r="I594" s="61">
        <v>0</v>
      </c>
      <c r="J594" s="61">
        <f t="shared" si="226"/>
        <v>0</v>
      </c>
      <c r="K594" s="61">
        <f t="shared" si="226"/>
        <v>0</v>
      </c>
      <c r="L594" s="6">
        <v>0</v>
      </c>
      <c r="M594" s="6">
        <v>0</v>
      </c>
      <c r="N594" s="62">
        <f t="shared" si="227"/>
        <v>2</v>
      </c>
      <c r="O594" s="62">
        <f t="shared" si="228"/>
        <v>2300</v>
      </c>
    </row>
    <row r="595" spans="1:15" x14ac:dyDescent="0.25">
      <c r="A595" s="6" t="s">
        <v>137</v>
      </c>
      <c r="B595" s="6" t="s">
        <v>163</v>
      </c>
      <c r="C595" s="6">
        <v>6</v>
      </c>
      <c r="D595" s="63">
        <v>0</v>
      </c>
      <c r="E595" s="63">
        <v>0</v>
      </c>
      <c r="F595" s="62">
        <f t="shared" si="225"/>
        <v>0</v>
      </c>
      <c r="G595" s="62">
        <f t="shared" si="225"/>
        <v>0</v>
      </c>
      <c r="H595" s="61">
        <v>3</v>
      </c>
      <c r="I595" s="61">
        <v>6639</v>
      </c>
      <c r="J595" s="61">
        <f t="shared" si="226"/>
        <v>3</v>
      </c>
      <c r="K595" s="61">
        <f t="shared" si="226"/>
        <v>6639</v>
      </c>
      <c r="L595" s="6">
        <v>1</v>
      </c>
      <c r="M595" s="6">
        <v>2184</v>
      </c>
      <c r="N595" s="62">
        <f t="shared" si="227"/>
        <v>3</v>
      </c>
      <c r="O595" s="62">
        <f t="shared" si="228"/>
        <v>4484</v>
      </c>
    </row>
    <row r="596" spans="1:15" x14ac:dyDescent="0.25">
      <c r="A596" s="6" t="s">
        <v>137</v>
      </c>
      <c r="B596" s="6" t="s">
        <v>164</v>
      </c>
      <c r="C596" s="6">
        <v>7</v>
      </c>
      <c r="D596" s="63">
        <v>0</v>
      </c>
      <c r="E596" s="63">
        <v>0</v>
      </c>
      <c r="F596" s="62">
        <f t="shared" si="225"/>
        <v>0</v>
      </c>
      <c r="G596" s="62">
        <f t="shared" si="225"/>
        <v>0</v>
      </c>
      <c r="H596" s="61">
        <v>2</v>
      </c>
      <c r="I596" s="61">
        <v>2300</v>
      </c>
      <c r="J596" s="61">
        <f t="shared" si="226"/>
        <v>5</v>
      </c>
      <c r="K596" s="61">
        <f t="shared" si="226"/>
        <v>8939</v>
      </c>
      <c r="L596" s="6">
        <v>1</v>
      </c>
      <c r="M596" s="6">
        <v>1400</v>
      </c>
      <c r="N596" s="62">
        <f t="shared" si="227"/>
        <v>4</v>
      </c>
      <c r="O596" s="62">
        <f t="shared" si="228"/>
        <v>5884</v>
      </c>
    </row>
    <row r="597" spans="1:15" x14ac:dyDescent="0.25">
      <c r="A597" s="6" t="s">
        <v>137</v>
      </c>
      <c r="B597" s="6" t="s">
        <v>165</v>
      </c>
      <c r="C597" s="6">
        <v>8</v>
      </c>
      <c r="D597" s="63">
        <v>0</v>
      </c>
      <c r="E597" s="63">
        <v>0</v>
      </c>
      <c r="F597" s="62">
        <f t="shared" si="225"/>
        <v>0</v>
      </c>
      <c r="G597" s="62">
        <f t="shared" si="225"/>
        <v>0</v>
      </c>
      <c r="H597" s="61">
        <v>0</v>
      </c>
      <c r="I597" s="61">
        <v>0</v>
      </c>
      <c r="J597" s="61">
        <f t="shared" si="226"/>
        <v>5</v>
      </c>
      <c r="K597" s="61">
        <f t="shared" si="226"/>
        <v>8939</v>
      </c>
      <c r="L597" s="6">
        <v>0</v>
      </c>
      <c r="M597" s="6">
        <v>0</v>
      </c>
      <c r="N597" s="62">
        <f t="shared" si="227"/>
        <v>4</v>
      </c>
      <c r="O597" s="62">
        <f t="shared" si="228"/>
        <v>5884</v>
      </c>
    </row>
    <row r="598" spans="1:15" x14ac:dyDescent="0.25">
      <c r="A598" s="6" t="s">
        <v>137</v>
      </c>
      <c r="B598" s="6" t="s">
        <v>166</v>
      </c>
      <c r="C598" s="6">
        <v>9</v>
      </c>
      <c r="D598" s="63">
        <v>0</v>
      </c>
      <c r="E598" s="63">
        <v>0</v>
      </c>
      <c r="F598" s="62">
        <f t="shared" si="225"/>
        <v>0</v>
      </c>
      <c r="G598" s="62">
        <f t="shared" si="225"/>
        <v>0</v>
      </c>
      <c r="H598" s="61">
        <v>1</v>
      </c>
      <c r="I598" s="61">
        <v>1952.5</v>
      </c>
      <c r="J598" s="61">
        <f t="shared" si="226"/>
        <v>6</v>
      </c>
      <c r="K598" s="61">
        <f t="shared" si="226"/>
        <v>10891.5</v>
      </c>
      <c r="L598" s="6">
        <v>0</v>
      </c>
      <c r="M598" s="6">
        <v>0</v>
      </c>
      <c r="N598" s="62">
        <f t="shared" si="227"/>
        <v>4</v>
      </c>
      <c r="O598" s="62">
        <f t="shared" si="228"/>
        <v>5884</v>
      </c>
    </row>
    <row r="599" spans="1:15" x14ac:dyDescent="0.25">
      <c r="A599" s="6" t="s">
        <v>137</v>
      </c>
      <c r="B599" s="6" t="s">
        <v>167</v>
      </c>
      <c r="C599" s="6">
        <v>10</v>
      </c>
      <c r="D599" s="63">
        <v>0</v>
      </c>
      <c r="E599" s="63">
        <v>0</v>
      </c>
      <c r="F599" s="62">
        <f t="shared" si="225"/>
        <v>0</v>
      </c>
      <c r="G599" s="62">
        <f t="shared" si="225"/>
        <v>0</v>
      </c>
      <c r="H599" s="61">
        <v>0</v>
      </c>
      <c r="I599" s="61">
        <v>0</v>
      </c>
      <c r="J599" s="61">
        <f t="shared" si="226"/>
        <v>6</v>
      </c>
      <c r="K599" s="61">
        <f t="shared" si="226"/>
        <v>10891.5</v>
      </c>
      <c r="L599" s="6">
        <v>2</v>
      </c>
      <c r="M599" s="6">
        <v>850</v>
      </c>
      <c r="N599" s="62">
        <f t="shared" si="227"/>
        <v>6</v>
      </c>
      <c r="O599" s="62">
        <f t="shared" si="228"/>
        <v>6734</v>
      </c>
    </row>
    <row r="600" spans="1:15" x14ac:dyDescent="0.25">
      <c r="A600" s="6" t="s">
        <v>137</v>
      </c>
      <c r="B600" s="6" t="s">
        <v>168</v>
      </c>
      <c r="C600" s="6">
        <v>11</v>
      </c>
      <c r="D600" s="63">
        <v>0</v>
      </c>
      <c r="E600" s="63">
        <v>0</v>
      </c>
      <c r="F600" s="62">
        <f t="shared" si="225"/>
        <v>0</v>
      </c>
      <c r="G600" s="62">
        <f t="shared" si="225"/>
        <v>0</v>
      </c>
      <c r="H600" s="61">
        <v>1</v>
      </c>
      <c r="I600" s="61">
        <v>1450</v>
      </c>
      <c r="J600" s="61">
        <f t="shared" si="226"/>
        <v>7</v>
      </c>
      <c r="K600" s="61">
        <f t="shared" si="226"/>
        <v>12341.5</v>
      </c>
      <c r="L600" s="6">
        <v>1</v>
      </c>
      <c r="M600" s="6">
        <v>1500</v>
      </c>
      <c r="N600" s="62">
        <f t="shared" si="227"/>
        <v>7</v>
      </c>
      <c r="O600" s="62">
        <f t="shared" si="228"/>
        <v>8234</v>
      </c>
    </row>
    <row r="601" spans="1:15" x14ac:dyDescent="0.25">
      <c r="A601" s="6" t="s">
        <v>137</v>
      </c>
      <c r="B601" s="6" t="s">
        <v>169</v>
      </c>
      <c r="C601" s="6">
        <v>12</v>
      </c>
      <c r="D601" s="63">
        <v>0</v>
      </c>
      <c r="E601" s="63">
        <v>0</v>
      </c>
      <c r="F601" s="62">
        <f t="shared" si="225"/>
        <v>0</v>
      </c>
      <c r="G601" s="62">
        <f t="shared" si="225"/>
        <v>0</v>
      </c>
      <c r="H601" s="61">
        <v>0</v>
      </c>
      <c r="I601" s="61">
        <v>0</v>
      </c>
      <c r="J601" s="61">
        <f t="shared" si="226"/>
        <v>7</v>
      </c>
      <c r="K601" s="61">
        <f t="shared" si="226"/>
        <v>12341.5</v>
      </c>
      <c r="L601" s="6">
        <v>0</v>
      </c>
      <c r="M601" s="6">
        <v>0</v>
      </c>
      <c r="N601" s="62">
        <f t="shared" si="227"/>
        <v>7</v>
      </c>
      <c r="O601" s="62">
        <f t="shared" si="228"/>
        <v>8234</v>
      </c>
    </row>
    <row r="602" spans="1:15" x14ac:dyDescent="0.25">
      <c r="A602" s="6" t="s">
        <v>43</v>
      </c>
      <c r="B602" s="6" t="s">
        <v>158</v>
      </c>
      <c r="C602" s="6">
        <v>1</v>
      </c>
      <c r="D602" s="63">
        <v>0</v>
      </c>
      <c r="E602" s="63">
        <v>0</v>
      </c>
      <c r="F602" s="62">
        <f>D602</f>
        <v>0</v>
      </c>
      <c r="G602" s="62">
        <f>E602</f>
        <v>0</v>
      </c>
      <c r="H602" s="61">
        <v>0</v>
      </c>
      <c r="I602" s="61">
        <v>0</v>
      </c>
      <c r="J602" s="61">
        <f>H602</f>
        <v>0</v>
      </c>
      <c r="K602" s="61">
        <f>I602</f>
        <v>0</v>
      </c>
      <c r="L602" s="6">
        <v>1</v>
      </c>
      <c r="M602" s="6">
        <v>240</v>
      </c>
      <c r="N602" s="62">
        <f>L602</f>
        <v>1</v>
      </c>
      <c r="O602" s="62">
        <f>M602</f>
        <v>240</v>
      </c>
    </row>
    <row r="603" spans="1:15" x14ac:dyDescent="0.25">
      <c r="A603" s="6" t="s">
        <v>43</v>
      </c>
      <c r="B603" s="6" t="s">
        <v>159</v>
      </c>
      <c r="C603" s="6">
        <v>2</v>
      </c>
      <c r="D603" s="63">
        <v>1</v>
      </c>
      <c r="E603" s="63">
        <v>600</v>
      </c>
      <c r="F603" s="62">
        <f t="shared" ref="F603:G613" si="229">F602+D603</f>
        <v>1</v>
      </c>
      <c r="G603" s="62">
        <f t="shared" si="229"/>
        <v>600</v>
      </c>
      <c r="H603" s="61">
        <v>0</v>
      </c>
      <c r="I603" s="61">
        <v>0</v>
      </c>
      <c r="J603" s="61">
        <f t="shared" ref="J603:K613" si="230">J602+H603</f>
        <v>0</v>
      </c>
      <c r="K603" s="61">
        <f t="shared" si="230"/>
        <v>0</v>
      </c>
      <c r="L603" s="6">
        <v>0</v>
      </c>
      <c r="M603" s="6">
        <v>0</v>
      </c>
      <c r="N603" s="62">
        <f t="shared" ref="N603:N613" si="231">N602+L603</f>
        <v>1</v>
      </c>
      <c r="O603" s="62">
        <f t="shared" ref="O603:O613" si="232">O602+M603</f>
        <v>240</v>
      </c>
    </row>
    <row r="604" spans="1:15" x14ac:dyDescent="0.25">
      <c r="A604" s="6" t="s">
        <v>43</v>
      </c>
      <c r="B604" s="6" t="s">
        <v>160</v>
      </c>
      <c r="C604" s="6">
        <v>3</v>
      </c>
      <c r="D604" s="63">
        <v>1</v>
      </c>
      <c r="E604" s="63">
        <v>2100</v>
      </c>
      <c r="F604" s="62">
        <f t="shared" si="229"/>
        <v>2</v>
      </c>
      <c r="G604" s="62">
        <f t="shared" si="229"/>
        <v>2700</v>
      </c>
      <c r="H604" s="61">
        <v>0</v>
      </c>
      <c r="I604" s="61">
        <v>0</v>
      </c>
      <c r="J604" s="61">
        <f t="shared" si="230"/>
        <v>0</v>
      </c>
      <c r="K604" s="61">
        <f t="shared" si="230"/>
        <v>0</v>
      </c>
      <c r="L604" s="6">
        <v>1</v>
      </c>
      <c r="M604" s="6">
        <v>755</v>
      </c>
      <c r="N604" s="62">
        <f t="shared" si="231"/>
        <v>2</v>
      </c>
      <c r="O604" s="62">
        <f t="shared" si="232"/>
        <v>995</v>
      </c>
    </row>
    <row r="605" spans="1:15" x14ac:dyDescent="0.25">
      <c r="A605" s="6" t="s">
        <v>43</v>
      </c>
      <c r="B605" s="6" t="s">
        <v>161</v>
      </c>
      <c r="C605" s="6">
        <v>4</v>
      </c>
      <c r="D605" s="63">
        <v>0</v>
      </c>
      <c r="E605" s="63">
        <v>0</v>
      </c>
      <c r="F605" s="62">
        <f t="shared" si="229"/>
        <v>2</v>
      </c>
      <c r="G605" s="62">
        <f t="shared" si="229"/>
        <v>2700</v>
      </c>
      <c r="H605" s="61">
        <v>0</v>
      </c>
      <c r="I605" s="61">
        <v>0</v>
      </c>
      <c r="J605" s="61">
        <f t="shared" si="230"/>
        <v>0</v>
      </c>
      <c r="K605" s="61">
        <f t="shared" si="230"/>
        <v>0</v>
      </c>
      <c r="L605" s="6">
        <v>0</v>
      </c>
      <c r="M605" s="6">
        <v>0</v>
      </c>
      <c r="N605" s="62">
        <f t="shared" si="231"/>
        <v>2</v>
      </c>
      <c r="O605" s="62">
        <f t="shared" si="232"/>
        <v>995</v>
      </c>
    </row>
    <row r="606" spans="1:15" x14ac:dyDescent="0.25">
      <c r="A606" s="6" t="s">
        <v>43</v>
      </c>
      <c r="B606" s="6" t="s">
        <v>162</v>
      </c>
      <c r="C606" s="6">
        <v>5</v>
      </c>
      <c r="D606" s="63">
        <v>1</v>
      </c>
      <c r="E606" s="63">
        <v>2100</v>
      </c>
      <c r="F606" s="62">
        <f t="shared" si="229"/>
        <v>3</v>
      </c>
      <c r="G606" s="62">
        <f t="shared" si="229"/>
        <v>4800</v>
      </c>
      <c r="H606" s="61">
        <v>6</v>
      </c>
      <c r="I606" s="61">
        <v>95.4</v>
      </c>
      <c r="J606" s="61">
        <f t="shared" si="230"/>
        <v>6</v>
      </c>
      <c r="K606" s="61">
        <f t="shared" si="230"/>
        <v>95.4</v>
      </c>
      <c r="L606" s="6">
        <v>7</v>
      </c>
      <c r="M606" s="6">
        <v>1225</v>
      </c>
      <c r="N606" s="62">
        <f t="shared" si="231"/>
        <v>9</v>
      </c>
      <c r="O606" s="62">
        <f t="shared" si="232"/>
        <v>2220</v>
      </c>
    </row>
    <row r="607" spans="1:15" x14ac:dyDescent="0.25">
      <c r="A607" s="6" t="s">
        <v>43</v>
      </c>
      <c r="B607" s="6" t="s">
        <v>163</v>
      </c>
      <c r="C607" s="6">
        <v>6</v>
      </c>
      <c r="D607" s="63">
        <v>0</v>
      </c>
      <c r="E607" s="63">
        <v>0</v>
      </c>
      <c r="F607" s="62">
        <f t="shared" si="229"/>
        <v>3</v>
      </c>
      <c r="G607" s="62">
        <f t="shared" si="229"/>
        <v>4800</v>
      </c>
      <c r="H607" s="61">
        <v>8</v>
      </c>
      <c r="I607" s="61">
        <v>3290</v>
      </c>
      <c r="J607" s="61">
        <f t="shared" si="230"/>
        <v>14</v>
      </c>
      <c r="K607" s="61">
        <f t="shared" si="230"/>
        <v>3385.4</v>
      </c>
      <c r="L607" s="6">
        <v>1</v>
      </c>
      <c r="M607" s="6">
        <v>75</v>
      </c>
      <c r="N607" s="62">
        <f t="shared" si="231"/>
        <v>10</v>
      </c>
      <c r="O607" s="62">
        <f t="shared" si="232"/>
        <v>2295</v>
      </c>
    </row>
    <row r="608" spans="1:15" x14ac:dyDescent="0.25">
      <c r="A608" s="6" t="s">
        <v>43</v>
      </c>
      <c r="B608" s="6" t="s">
        <v>164</v>
      </c>
      <c r="C608" s="6">
        <v>7</v>
      </c>
      <c r="D608" s="63">
        <v>0</v>
      </c>
      <c r="E608" s="63">
        <v>0</v>
      </c>
      <c r="F608" s="62">
        <f t="shared" si="229"/>
        <v>3</v>
      </c>
      <c r="G608" s="62">
        <f t="shared" si="229"/>
        <v>4800</v>
      </c>
      <c r="H608" s="61">
        <v>0</v>
      </c>
      <c r="I608" s="61">
        <v>0</v>
      </c>
      <c r="J608" s="61">
        <f t="shared" si="230"/>
        <v>14</v>
      </c>
      <c r="K608" s="61">
        <f t="shared" si="230"/>
        <v>3385.4</v>
      </c>
      <c r="L608" s="6">
        <v>3</v>
      </c>
      <c r="M608" s="6">
        <v>6901.5</v>
      </c>
      <c r="N608" s="62">
        <f t="shared" si="231"/>
        <v>13</v>
      </c>
      <c r="O608" s="62">
        <f t="shared" si="232"/>
        <v>9196.5</v>
      </c>
    </row>
    <row r="609" spans="1:15" x14ac:dyDescent="0.25">
      <c r="A609" s="6" t="s">
        <v>43</v>
      </c>
      <c r="B609" s="6" t="s">
        <v>165</v>
      </c>
      <c r="C609" s="6">
        <v>8</v>
      </c>
      <c r="D609" s="63">
        <v>0</v>
      </c>
      <c r="E609" s="63">
        <v>0</v>
      </c>
      <c r="F609" s="62">
        <f t="shared" si="229"/>
        <v>3</v>
      </c>
      <c r="G609" s="62">
        <f t="shared" si="229"/>
        <v>4800</v>
      </c>
      <c r="H609" s="61">
        <v>2</v>
      </c>
      <c r="I609" s="61">
        <v>620</v>
      </c>
      <c r="J609" s="61">
        <f t="shared" si="230"/>
        <v>16</v>
      </c>
      <c r="K609" s="61">
        <f t="shared" si="230"/>
        <v>4005.4</v>
      </c>
      <c r="L609" s="6">
        <v>0</v>
      </c>
      <c r="M609" s="6">
        <v>0</v>
      </c>
      <c r="N609" s="62">
        <f t="shared" si="231"/>
        <v>13</v>
      </c>
      <c r="O609" s="62">
        <f t="shared" si="232"/>
        <v>9196.5</v>
      </c>
    </row>
    <row r="610" spans="1:15" x14ac:dyDescent="0.25">
      <c r="A610" s="6" t="s">
        <v>43</v>
      </c>
      <c r="B610" s="6" t="s">
        <v>166</v>
      </c>
      <c r="C610" s="6">
        <v>9</v>
      </c>
      <c r="D610" s="63">
        <v>0</v>
      </c>
      <c r="E610" s="63">
        <v>0</v>
      </c>
      <c r="F610" s="62">
        <f t="shared" si="229"/>
        <v>3</v>
      </c>
      <c r="G610" s="62">
        <f t="shared" si="229"/>
        <v>4800</v>
      </c>
      <c r="H610" s="61">
        <v>0</v>
      </c>
      <c r="I610" s="61">
        <v>0</v>
      </c>
      <c r="J610" s="61">
        <f t="shared" si="230"/>
        <v>16</v>
      </c>
      <c r="K610" s="61">
        <f t="shared" si="230"/>
        <v>4005.4</v>
      </c>
      <c r="L610" s="6">
        <v>2</v>
      </c>
      <c r="M610" s="6">
        <v>60</v>
      </c>
      <c r="N610" s="62">
        <f t="shared" si="231"/>
        <v>15</v>
      </c>
      <c r="O610" s="62">
        <f t="shared" si="232"/>
        <v>9256.5</v>
      </c>
    </row>
    <row r="611" spans="1:15" x14ac:dyDescent="0.25">
      <c r="A611" s="6" t="s">
        <v>43</v>
      </c>
      <c r="B611" s="6" t="s">
        <v>167</v>
      </c>
      <c r="C611" s="6">
        <v>10</v>
      </c>
      <c r="D611" s="63">
        <v>16</v>
      </c>
      <c r="E611" s="62">
        <v>9200</v>
      </c>
      <c r="F611" s="62">
        <f t="shared" si="229"/>
        <v>19</v>
      </c>
      <c r="G611" s="62">
        <f t="shared" si="229"/>
        <v>14000</v>
      </c>
      <c r="H611" s="61">
        <v>5</v>
      </c>
      <c r="I611" s="61">
        <v>2450</v>
      </c>
      <c r="J611" s="61">
        <f t="shared" si="230"/>
        <v>21</v>
      </c>
      <c r="K611" s="61">
        <f t="shared" si="230"/>
        <v>6455.4</v>
      </c>
      <c r="L611" s="6">
        <v>0</v>
      </c>
      <c r="M611" s="6">
        <v>0</v>
      </c>
      <c r="N611" s="62">
        <f t="shared" si="231"/>
        <v>15</v>
      </c>
      <c r="O611" s="62">
        <f t="shared" si="232"/>
        <v>9256.5</v>
      </c>
    </row>
    <row r="612" spans="1:15" x14ac:dyDescent="0.25">
      <c r="A612" s="6" t="s">
        <v>43</v>
      </c>
      <c r="B612" s="6" t="s">
        <v>168</v>
      </c>
      <c r="C612" s="6">
        <v>11</v>
      </c>
      <c r="D612" s="63">
        <v>0</v>
      </c>
      <c r="E612" s="63">
        <v>0</v>
      </c>
      <c r="F612" s="62">
        <f t="shared" si="229"/>
        <v>19</v>
      </c>
      <c r="G612" s="62">
        <f t="shared" si="229"/>
        <v>14000</v>
      </c>
      <c r="H612" s="61">
        <v>7</v>
      </c>
      <c r="I612" s="61">
        <v>1805</v>
      </c>
      <c r="J612" s="61">
        <f t="shared" si="230"/>
        <v>28</v>
      </c>
      <c r="K612" s="61">
        <f t="shared" si="230"/>
        <v>8260.4</v>
      </c>
      <c r="L612" s="6">
        <v>1</v>
      </c>
      <c r="M612" s="6">
        <v>4500</v>
      </c>
      <c r="N612" s="62">
        <f t="shared" si="231"/>
        <v>16</v>
      </c>
      <c r="O612" s="62">
        <f t="shared" si="232"/>
        <v>13756.5</v>
      </c>
    </row>
    <row r="613" spans="1:15" x14ac:dyDescent="0.25">
      <c r="A613" s="6" t="s">
        <v>43</v>
      </c>
      <c r="B613" s="6" t="s">
        <v>169</v>
      </c>
      <c r="C613" s="6">
        <v>12</v>
      </c>
      <c r="D613" s="63">
        <v>0</v>
      </c>
      <c r="E613" s="63">
        <v>0</v>
      </c>
      <c r="F613" s="62">
        <f t="shared" si="229"/>
        <v>19</v>
      </c>
      <c r="G613" s="62">
        <f t="shared" si="229"/>
        <v>14000</v>
      </c>
      <c r="H613" s="61">
        <v>4</v>
      </c>
      <c r="I613" s="61">
        <v>2277</v>
      </c>
      <c r="J613" s="61">
        <f t="shared" si="230"/>
        <v>32</v>
      </c>
      <c r="K613" s="61">
        <f t="shared" si="230"/>
        <v>10537.4</v>
      </c>
      <c r="L613" s="6">
        <v>0</v>
      </c>
      <c r="M613" s="6">
        <v>0</v>
      </c>
      <c r="N613" s="62">
        <f t="shared" si="231"/>
        <v>16</v>
      </c>
      <c r="O613" s="62">
        <f t="shared" si="232"/>
        <v>13756.5</v>
      </c>
    </row>
    <row r="614" spans="1:15" x14ac:dyDescent="0.25">
      <c r="A614" s="6" t="s">
        <v>112</v>
      </c>
      <c r="B614" s="6" t="s">
        <v>158</v>
      </c>
      <c r="C614" s="6">
        <v>1</v>
      </c>
      <c r="D614" s="63">
        <v>0</v>
      </c>
      <c r="E614" s="63">
        <v>0</v>
      </c>
      <c r="F614" s="62">
        <f>D614</f>
        <v>0</v>
      </c>
      <c r="G614" s="62">
        <f>E614</f>
        <v>0</v>
      </c>
      <c r="H614" s="61">
        <v>0</v>
      </c>
      <c r="I614" s="61">
        <v>0</v>
      </c>
      <c r="J614" s="61">
        <f>H614</f>
        <v>0</v>
      </c>
      <c r="K614" s="61">
        <f>I614</f>
        <v>0</v>
      </c>
      <c r="L614" s="6">
        <v>1</v>
      </c>
      <c r="M614" s="6">
        <v>5000</v>
      </c>
      <c r="N614" s="62">
        <f>L614</f>
        <v>1</v>
      </c>
      <c r="O614" s="62">
        <f>M614</f>
        <v>5000</v>
      </c>
    </row>
    <row r="615" spans="1:15" x14ac:dyDescent="0.25">
      <c r="A615" s="6" t="s">
        <v>112</v>
      </c>
      <c r="B615" s="6" t="s">
        <v>159</v>
      </c>
      <c r="C615" s="6">
        <v>2</v>
      </c>
      <c r="D615" s="63">
        <v>0</v>
      </c>
      <c r="E615" s="63">
        <v>0</v>
      </c>
      <c r="F615" s="62">
        <f t="shared" ref="F615:G625" si="233">F614+D615</f>
        <v>0</v>
      </c>
      <c r="G615" s="62">
        <f t="shared" si="233"/>
        <v>0</v>
      </c>
      <c r="H615" s="61">
        <v>0</v>
      </c>
      <c r="I615" s="61">
        <v>0</v>
      </c>
      <c r="J615" s="61">
        <f t="shared" ref="J615:K625" si="234">J614+H615</f>
        <v>0</v>
      </c>
      <c r="K615" s="61">
        <f t="shared" si="234"/>
        <v>0</v>
      </c>
      <c r="L615" s="6">
        <v>0</v>
      </c>
      <c r="M615" s="6">
        <v>0</v>
      </c>
      <c r="N615" s="62">
        <f t="shared" ref="N615:N625" si="235">N614+L615</f>
        <v>1</v>
      </c>
      <c r="O615" s="62">
        <f t="shared" ref="O615:O625" si="236">O614+M615</f>
        <v>5000</v>
      </c>
    </row>
    <row r="616" spans="1:15" x14ac:dyDescent="0.25">
      <c r="A616" s="6" t="s">
        <v>112</v>
      </c>
      <c r="B616" s="6" t="s">
        <v>160</v>
      </c>
      <c r="C616" s="6">
        <v>3</v>
      </c>
      <c r="D616" s="63">
        <v>1</v>
      </c>
      <c r="E616" s="63">
        <v>200</v>
      </c>
      <c r="F616" s="62">
        <f t="shared" si="233"/>
        <v>1</v>
      </c>
      <c r="G616" s="62">
        <f t="shared" si="233"/>
        <v>200</v>
      </c>
      <c r="H616" s="61">
        <v>0</v>
      </c>
      <c r="I616" s="61">
        <v>0</v>
      </c>
      <c r="J616" s="61">
        <f t="shared" si="234"/>
        <v>0</v>
      </c>
      <c r="K616" s="61">
        <f t="shared" si="234"/>
        <v>0</v>
      </c>
      <c r="L616" s="6">
        <v>0</v>
      </c>
      <c r="M616" s="6">
        <v>0</v>
      </c>
      <c r="N616" s="62">
        <f t="shared" si="235"/>
        <v>1</v>
      </c>
      <c r="O616" s="62">
        <f t="shared" si="236"/>
        <v>5000</v>
      </c>
    </row>
    <row r="617" spans="1:15" x14ac:dyDescent="0.25">
      <c r="A617" s="6" t="s">
        <v>112</v>
      </c>
      <c r="B617" s="6" t="s">
        <v>161</v>
      </c>
      <c r="C617" s="6">
        <v>4</v>
      </c>
      <c r="D617" s="63">
        <v>0</v>
      </c>
      <c r="E617" s="63">
        <v>0</v>
      </c>
      <c r="F617" s="62">
        <f t="shared" si="233"/>
        <v>1</v>
      </c>
      <c r="G617" s="62">
        <f t="shared" si="233"/>
        <v>200</v>
      </c>
      <c r="H617" s="61">
        <v>0</v>
      </c>
      <c r="I617" s="61">
        <v>0</v>
      </c>
      <c r="J617" s="61">
        <f t="shared" si="234"/>
        <v>0</v>
      </c>
      <c r="K617" s="61">
        <f t="shared" si="234"/>
        <v>0</v>
      </c>
      <c r="L617" s="6">
        <v>0</v>
      </c>
      <c r="M617" s="6">
        <v>0</v>
      </c>
      <c r="N617" s="62">
        <f t="shared" si="235"/>
        <v>1</v>
      </c>
      <c r="O617" s="62">
        <f t="shared" si="236"/>
        <v>5000</v>
      </c>
    </row>
    <row r="618" spans="1:15" x14ac:dyDescent="0.25">
      <c r="A618" s="6" t="s">
        <v>112</v>
      </c>
      <c r="B618" s="6" t="s">
        <v>162</v>
      </c>
      <c r="C618" s="6">
        <v>5</v>
      </c>
      <c r="D618" s="63">
        <v>0</v>
      </c>
      <c r="E618" s="63">
        <v>0</v>
      </c>
      <c r="F618" s="62">
        <f t="shared" si="233"/>
        <v>1</v>
      </c>
      <c r="G618" s="62">
        <f t="shared" si="233"/>
        <v>200</v>
      </c>
      <c r="H618" s="61">
        <v>1</v>
      </c>
      <c r="I618" s="61">
        <v>750</v>
      </c>
      <c r="J618" s="61">
        <f t="shared" si="234"/>
        <v>1</v>
      </c>
      <c r="K618" s="61">
        <f t="shared" si="234"/>
        <v>750</v>
      </c>
      <c r="L618" s="6">
        <v>0</v>
      </c>
      <c r="M618" s="6">
        <v>0</v>
      </c>
      <c r="N618" s="62">
        <f t="shared" si="235"/>
        <v>1</v>
      </c>
      <c r="O618" s="62">
        <f t="shared" si="236"/>
        <v>5000</v>
      </c>
    </row>
    <row r="619" spans="1:15" x14ac:dyDescent="0.25">
      <c r="A619" s="6" t="s">
        <v>112</v>
      </c>
      <c r="B619" s="6" t="s">
        <v>163</v>
      </c>
      <c r="C619" s="6">
        <v>6</v>
      </c>
      <c r="D619" s="63">
        <v>1</v>
      </c>
      <c r="E619" s="63">
        <v>750</v>
      </c>
      <c r="F619" s="62">
        <f t="shared" si="233"/>
        <v>2</v>
      </c>
      <c r="G619" s="62">
        <f t="shared" si="233"/>
        <v>950</v>
      </c>
      <c r="H619" s="61">
        <v>0</v>
      </c>
      <c r="I619" s="61">
        <v>0</v>
      </c>
      <c r="J619" s="61">
        <f t="shared" si="234"/>
        <v>1</v>
      </c>
      <c r="K619" s="61">
        <f t="shared" si="234"/>
        <v>750</v>
      </c>
      <c r="L619" s="6">
        <v>0</v>
      </c>
      <c r="M619" s="6">
        <v>0</v>
      </c>
      <c r="N619" s="62">
        <f t="shared" si="235"/>
        <v>1</v>
      </c>
      <c r="O619" s="62">
        <f t="shared" si="236"/>
        <v>5000</v>
      </c>
    </row>
    <row r="620" spans="1:15" x14ac:dyDescent="0.25">
      <c r="A620" s="6" t="s">
        <v>112</v>
      </c>
      <c r="B620" s="6" t="s">
        <v>164</v>
      </c>
      <c r="C620" s="6">
        <v>7</v>
      </c>
      <c r="D620" s="63">
        <v>1</v>
      </c>
      <c r="E620" s="63">
        <v>750</v>
      </c>
      <c r="F620" s="62">
        <f t="shared" si="233"/>
        <v>3</v>
      </c>
      <c r="G620" s="62">
        <f t="shared" si="233"/>
        <v>1700</v>
      </c>
      <c r="H620" s="61">
        <v>0</v>
      </c>
      <c r="I620" s="61">
        <v>0</v>
      </c>
      <c r="J620" s="61">
        <f t="shared" si="234"/>
        <v>1</v>
      </c>
      <c r="K620" s="61">
        <f t="shared" si="234"/>
        <v>750</v>
      </c>
      <c r="L620" s="6">
        <v>2</v>
      </c>
      <c r="M620" s="6">
        <v>2400</v>
      </c>
      <c r="N620" s="62">
        <f t="shared" si="235"/>
        <v>3</v>
      </c>
      <c r="O620" s="62">
        <f t="shared" si="236"/>
        <v>7400</v>
      </c>
    </row>
    <row r="621" spans="1:15" x14ac:dyDescent="0.25">
      <c r="A621" s="6" t="s">
        <v>112</v>
      </c>
      <c r="B621" s="6" t="s">
        <v>165</v>
      </c>
      <c r="C621" s="6">
        <v>8</v>
      </c>
      <c r="D621" s="63">
        <v>1</v>
      </c>
      <c r="E621" s="63">
        <v>1600</v>
      </c>
      <c r="F621" s="62">
        <f t="shared" si="233"/>
        <v>4</v>
      </c>
      <c r="G621" s="62">
        <f t="shared" si="233"/>
        <v>3300</v>
      </c>
      <c r="H621" s="61">
        <v>0</v>
      </c>
      <c r="I621" s="61">
        <v>0</v>
      </c>
      <c r="J621" s="61">
        <f t="shared" si="234"/>
        <v>1</v>
      </c>
      <c r="K621" s="61">
        <f t="shared" si="234"/>
        <v>750</v>
      </c>
      <c r="L621" s="6">
        <v>0</v>
      </c>
      <c r="M621" s="6">
        <v>0</v>
      </c>
      <c r="N621" s="62">
        <f t="shared" si="235"/>
        <v>3</v>
      </c>
      <c r="O621" s="62">
        <f t="shared" si="236"/>
        <v>7400</v>
      </c>
    </row>
    <row r="622" spans="1:15" x14ac:dyDescent="0.25">
      <c r="A622" s="6" t="s">
        <v>112</v>
      </c>
      <c r="B622" s="6" t="s">
        <v>166</v>
      </c>
      <c r="C622" s="6">
        <v>9</v>
      </c>
      <c r="D622" s="63">
        <v>0</v>
      </c>
      <c r="E622" s="63">
        <v>0</v>
      </c>
      <c r="F622" s="62">
        <f t="shared" si="233"/>
        <v>4</v>
      </c>
      <c r="G622" s="62">
        <f t="shared" si="233"/>
        <v>3300</v>
      </c>
      <c r="H622" s="61">
        <v>0</v>
      </c>
      <c r="I622" s="61">
        <v>0</v>
      </c>
      <c r="J622" s="61">
        <f t="shared" si="234"/>
        <v>1</v>
      </c>
      <c r="K622" s="61">
        <f t="shared" si="234"/>
        <v>750</v>
      </c>
      <c r="L622" s="6">
        <v>1</v>
      </c>
      <c r="M622" s="6">
        <v>750</v>
      </c>
      <c r="N622" s="62">
        <f t="shared" si="235"/>
        <v>4</v>
      </c>
      <c r="O622" s="62">
        <f t="shared" si="236"/>
        <v>8150</v>
      </c>
    </row>
    <row r="623" spans="1:15" x14ac:dyDescent="0.25">
      <c r="A623" s="6" t="s">
        <v>112</v>
      </c>
      <c r="B623" s="6" t="s">
        <v>167</v>
      </c>
      <c r="C623" s="6">
        <v>10</v>
      </c>
      <c r="D623" s="63">
        <v>1</v>
      </c>
      <c r="E623" s="63">
        <v>1950</v>
      </c>
      <c r="F623" s="62">
        <f t="shared" si="233"/>
        <v>5</v>
      </c>
      <c r="G623" s="62">
        <f t="shared" si="233"/>
        <v>5250</v>
      </c>
      <c r="H623" s="61">
        <v>3</v>
      </c>
      <c r="I623" s="61">
        <v>6550</v>
      </c>
      <c r="J623" s="61">
        <f t="shared" si="234"/>
        <v>4</v>
      </c>
      <c r="K623" s="61">
        <f t="shared" si="234"/>
        <v>7300</v>
      </c>
      <c r="L623" s="6">
        <v>0</v>
      </c>
      <c r="M623" s="6">
        <v>0</v>
      </c>
      <c r="N623" s="62">
        <f t="shared" si="235"/>
        <v>4</v>
      </c>
      <c r="O623" s="62">
        <f t="shared" si="236"/>
        <v>8150</v>
      </c>
    </row>
    <row r="624" spans="1:15" x14ac:dyDescent="0.25">
      <c r="A624" s="6" t="s">
        <v>112</v>
      </c>
      <c r="B624" s="6" t="s">
        <v>168</v>
      </c>
      <c r="C624" s="6">
        <v>11</v>
      </c>
      <c r="D624" s="63">
        <v>0</v>
      </c>
      <c r="E624" s="63">
        <v>0</v>
      </c>
      <c r="F624" s="62">
        <f t="shared" si="233"/>
        <v>5</v>
      </c>
      <c r="G624" s="62">
        <f t="shared" si="233"/>
        <v>5250</v>
      </c>
      <c r="H624" s="61">
        <v>3</v>
      </c>
      <c r="I624" s="61">
        <v>390</v>
      </c>
      <c r="J624" s="61">
        <f t="shared" si="234"/>
        <v>7</v>
      </c>
      <c r="K624" s="61">
        <f t="shared" si="234"/>
        <v>7690</v>
      </c>
      <c r="L624" s="6">
        <v>9</v>
      </c>
      <c r="M624" s="6">
        <v>14800</v>
      </c>
      <c r="N624" s="62">
        <f t="shared" si="235"/>
        <v>13</v>
      </c>
      <c r="O624" s="62">
        <f t="shared" si="236"/>
        <v>22950</v>
      </c>
    </row>
    <row r="625" spans="1:15" x14ac:dyDescent="0.25">
      <c r="A625" s="6" t="s">
        <v>112</v>
      </c>
      <c r="B625" s="6" t="s">
        <v>169</v>
      </c>
      <c r="C625" s="6">
        <v>12</v>
      </c>
      <c r="D625" s="63">
        <v>0</v>
      </c>
      <c r="E625" s="63">
        <v>0</v>
      </c>
      <c r="F625" s="62">
        <f t="shared" si="233"/>
        <v>5</v>
      </c>
      <c r="G625" s="62">
        <f t="shared" si="233"/>
        <v>5250</v>
      </c>
      <c r="H625" s="61">
        <v>0</v>
      </c>
      <c r="I625" s="61">
        <v>0</v>
      </c>
      <c r="J625" s="61">
        <f t="shared" si="234"/>
        <v>7</v>
      </c>
      <c r="K625" s="61">
        <f t="shared" si="234"/>
        <v>7690</v>
      </c>
      <c r="L625" s="6">
        <v>0</v>
      </c>
      <c r="M625" s="6">
        <v>0</v>
      </c>
      <c r="N625" s="62">
        <f t="shared" si="235"/>
        <v>13</v>
      </c>
      <c r="O625" s="62">
        <f t="shared" si="236"/>
        <v>22950</v>
      </c>
    </row>
    <row r="626" spans="1:15" x14ac:dyDescent="0.25">
      <c r="A626" s="6" t="s">
        <v>135</v>
      </c>
      <c r="B626" s="6" t="s">
        <v>158</v>
      </c>
      <c r="C626" s="6">
        <v>1</v>
      </c>
      <c r="D626" s="63">
        <v>0</v>
      </c>
      <c r="E626" s="63">
        <v>0</v>
      </c>
      <c r="F626" s="62">
        <f>D626</f>
        <v>0</v>
      </c>
      <c r="G626" s="62">
        <f>E626</f>
        <v>0</v>
      </c>
      <c r="H626" s="62">
        <v>0</v>
      </c>
      <c r="I626" s="62">
        <v>0</v>
      </c>
      <c r="J626" s="62">
        <f>H626</f>
        <v>0</v>
      </c>
      <c r="K626" s="62">
        <f>I626</f>
        <v>0</v>
      </c>
      <c r="L626" s="6">
        <v>0</v>
      </c>
      <c r="M626" s="6">
        <v>0</v>
      </c>
      <c r="N626" s="62">
        <f>L626</f>
        <v>0</v>
      </c>
      <c r="O626" s="62">
        <f>M626</f>
        <v>0</v>
      </c>
    </row>
    <row r="627" spans="1:15" x14ac:dyDescent="0.25">
      <c r="A627" s="6" t="s">
        <v>135</v>
      </c>
      <c r="B627" s="6" t="s">
        <v>159</v>
      </c>
      <c r="C627" s="6">
        <v>2</v>
      </c>
      <c r="D627" s="63">
        <v>0</v>
      </c>
      <c r="E627" s="63">
        <v>0</v>
      </c>
      <c r="F627" s="62">
        <f t="shared" ref="F627:F637" si="237">F626+D627</f>
        <v>0</v>
      </c>
      <c r="G627" s="62">
        <f t="shared" ref="G627:G637" si="238">G626+E627</f>
        <v>0</v>
      </c>
      <c r="H627" s="62">
        <v>0</v>
      </c>
      <c r="I627" s="62">
        <v>0</v>
      </c>
      <c r="J627" s="62">
        <f t="shared" ref="J627:J637" si="239">J626+H627</f>
        <v>0</v>
      </c>
      <c r="K627" s="62">
        <f t="shared" ref="K627:K637" si="240">K626+I627</f>
        <v>0</v>
      </c>
      <c r="L627" s="6">
        <v>0</v>
      </c>
      <c r="M627" s="6">
        <v>0</v>
      </c>
      <c r="N627" s="62">
        <f t="shared" ref="N627:N637" si="241">N626+L627</f>
        <v>0</v>
      </c>
      <c r="O627" s="62">
        <f t="shared" ref="O627:O637" si="242">O626+M627</f>
        <v>0</v>
      </c>
    </row>
    <row r="628" spans="1:15" x14ac:dyDescent="0.25">
      <c r="A628" s="6" t="s">
        <v>135</v>
      </c>
      <c r="B628" s="6" t="s">
        <v>160</v>
      </c>
      <c r="C628" s="6">
        <v>3</v>
      </c>
      <c r="D628" s="63">
        <v>0</v>
      </c>
      <c r="E628" s="63">
        <v>0</v>
      </c>
      <c r="F628" s="62">
        <f t="shared" si="237"/>
        <v>0</v>
      </c>
      <c r="G628" s="62">
        <f t="shared" si="238"/>
        <v>0</v>
      </c>
      <c r="H628" s="62">
        <v>0</v>
      </c>
      <c r="I628" s="62">
        <v>0</v>
      </c>
      <c r="J628" s="62">
        <f t="shared" si="239"/>
        <v>0</v>
      </c>
      <c r="K628" s="62">
        <f t="shared" si="240"/>
        <v>0</v>
      </c>
      <c r="L628" s="6">
        <v>0</v>
      </c>
      <c r="M628" s="6">
        <v>0</v>
      </c>
      <c r="N628" s="62">
        <f t="shared" si="241"/>
        <v>0</v>
      </c>
      <c r="O628" s="62">
        <f t="shared" si="242"/>
        <v>0</v>
      </c>
    </row>
    <row r="629" spans="1:15" x14ac:dyDescent="0.25">
      <c r="A629" s="6" t="s">
        <v>135</v>
      </c>
      <c r="B629" s="6" t="s">
        <v>161</v>
      </c>
      <c r="C629" s="6">
        <v>4</v>
      </c>
      <c r="D629" s="63">
        <v>0</v>
      </c>
      <c r="E629" s="63">
        <v>0</v>
      </c>
      <c r="F629" s="62">
        <f t="shared" si="237"/>
        <v>0</v>
      </c>
      <c r="G629" s="62">
        <f t="shared" si="238"/>
        <v>0</v>
      </c>
      <c r="H629" s="62">
        <v>0</v>
      </c>
      <c r="I629" s="62">
        <v>0</v>
      </c>
      <c r="J629" s="62">
        <f t="shared" si="239"/>
        <v>0</v>
      </c>
      <c r="K629" s="62">
        <f t="shared" si="240"/>
        <v>0</v>
      </c>
      <c r="L629" s="6">
        <v>0</v>
      </c>
      <c r="M629" s="6">
        <v>0</v>
      </c>
      <c r="N629" s="62">
        <f t="shared" si="241"/>
        <v>0</v>
      </c>
      <c r="O629" s="62">
        <f t="shared" si="242"/>
        <v>0</v>
      </c>
    </row>
    <row r="630" spans="1:15" x14ac:dyDescent="0.25">
      <c r="A630" s="6" t="s">
        <v>135</v>
      </c>
      <c r="B630" s="6" t="s">
        <v>162</v>
      </c>
      <c r="C630" s="6">
        <v>5</v>
      </c>
      <c r="D630" s="63">
        <v>0</v>
      </c>
      <c r="E630" s="63">
        <v>0</v>
      </c>
      <c r="F630" s="62">
        <f t="shared" si="237"/>
        <v>0</v>
      </c>
      <c r="G630" s="62">
        <f t="shared" si="238"/>
        <v>0</v>
      </c>
      <c r="H630" s="62">
        <v>0</v>
      </c>
      <c r="I630" s="62">
        <v>0</v>
      </c>
      <c r="J630" s="62">
        <f t="shared" si="239"/>
        <v>0</v>
      </c>
      <c r="K630" s="62">
        <f t="shared" si="240"/>
        <v>0</v>
      </c>
      <c r="L630" s="6">
        <v>0</v>
      </c>
      <c r="M630" s="6">
        <v>0</v>
      </c>
      <c r="N630" s="62">
        <f t="shared" si="241"/>
        <v>0</v>
      </c>
      <c r="O630" s="62">
        <f t="shared" si="242"/>
        <v>0</v>
      </c>
    </row>
    <row r="631" spans="1:15" x14ac:dyDescent="0.25">
      <c r="A631" s="6" t="s">
        <v>135</v>
      </c>
      <c r="B631" s="6" t="s">
        <v>163</v>
      </c>
      <c r="C631" s="6">
        <v>6</v>
      </c>
      <c r="D631" s="63">
        <v>0</v>
      </c>
      <c r="E631" s="63">
        <v>0</v>
      </c>
      <c r="F631" s="62">
        <f t="shared" si="237"/>
        <v>0</v>
      </c>
      <c r="G631" s="62">
        <f t="shared" si="238"/>
        <v>0</v>
      </c>
      <c r="H631" s="62">
        <v>0</v>
      </c>
      <c r="I631" s="62">
        <v>0</v>
      </c>
      <c r="J631" s="62">
        <f t="shared" si="239"/>
        <v>0</v>
      </c>
      <c r="K631" s="62">
        <f t="shared" si="240"/>
        <v>0</v>
      </c>
      <c r="L631" s="6">
        <v>0</v>
      </c>
      <c r="M631" s="6">
        <v>0</v>
      </c>
      <c r="N631" s="62">
        <f t="shared" si="241"/>
        <v>0</v>
      </c>
      <c r="O631" s="62">
        <f t="shared" si="242"/>
        <v>0</v>
      </c>
    </row>
    <row r="632" spans="1:15" x14ac:dyDescent="0.25">
      <c r="A632" s="6" t="s">
        <v>135</v>
      </c>
      <c r="B632" s="6" t="s">
        <v>164</v>
      </c>
      <c r="C632" s="6">
        <v>7</v>
      </c>
      <c r="D632" s="63">
        <v>0</v>
      </c>
      <c r="E632" s="63">
        <v>0</v>
      </c>
      <c r="F632" s="62">
        <f t="shared" si="237"/>
        <v>0</v>
      </c>
      <c r="G632" s="62">
        <f t="shared" si="238"/>
        <v>0</v>
      </c>
      <c r="H632" s="62">
        <v>0</v>
      </c>
      <c r="I632" s="62">
        <v>0</v>
      </c>
      <c r="J632" s="62">
        <f t="shared" si="239"/>
        <v>0</v>
      </c>
      <c r="K632" s="62">
        <f t="shared" si="240"/>
        <v>0</v>
      </c>
      <c r="L632" s="6">
        <v>0</v>
      </c>
      <c r="M632" s="6">
        <v>0</v>
      </c>
      <c r="N632" s="62">
        <f t="shared" si="241"/>
        <v>0</v>
      </c>
      <c r="O632" s="62">
        <f t="shared" si="242"/>
        <v>0</v>
      </c>
    </row>
    <row r="633" spans="1:15" x14ac:dyDescent="0.25">
      <c r="A633" s="6" t="s">
        <v>135</v>
      </c>
      <c r="B633" s="6" t="s">
        <v>165</v>
      </c>
      <c r="C633" s="6">
        <v>8</v>
      </c>
      <c r="D633" s="63">
        <v>0</v>
      </c>
      <c r="E633" s="63">
        <v>0</v>
      </c>
      <c r="F633" s="62">
        <f t="shared" si="237"/>
        <v>0</v>
      </c>
      <c r="G633" s="62">
        <f t="shared" si="238"/>
        <v>0</v>
      </c>
      <c r="H633" s="62">
        <v>0</v>
      </c>
      <c r="I633" s="62">
        <v>0</v>
      </c>
      <c r="J633" s="62">
        <f t="shared" si="239"/>
        <v>0</v>
      </c>
      <c r="K633" s="62">
        <f t="shared" si="240"/>
        <v>0</v>
      </c>
      <c r="L633" s="6">
        <v>0</v>
      </c>
      <c r="M633" s="6">
        <v>0</v>
      </c>
      <c r="N633" s="62">
        <f t="shared" si="241"/>
        <v>0</v>
      </c>
      <c r="O633" s="62">
        <f t="shared" si="242"/>
        <v>0</v>
      </c>
    </row>
    <row r="634" spans="1:15" x14ac:dyDescent="0.25">
      <c r="A634" s="6" t="s">
        <v>135</v>
      </c>
      <c r="B634" s="6" t="s">
        <v>166</v>
      </c>
      <c r="C634" s="6">
        <v>9</v>
      </c>
      <c r="D634" s="63">
        <v>0</v>
      </c>
      <c r="E634" s="63">
        <v>0</v>
      </c>
      <c r="F634" s="62">
        <f t="shared" si="237"/>
        <v>0</v>
      </c>
      <c r="G634" s="62">
        <f t="shared" si="238"/>
        <v>0</v>
      </c>
      <c r="H634" s="62">
        <v>0</v>
      </c>
      <c r="I634" s="62">
        <v>0</v>
      </c>
      <c r="J634" s="62">
        <f t="shared" si="239"/>
        <v>0</v>
      </c>
      <c r="K634" s="62">
        <f t="shared" si="240"/>
        <v>0</v>
      </c>
      <c r="L634" s="6">
        <v>0</v>
      </c>
      <c r="M634" s="6">
        <v>0</v>
      </c>
      <c r="N634" s="62">
        <f t="shared" si="241"/>
        <v>0</v>
      </c>
      <c r="O634" s="62">
        <f t="shared" si="242"/>
        <v>0</v>
      </c>
    </row>
    <row r="635" spans="1:15" x14ac:dyDescent="0.25">
      <c r="A635" s="6" t="s">
        <v>135</v>
      </c>
      <c r="B635" s="6" t="s">
        <v>167</v>
      </c>
      <c r="C635" s="6">
        <v>10</v>
      </c>
      <c r="D635" s="63">
        <v>0</v>
      </c>
      <c r="E635" s="63">
        <v>0</v>
      </c>
      <c r="F635" s="62">
        <f t="shared" si="237"/>
        <v>0</v>
      </c>
      <c r="G635" s="62">
        <f t="shared" si="238"/>
        <v>0</v>
      </c>
      <c r="H635" s="62">
        <v>0</v>
      </c>
      <c r="I635" s="62">
        <v>0</v>
      </c>
      <c r="J635" s="62">
        <f t="shared" si="239"/>
        <v>0</v>
      </c>
      <c r="K635" s="62">
        <f t="shared" si="240"/>
        <v>0</v>
      </c>
      <c r="L635" s="6">
        <v>0</v>
      </c>
      <c r="M635" s="6">
        <v>0</v>
      </c>
      <c r="N635" s="62">
        <f t="shared" si="241"/>
        <v>0</v>
      </c>
      <c r="O635" s="62">
        <f t="shared" si="242"/>
        <v>0</v>
      </c>
    </row>
    <row r="636" spans="1:15" x14ac:dyDescent="0.25">
      <c r="A636" s="6" t="s">
        <v>135</v>
      </c>
      <c r="B636" s="6" t="s">
        <v>168</v>
      </c>
      <c r="C636" s="6">
        <v>11</v>
      </c>
      <c r="D636" s="63">
        <v>0</v>
      </c>
      <c r="E636" s="63">
        <v>0</v>
      </c>
      <c r="F636" s="62">
        <f t="shared" si="237"/>
        <v>0</v>
      </c>
      <c r="G636" s="62">
        <f t="shared" si="238"/>
        <v>0</v>
      </c>
      <c r="H636" s="62">
        <v>0</v>
      </c>
      <c r="I636" s="62">
        <v>0</v>
      </c>
      <c r="J636" s="62">
        <f t="shared" si="239"/>
        <v>0</v>
      </c>
      <c r="K636" s="62">
        <f t="shared" si="240"/>
        <v>0</v>
      </c>
      <c r="L636" s="6">
        <v>0</v>
      </c>
      <c r="M636" s="6">
        <v>0</v>
      </c>
      <c r="N636" s="62">
        <f t="shared" si="241"/>
        <v>0</v>
      </c>
      <c r="O636" s="62">
        <f t="shared" si="242"/>
        <v>0</v>
      </c>
    </row>
    <row r="637" spans="1:15" x14ac:dyDescent="0.25">
      <c r="A637" s="6" t="s">
        <v>135</v>
      </c>
      <c r="B637" s="6" t="s">
        <v>169</v>
      </c>
      <c r="C637" s="6">
        <v>12</v>
      </c>
      <c r="D637" s="63">
        <v>0</v>
      </c>
      <c r="E637" s="63">
        <v>0</v>
      </c>
      <c r="F637" s="62">
        <f t="shared" si="237"/>
        <v>0</v>
      </c>
      <c r="G637" s="62">
        <f t="shared" si="238"/>
        <v>0</v>
      </c>
      <c r="H637" s="62">
        <v>0</v>
      </c>
      <c r="I637" s="62">
        <v>0</v>
      </c>
      <c r="J637" s="62">
        <f t="shared" si="239"/>
        <v>0</v>
      </c>
      <c r="K637" s="62">
        <f t="shared" si="240"/>
        <v>0</v>
      </c>
      <c r="L637" s="6">
        <v>0</v>
      </c>
      <c r="M637" s="6">
        <v>0</v>
      </c>
      <c r="N637" s="62">
        <f t="shared" si="241"/>
        <v>0</v>
      </c>
      <c r="O637" s="62">
        <f t="shared" si="242"/>
        <v>0</v>
      </c>
    </row>
    <row r="638" spans="1:15" x14ac:dyDescent="0.25">
      <c r="A638" s="6" t="s">
        <v>131</v>
      </c>
      <c r="B638" s="6" t="s">
        <v>158</v>
      </c>
      <c r="C638" s="6">
        <v>1</v>
      </c>
      <c r="D638" s="63">
        <v>0</v>
      </c>
      <c r="E638" s="63">
        <v>0</v>
      </c>
      <c r="F638" s="62">
        <f>D638</f>
        <v>0</v>
      </c>
      <c r="G638" s="62">
        <f>E638</f>
        <v>0</v>
      </c>
      <c r="H638" s="61">
        <v>0</v>
      </c>
      <c r="I638" s="61">
        <v>0</v>
      </c>
      <c r="J638" s="61">
        <f>H638</f>
        <v>0</v>
      </c>
      <c r="K638" s="61">
        <f>I638</f>
        <v>0</v>
      </c>
      <c r="L638" s="6">
        <v>0</v>
      </c>
      <c r="M638" s="6">
        <v>0</v>
      </c>
      <c r="N638" s="62">
        <f>L638</f>
        <v>0</v>
      </c>
      <c r="O638" s="62">
        <f>M638</f>
        <v>0</v>
      </c>
    </row>
    <row r="639" spans="1:15" x14ac:dyDescent="0.25">
      <c r="A639" s="6" t="s">
        <v>131</v>
      </c>
      <c r="B639" s="6" t="s">
        <v>159</v>
      </c>
      <c r="C639" s="6">
        <v>2</v>
      </c>
      <c r="D639" s="63">
        <v>0</v>
      </c>
      <c r="E639" s="63">
        <v>0</v>
      </c>
      <c r="F639" s="62">
        <f t="shared" ref="F639:G649" si="243">F638+D639</f>
        <v>0</v>
      </c>
      <c r="G639" s="62">
        <f t="shared" si="243"/>
        <v>0</v>
      </c>
      <c r="H639" s="61">
        <v>1</v>
      </c>
      <c r="I639" s="61">
        <v>50</v>
      </c>
      <c r="J639" s="61">
        <f t="shared" ref="J639:K649" si="244">J638+H639</f>
        <v>1</v>
      </c>
      <c r="K639" s="61">
        <f t="shared" si="244"/>
        <v>50</v>
      </c>
      <c r="L639" s="6">
        <v>10</v>
      </c>
      <c r="M639" s="6">
        <v>4706.1000000000004</v>
      </c>
      <c r="N639" s="62">
        <f t="shared" ref="N639:N649" si="245">N638+L639</f>
        <v>10</v>
      </c>
      <c r="O639" s="62">
        <f t="shared" ref="O639:O649" si="246">O638+M639</f>
        <v>4706.1000000000004</v>
      </c>
    </row>
    <row r="640" spans="1:15" x14ac:dyDescent="0.25">
      <c r="A640" s="6" t="s">
        <v>131</v>
      </c>
      <c r="B640" s="6" t="s">
        <v>160</v>
      </c>
      <c r="C640" s="6">
        <v>3</v>
      </c>
      <c r="D640" s="63">
        <v>0</v>
      </c>
      <c r="E640" s="63">
        <v>0</v>
      </c>
      <c r="F640" s="62">
        <f t="shared" si="243"/>
        <v>0</v>
      </c>
      <c r="G640" s="62">
        <f t="shared" si="243"/>
        <v>0</v>
      </c>
      <c r="H640" s="61">
        <v>13</v>
      </c>
      <c r="I640" s="61">
        <v>6403.8</v>
      </c>
      <c r="J640" s="61">
        <f t="shared" si="244"/>
        <v>14</v>
      </c>
      <c r="K640" s="61">
        <f t="shared" si="244"/>
        <v>6453.8</v>
      </c>
      <c r="L640" s="6">
        <v>0</v>
      </c>
      <c r="M640" s="6">
        <v>0</v>
      </c>
      <c r="N640" s="62">
        <f t="shared" si="245"/>
        <v>10</v>
      </c>
      <c r="O640" s="62">
        <f t="shared" si="246"/>
        <v>4706.1000000000004</v>
      </c>
    </row>
    <row r="641" spans="1:15" x14ac:dyDescent="0.25">
      <c r="A641" s="6" t="s">
        <v>131</v>
      </c>
      <c r="B641" s="6" t="s">
        <v>161</v>
      </c>
      <c r="C641" s="6">
        <v>4</v>
      </c>
      <c r="D641" s="63">
        <v>0</v>
      </c>
      <c r="E641" s="63">
        <v>0</v>
      </c>
      <c r="F641" s="62">
        <f t="shared" si="243"/>
        <v>0</v>
      </c>
      <c r="G641" s="62">
        <f t="shared" si="243"/>
        <v>0</v>
      </c>
      <c r="H641" s="61">
        <v>3</v>
      </c>
      <c r="I641" s="61">
        <v>3450</v>
      </c>
      <c r="J641" s="61">
        <f t="shared" si="244"/>
        <v>17</v>
      </c>
      <c r="K641" s="61">
        <f t="shared" si="244"/>
        <v>9903.7999999999993</v>
      </c>
      <c r="L641" s="6">
        <v>0</v>
      </c>
      <c r="M641" s="6">
        <v>0</v>
      </c>
      <c r="N641" s="62">
        <f t="shared" si="245"/>
        <v>10</v>
      </c>
      <c r="O641" s="62">
        <f t="shared" si="246"/>
        <v>4706.1000000000004</v>
      </c>
    </row>
    <row r="642" spans="1:15" x14ac:dyDescent="0.25">
      <c r="A642" s="6" t="s">
        <v>131</v>
      </c>
      <c r="B642" s="6" t="s">
        <v>162</v>
      </c>
      <c r="C642" s="6">
        <v>5</v>
      </c>
      <c r="D642" s="63">
        <v>0</v>
      </c>
      <c r="E642" s="63">
        <v>0</v>
      </c>
      <c r="F642" s="62">
        <f t="shared" si="243"/>
        <v>0</v>
      </c>
      <c r="G642" s="62">
        <f t="shared" si="243"/>
        <v>0</v>
      </c>
      <c r="H642" s="61">
        <v>0</v>
      </c>
      <c r="I642" s="61">
        <v>0</v>
      </c>
      <c r="J642" s="61">
        <f t="shared" si="244"/>
        <v>17</v>
      </c>
      <c r="K642" s="61">
        <f t="shared" si="244"/>
        <v>9903.7999999999993</v>
      </c>
      <c r="L642" s="6">
        <v>0</v>
      </c>
      <c r="M642" s="6">
        <v>0</v>
      </c>
      <c r="N642" s="62">
        <f t="shared" si="245"/>
        <v>10</v>
      </c>
      <c r="O642" s="62">
        <f t="shared" si="246"/>
        <v>4706.1000000000004</v>
      </c>
    </row>
    <row r="643" spans="1:15" x14ac:dyDescent="0.25">
      <c r="A643" s="6" t="s">
        <v>131</v>
      </c>
      <c r="B643" s="6" t="s">
        <v>163</v>
      </c>
      <c r="C643" s="6">
        <v>6</v>
      </c>
      <c r="D643" s="63">
        <v>2</v>
      </c>
      <c r="E643" s="63">
        <v>2300</v>
      </c>
      <c r="F643" s="62">
        <f t="shared" si="243"/>
        <v>2</v>
      </c>
      <c r="G643" s="62">
        <f t="shared" si="243"/>
        <v>2300</v>
      </c>
      <c r="H643" s="61">
        <v>3</v>
      </c>
      <c r="I643" s="61">
        <v>2199.9899999999998</v>
      </c>
      <c r="J643" s="61">
        <f t="shared" si="244"/>
        <v>20</v>
      </c>
      <c r="K643" s="61">
        <f t="shared" si="244"/>
        <v>12103.789999999999</v>
      </c>
      <c r="L643" s="6">
        <v>3</v>
      </c>
      <c r="M643" s="6">
        <v>2650</v>
      </c>
      <c r="N643" s="62">
        <f t="shared" si="245"/>
        <v>13</v>
      </c>
      <c r="O643" s="62">
        <f t="shared" si="246"/>
        <v>7356.1</v>
      </c>
    </row>
    <row r="644" spans="1:15" x14ac:dyDescent="0.25">
      <c r="A644" s="6" t="s">
        <v>131</v>
      </c>
      <c r="B644" s="6" t="s">
        <v>164</v>
      </c>
      <c r="C644" s="6">
        <v>7</v>
      </c>
      <c r="D644" s="63">
        <v>1</v>
      </c>
      <c r="E644" s="63">
        <v>1600</v>
      </c>
      <c r="F644" s="62">
        <f t="shared" si="243"/>
        <v>3</v>
      </c>
      <c r="G644" s="62">
        <f t="shared" si="243"/>
        <v>3900</v>
      </c>
      <c r="H644" s="61">
        <v>1</v>
      </c>
      <c r="I644" s="61">
        <v>1804.05</v>
      </c>
      <c r="J644" s="61">
        <f t="shared" si="244"/>
        <v>21</v>
      </c>
      <c r="K644" s="61">
        <f t="shared" si="244"/>
        <v>13907.839999999998</v>
      </c>
      <c r="L644" s="6">
        <v>1</v>
      </c>
      <c r="M644" s="6">
        <v>100</v>
      </c>
      <c r="N644" s="62">
        <f t="shared" si="245"/>
        <v>14</v>
      </c>
      <c r="O644" s="62">
        <f t="shared" si="246"/>
        <v>7456.1</v>
      </c>
    </row>
    <row r="645" spans="1:15" x14ac:dyDescent="0.25">
      <c r="A645" s="6" t="s">
        <v>131</v>
      </c>
      <c r="B645" s="6" t="s">
        <v>165</v>
      </c>
      <c r="C645" s="6">
        <v>8</v>
      </c>
      <c r="D645" s="62">
        <v>3</v>
      </c>
      <c r="E645" s="62">
        <v>2004</v>
      </c>
      <c r="F645" s="62">
        <f t="shared" si="243"/>
        <v>6</v>
      </c>
      <c r="G645" s="62">
        <f t="shared" si="243"/>
        <v>5904</v>
      </c>
      <c r="H645" s="61">
        <v>1</v>
      </c>
      <c r="I645" s="61">
        <v>475</v>
      </c>
      <c r="J645" s="61">
        <f t="shared" si="244"/>
        <v>22</v>
      </c>
      <c r="K645" s="61">
        <f t="shared" si="244"/>
        <v>14382.839999999998</v>
      </c>
      <c r="L645" s="6">
        <v>1</v>
      </c>
      <c r="M645" s="6">
        <v>1623.47</v>
      </c>
      <c r="N645" s="62">
        <f t="shared" si="245"/>
        <v>15</v>
      </c>
      <c r="O645" s="62">
        <f t="shared" si="246"/>
        <v>9079.57</v>
      </c>
    </row>
    <row r="646" spans="1:15" x14ac:dyDescent="0.25">
      <c r="A646" s="6" t="s">
        <v>131</v>
      </c>
      <c r="B646" s="6" t="s">
        <v>166</v>
      </c>
      <c r="C646" s="6">
        <v>9</v>
      </c>
      <c r="D646" s="63">
        <v>0</v>
      </c>
      <c r="E646" s="63">
        <v>0</v>
      </c>
      <c r="F646" s="62">
        <f t="shared" si="243"/>
        <v>6</v>
      </c>
      <c r="G646" s="62">
        <f t="shared" si="243"/>
        <v>5904</v>
      </c>
      <c r="H646" s="61">
        <v>1</v>
      </c>
      <c r="I646" s="61">
        <v>4983.82</v>
      </c>
      <c r="J646" s="61">
        <f t="shared" si="244"/>
        <v>23</v>
      </c>
      <c r="K646" s="61">
        <f t="shared" si="244"/>
        <v>19366.659999999996</v>
      </c>
      <c r="L646" s="6">
        <v>1</v>
      </c>
      <c r="M646" s="6">
        <v>90</v>
      </c>
      <c r="N646" s="62">
        <f t="shared" si="245"/>
        <v>16</v>
      </c>
      <c r="O646" s="62">
        <f t="shared" si="246"/>
        <v>9169.57</v>
      </c>
    </row>
    <row r="647" spans="1:15" x14ac:dyDescent="0.25">
      <c r="A647" s="6" t="s">
        <v>131</v>
      </c>
      <c r="B647" s="6" t="s">
        <v>167</v>
      </c>
      <c r="C647" s="6">
        <v>10</v>
      </c>
      <c r="D647" s="63">
        <v>0</v>
      </c>
      <c r="E647" s="63">
        <v>0</v>
      </c>
      <c r="F647" s="62">
        <f t="shared" si="243"/>
        <v>6</v>
      </c>
      <c r="G647" s="62">
        <f t="shared" si="243"/>
        <v>5904</v>
      </c>
      <c r="H647" s="61">
        <v>0</v>
      </c>
      <c r="I647" s="61">
        <v>0</v>
      </c>
      <c r="J647" s="61">
        <f t="shared" si="244"/>
        <v>23</v>
      </c>
      <c r="K647" s="61">
        <f t="shared" si="244"/>
        <v>19366.659999999996</v>
      </c>
      <c r="L647" s="6">
        <v>2</v>
      </c>
      <c r="M647" s="6">
        <v>549.02</v>
      </c>
      <c r="N647" s="62">
        <f t="shared" si="245"/>
        <v>18</v>
      </c>
      <c r="O647" s="62">
        <f t="shared" si="246"/>
        <v>9718.59</v>
      </c>
    </row>
    <row r="648" spans="1:15" x14ac:dyDescent="0.25">
      <c r="A648" s="6" t="s">
        <v>131</v>
      </c>
      <c r="B648" s="6" t="s">
        <v>168</v>
      </c>
      <c r="C648" s="6">
        <v>11</v>
      </c>
      <c r="D648" s="63">
        <v>3</v>
      </c>
      <c r="E648" s="62">
        <v>2837</v>
      </c>
      <c r="F648" s="62">
        <f t="shared" si="243"/>
        <v>9</v>
      </c>
      <c r="G648" s="62">
        <f t="shared" si="243"/>
        <v>8741</v>
      </c>
      <c r="H648" s="61">
        <v>0</v>
      </c>
      <c r="I648" s="61">
        <v>0</v>
      </c>
      <c r="J648" s="61">
        <f t="shared" si="244"/>
        <v>23</v>
      </c>
      <c r="K648" s="61">
        <f t="shared" si="244"/>
        <v>19366.659999999996</v>
      </c>
      <c r="L648" s="6">
        <v>0</v>
      </c>
      <c r="M648" s="6">
        <v>0</v>
      </c>
      <c r="N648" s="62">
        <f t="shared" si="245"/>
        <v>18</v>
      </c>
      <c r="O648" s="62">
        <f t="shared" si="246"/>
        <v>9718.59</v>
      </c>
    </row>
    <row r="649" spans="1:15" x14ac:dyDescent="0.25">
      <c r="A649" s="6" t="s">
        <v>131</v>
      </c>
      <c r="B649" s="6" t="s">
        <v>169</v>
      </c>
      <c r="C649" s="6">
        <v>12</v>
      </c>
      <c r="D649" s="63">
        <v>0</v>
      </c>
      <c r="E649" s="63">
        <v>0</v>
      </c>
      <c r="F649" s="62">
        <f t="shared" si="243"/>
        <v>9</v>
      </c>
      <c r="G649" s="62">
        <f t="shared" si="243"/>
        <v>8741</v>
      </c>
      <c r="H649" s="61">
        <v>0</v>
      </c>
      <c r="I649" s="61">
        <v>0</v>
      </c>
      <c r="J649" s="61">
        <f t="shared" si="244"/>
        <v>23</v>
      </c>
      <c r="K649" s="61">
        <f t="shared" si="244"/>
        <v>19366.659999999996</v>
      </c>
      <c r="L649" s="6">
        <v>0</v>
      </c>
      <c r="M649" s="6">
        <v>0</v>
      </c>
      <c r="N649" s="62">
        <f t="shared" si="245"/>
        <v>18</v>
      </c>
      <c r="O649" s="62">
        <f t="shared" si="246"/>
        <v>9718.59</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E913-F88E-47FD-AB5C-47B8FCD98F64}">
  <dimension ref="A1:Y649"/>
  <sheetViews>
    <sheetView showGridLines="0" workbookViewId="0">
      <pane xSplit="2" ySplit="1" topLeftCell="C2" activePane="bottomRight" state="frozen"/>
      <selection pane="topRight" activeCell="C1" sqref="C1"/>
      <selection pane="bottomLeft" activeCell="A2" sqref="A2"/>
      <selection pane="bottomRight" activeCell="D636" sqref="D636"/>
    </sheetView>
  </sheetViews>
  <sheetFormatPr defaultColWidth="40.5" defaultRowHeight="13.8" x14ac:dyDescent="0.25"/>
  <cols>
    <col min="1" max="1" width="40.5" style="7"/>
    <col min="2" max="2" width="10.69921875" style="7" customWidth="1"/>
    <col min="3" max="3" width="40.5" style="7"/>
    <col min="4" max="4" width="34.296875" style="7" customWidth="1"/>
    <col min="5" max="5" width="40.5" style="3"/>
    <col min="6" max="8" width="40.5" style="7"/>
    <col min="9" max="11" width="40.5" style="6"/>
    <col min="12" max="12" width="40.5" style="36"/>
    <col min="13" max="16" width="40.5" style="6"/>
    <col min="17" max="17" width="40.5" style="47"/>
    <col min="18" max="18" width="40.5" style="6"/>
    <col min="19" max="19" width="40.5" style="36"/>
    <col min="20" max="24" width="40.5" style="6"/>
    <col min="25" max="16384" width="40.5" style="7"/>
  </cols>
  <sheetData>
    <row r="1" spans="1:25" s="10" customFormat="1" ht="15.6" x14ac:dyDescent="0.25">
      <c r="A1" s="8" t="s">
        <v>0</v>
      </c>
      <c r="B1" s="9" t="s">
        <v>172</v>
      </c>
      <c r="C1" s="11" t="s">
        <v>2</v>
      </c>
      <c r="D1" s="11" t="s">
        <v>8</v>
      </c>
      <c r="E1" s="12" t="s">
        <v>203</v>
      </c>
      <c r="F1" s="12" t="s">
        <v>240</v>
      </c>
      <c r="G1" s="13" t="s">
        <v>204</v>
      </c>
      <c r="H1" s="13" t="s">
        <v>205</v>
      </c>
      <c r="I1" s="13" t="s">
        <v>206</v>
      </c>
      <c r="J1" s="15" t="s">
        <v>1</v>
      </c>
      <c r="K1" s="15" t="s">
        <v>4</v>
      </c>
      <c r="L1" s="16" t="s">
        <v>207</v>
      </c>
      <c r="M1" s="51" t="s">
        <v>239</v>
      </c>
      <c r="N1" s="17" t="s">
        <v>208</v>
      </c>
      <c r="O1" s="17" t="s">
        <v>209</v>
      </c>
      <c r="P1" s="17" t="s">
        <v>210</v>
      </c>
      <c r="Q1" s="18" t="s">
        <v>211</v>
      </c>
      <c r="R1" s="48" t="s">
        <v>20</v>
      </c>
      <c r="S1" s="19" t="s">
        <v>157</v>
      </c>
      <c r="T1" s="50" t="s">
        <v>238</v>
      </c>
      <c r="U1" s="19" t="s">
        <v>212</v>
      </c>
      <c r="V1" s="19" t="s">
        <v>213</v>
      </c>
      <c r="W1" s="19" t="s">
        <v>214</v>
      </c>
      <c r="X1" s="19" t="s">
        <v>215</v>
      </c>
      <c r="Y1" s="19" t="s">
        <v>216</v>
      </c>
    </row>
    <row r="2" spans="1:25" ht="14.4" x14ac:dyDescent="0.25">
      <c r="A2" s="7" t="s">
        <v>87</v>
      </c>
      <c r="B2" s="7" t="s">
        <v>158</v>
      </c>
      <c r="C2" s="74">
        <v>75</v>
      </c>
      <c r="D2" s="74">
        <v>23</v>
      </c>
      <c r="E2" s="71">
        <f>D2/C2</f>
        <v>0.30666666666666664</v>
      </c>
      <c r="F2" s="65" t="str">
        <f>IF(E2&gt;=H2,"Desempenho Ótimo",(IF(E2&gt;G2,"Desempenho Bom",(IF(E2&gt;I2,"Desempenho Médio",IF(E2&lt;=I2,"Desempenho Deficitário",0))))))</f>
        <v>Desempenho Ótimo</v>
      </c>
      <c r="G2" s="72">
        <f>'Cálculo Banda Part. Proj'!BD2</f>
        <v>0.11573204891712785</v>
      </c>
      <c r="H2" s="72">
        <f>'Cálculo Banda Part. Proj'!BE2</f>
        <v>0.30218524997148988</v>
      </c>
      <c r="I2" s="72">
        <f>'Cálculo Banda Part. Proj'!BF2</f>
        <v>-7.0721152137234206E-2</v>
      </c>
      <c r="J2" s="75">
        <v>15000</v>
      </c>
      <c r="K2" s="75">
        <v>4050</v>
      </c>
      <c r="L2" s="6">
        <f>K2/J2</f>
        <v>0.27</v>
      </c>
      <c r="M2" s="36" t="str">
        <f>IF(L2&gt;=O2,"Desempenho Ótimo",(IF(L2&gt;N2,"Desempenho Bom",(IF(L2&gt;P2,"Desempenho Médio",IF(L2&lt;=P2,"Desempenho Deficitário",0))))))</f>
        <v>Desempenho Bom</v>
      </c>
      <c r="N2" s="14">
        <f>'Cálculo Banda Faturamento'!BD2</f>
        <v>0.11129468122233216</v>
      </c>
      <c r="O2" s="14">
        <f>'Cálculo Banda Faturamento'!BE2</f>
        <v>0.54990456699293522</v>
      </c>
      <c r="P2" s="14">
        <f>'Cálculo Banda Faturamento'!BF2</f>
        <v>-0.32731520454827095</v>
      </c>
      <c r="Q2" s="75">
        <v>80</v>
      </c>
      <c r="R2" s="76">
        <v>5</v>
      </c>
      <c r="S2" s="6">
        <f t="shared" ref="S2:S65" si="0">R2/Q2</f>
        <v>6.25E-2</v>
      </c>
      <c r="T2" s="36" t="str">
        <f>IF(S2&gt;=V2,"Desempenho Ótimo",(IF(S2&gt;U2,"Desempenho Bom",(IF(S2&gt;W2,"Desempenho Médio",IF(S2&lt;=W2,"Desempenho Deficitário",0))))))</f>
        <v>Desempenho Médio</v>
      </c>
      <c r="U2" s="6">
        <f>'Cálculo Banda Part. Event.'!BD2</f>
        <v>6.5053670194766225E-2</v>
      </c>
      <c r="V2" s="6">
        <f>'Cálculo Banda Part. Event.'!BE2</f>
        <v>0.16010348962314203</v>
      </c>
      <c r="W2" s="6">
        <f>'Cálculo Banda Part. Event.'!BF2</f>
        <v>-2.9996149233609562E-2</v>
      </c>
      <c r="X2" s="6">
        <f t="shared" ref="X2:X13" si="1">IF(W2&lt;0,W2+(Y2/2),W2)</f>
        <v>1.7528760480578331E-2</v>
      </c>
      <c r="Y2" s="6">
        <f>'Cálculo Banda Part. Event.'!BG2</f>
        <v>9.5049819428375787E-2</v>
      </c>
    </row>
    <row r="3" spans="1:25" ht="14.4" x14ac:dyDescent="0.25">
      <c r="A3" s="7" t="s">
        <v>87</v>
      </c>
      <c r="B3" s="7" t="s">
        <v>159</v>
      </c>
      <c r="C3" s="74">
        <v>75</v>
      </c>
      <c r="D3" s="74">
        <v>32</v>
      </c>
      <c r="E3" s="71">
        <f t="shared" ref="E3:E65" si="2">D3/C3</f>
        <v>0.42666666666666669</v>
      </c>
      <c r="F3" s="65" t="str">
        <f t="shared" ref="F3:F66" si="3">IF(E3&gt;=H3,"Desempenho Ótimo",(IF(E3&gt;G3,"Desempenho Bom",(IF(E3&gt;I3,"Desempenho Médio",IF(E3&lt;=I3,"Desempenho Deficitário",0))))))</f>
        <v>Desempenho Bom</v>
      </c>
      <c r="G3" s="72">
        <f>'Cálculo Banda Part. Proj'!BD3</f>
        <v>0.22598075676513599</v>
      </c>
      <c r="H3" s="72">
        <f>'Cálculo Banda Part. Proj'!BE3</f>
        <v>0.51894873552035481</v>
      </c>
      <c r="I3" s="72">
        <f>'Cálculo Banda Part. Proj'!BF3</f>
        <v>-6.6987221990082807E-2</v>
      </c>
      <c r="J3" s="75">
        <v>15000</v>
      </c>
      <c r="K3" s="75">
        <v>400</v>
      </c>
      <c r="L3" s="6">
        <f>(SUM(K2:K3))/J2</f>
        <v>0.29666666666666669</v>
      </c>
      <c r="M3" s="36" t="str">
        <f t="shared" ref="M3:M66" si="4">IF(L3&gt;=O3,"Desempenho Ótimo",(IF(L3&gt;N3,"Desempenho Bom",(IF(L3&gt;P3,"Desempenho Médio",IF(L3&lt;=P3,"Desempenho Deficitário",0))))))</f>
        <v>Desempenho Bom</v>
      </c>
      <c r="N3" s="14">
        <f>'Cálculo Banda Faturamento'!BD3</f>
        <v>0.14992070801509372</v>
      </c>
      <c r="O3" s="14">
        <f>'Cálculo Banda Faturamento'!BE3</f>
        <v>0.58968599072326611</v>
      </c>
      <c r="P3" s="14">
        <f>'Cálculo Banda Faturamento'!BF3</f>
        <v>-0.28984457469307867</v>
      </c>
      <c r="Q3" s="75">
        <v>80</v>
      </c>
      <c r="R3" s="76">
        <v>5</v>
      </c>
      <c r="S3" s="6">
        <f t="shared" si="0"/>
        <v>6.25E-2</v>
      </c>
      <c r="T3" s="36" t="str">
        <f t="shared" ref="T3:T66" si="5">IF(S3&gt;=V3,"Desempenho Ótimo",(IF(S3&gt;U3,"Desempenho Bom",(IF(S3&gt;W3,"Desempenho Médio",IF(S3&lt;=W3,"Desempenho Deficitário",0))))))</f>
        <v>Desempenho Médio</v>
      </c>
      <c r="U3" s="6">
        <f>'Cálculo Banda Part. Event.'!BD3</f>
        <v>6.5053670194766225E-2</v>
      </c>
      <c r="V3" s="6">
        <f>'Cálculo Banda Part. Event.'!BE3</f>
        <v>0.16010348962314203</v>
      </c>
      <c r="W3" s="6">
        <f>'Cálculo Banda Part. Event.'!BF3</f>
        <v>-2.9996149233609562E-2</v>
      </c>
      <c r="X3" s="6">
        <f t="shared" si="1"/>
        <v>1.7528760480578331E-2</v>
      </c>
      <c r="Y3" s="6">
        <f>'Cálculo Banda Part. Event.'!BG3</f>
        <v>9.5049819428375787E-2</v>
      </c>
    </row>
    <row r="4" spans="1:25" ht="14.4" x14ac:dyDescent="0.25">
      <c r="A4" s="7" t="s">
        <v>87</v>
      </c>
      <c r="B4" s="7" t="s">
        <v>160</v>
      </c>
      <c r="C4" s="74">
        <v>75</v>
      </c>
      <c r="D4" s="74">
        <v>32</v>
      </c>
      <c r="E4" s="71">
        <f t="shared" si="2"/>
        <v>0.42666666666666669</v>
      </c>
      <c r="F4" s="65" t="str">
        <f t="shared" si="3"/>
        <v>Desempenho Bom</v>
      </c>
      <c r="G4" s="72">
        <f>'Cálculo Banda Part. Proj'!BD4</f>
        <v>0.2827891266215985</v>
      </c>
      <c r="H4" s="72">
        <f>'Cálculo Banda Part. Proj'!BE4</f>
        <v>0.59134445337262298</v>
      </c>
      <c r="I4" s="72">
        <f>'Cálculo Banda Part. Proj'!BF4</f>
        <v>-2.5766200129425987E-2</v>
      </c>
      <c r="J4" s="75">
        <v>15000</v>
      </c>
      <c r="K4" s="75">
        <v>0</v>
      </c>
      <c r="L4" s="6">
        <f>(SUM(K2:K4))/J3</f>
        <v>0.29666666666666669</v>
      </c>
      <c r="M4" s="36" t="str">
        <f t="shared" si="4"/>
        <v>Desempenho Bom</v>
      </c>
      <c r="N4" s="14">
        <f>'Cálculo Banda Faturamento'!BD4</f>
        <v>0.17723994755342617</v>
      </c>
      <c r="O4" s="14">
        <f>'Cálculo Banda Faturamento'!BE4</f>
        <v>0.61473682715667155</v>
      </c>
      <c r="P4" s="14">
        <f>'Cálculo Banda Faturamento'!BF4</f>
        <v>-0.26025693204981915</v>
      </c>
      <c r="Q4" s="75">
        <v>80</v>
      </c>
      <c r="R4" s="76">
        <v>32</v>
      </c>
      <c r="S4" s="6">
        <f t="shared" si="0"/>
        <v>0.4</v>
      </c>
      <c r="T4" s="36" t="str">
        <f t="shared" si="5"/>
        <v>Desempenho Ótimo</v>
      </c>
      <c r="U4" s="6">
        <f>'Cálculo Banda Part. Event.'!BD4</f>
        <v>0.18401218302179842</v>
      </c>
      <c r="V4" s="6">
        <f>'Cálculo Banda Part. Event.'!BE4</f>
        <v>0.37883088095577799</v>
      </c>
      <c r="W4" s="6">
        <f>'Cálculo Banda Part. Event.'!BF4</f>
        <v>-1.0806514912181153E-2</v>
      </c>
      <c r="X4" s="6">
        <f t="shared" si="1"/>
        <v>8.6602834054808633E-2</v>
      </c>
      <c r="Y4" s="6">
        <f>'Cálculo Banda Part. Event.'!BG4</f>
        <v>0.19481869793397957</v>
      </c>
    </row>
    <row r="5" spans="1:25" ht="14.4" x14ac:dyDescent="0.25">
      <c r="A5" s="7" t="s">
        <v>87</v>
      </c>
      <c r="B5" s="7" t="s">
        <v>161</v>
      </c>
      <c r="C5" s="74">
        <v>75</v>
      </c>
      <c r="D5" s="74">
        <v>36</v>
      </c>
      <c r="E5" s="71">
        <f t="shared" si="2"/>
        <v>0.48</v>
      </c>
      <c r="F5" s="65" t="str">
        <f t="shared" si="3"/>
        <v>Desempenho Bom</v>
      </c>
      <c r="G5" s="72">
        <f>'Cálculo Banda Part. Proj'!BD5</f>
        <v>0.36222496935690102</v>
      </c>
      <c r="H5" s="72">
        <f>'Cálculo Banda Part. Proj'!BE5</f>
        <v>0.67917151968337719</v>
      </c>
      <c r="I5" s="72">
        <f>'Cálculo Banda Part. Proj'!BF5</f>
        <v>4.5278419030424844E-2</v>
      </c>
      <c r="J5" s="75">
        <v>15000</v>
      </c>
      <c r="K5" s="75">
        <v>180</v>
      </c>
      <c r="L5" s="6">
        <f>(SUM(K2:K5))/J4</f>
        <v>0.30866666666666664</v>
      </c>
      <c r="M5" s="36" t="str">
        <f t="shared" si="4"/>
        <v>Desempenho Bom</v>
      </c>
      <c r="N5" s="14">
        <f>'Cálculo Banda Faturamento'!BD5</f>
        <v>0.2271654986777647</v>
      </c>
      <c r="O5" s="14">
        <f>'Cálculo Banda Faturamento'!BE5</f>
        <v>0.71582389712396544</v>
      </c>
      <c r="P5" s="14">
        <f>'Cálculo Banda Faturamento'!BF5</f>
        <v>-0.26149289976843598</v>
      </c>
      <c r="Q5" s="75">
        <v>80</v>
      </c>
      <c r="R5" s="76">
        <v>32</v>
      </c>
      <c r="S5" s="6">
        <f t="shared" si="0"/>
        <v>0.4</v>
      </c>
      <c r="T5" s="36" t="str">
        <f t="shared" si="5"/>
        <v>Desempenho Ótimo</v>
      </c>
      <c r="U5" s="6">
        <f>'Cálculo Banda Part. Event.'!BD5</f>
        <v>0.18401218302179842</v>
      </c>
      <c r="V5" s="6">
        <f>'Cálculo Banda Part. Event.'!BE5</f>
        <v>0.37883088095577799</v>
      </c>
      <c r="W5" s="6">
        <f>'Cálculo Banda Part. Event.'!BF5</f>
        <v>-1.0806514912181153E-2</v>
      </c>
      <c r="X5" s="6">
        <f t="shared" si="1"/>
        <v>8.6602834054808633E-2</v>
      </c>
      <c r="Y5" s="6">
        <f>'Cálculo Banda Part. Event.'!BG5</f>
        <v>0.19481869793397957</v>
      </c>
    </row>
    <row r="6" spans="1:25" ht="14.4" x14ac:dyDescent="0.25">
      <c r="A6" s="7" t="s">
        <v>87</v>
      </c>
      <c r="B6" s="7" t="s">
        <v>162</v>
      </c>
      <c r="C6" s="74">
        <v>75</v>
      </c>
      <c r="D6" s="74">
        <v>50</v>
      </c>
      <c r="E6" s="71">
        <f t="shared" si="2"/>
        <v>0.66666666666666663</v>
      </c>
      <c r="F6" s="65" t="str">
        <f t="shared" si="3"/>
        <v>Desempenho Bom</v>
      </c>
      <c r="G6" s="72">
        <f>'Cálculo Banda Part. Proj'!BD6</f>
        <v>0.44825178806664662</v>
      </c>
      <c r="H6" s="72">
        <f>'Cálculo Banda Part. Proj'!BE6</f>
        <v>0.78548221403733831</v>
      </c>
      <c r="I6" s="72">
        <f>'Cálculo Banda Part. Proj'!BF6</f>
        <v>0.11102136209595498</v>
      </c>
      <c r="J6" s="75">
        <v>15000</v>
      </c>
      <c r="K6" s="75">
        <v>1890</v>
      </c>
      <c r="L6" s="6">
        <f>(SUM(K2:K6))/J5</f>
        <v>0.43466666666666665</v>
      </c>
      <c r="M6" s="36" t="str">
        <f t="shared" si="4"/>
        <v>Desempenho Bom</v>
      </c>
      <c r="N6" s="14">
        <f>'Cálculo Banda Faturamento'!BD6</f>
        <v>0.27284258705105507</v>
      </c>
      <c r="O6" s="14">
        <f>'Cálculo Banda Faturamento'!BE6</f>
        <v>0.75981161093062477</v>
      </c>
      <c r="P6" s="14">
        <f>'Cálculo Banda Faturamento'!BF6</f>
        <v>-0.21412643682851468</v>
      </c>
      <c r="Q6" s="75">
        <v>80</v>
      </c>
      <c r="R6" s="76">
        <v>82</v>
      </c>
      <c r="S6" s="6">
        <f t="shared" si="0"/>
        <v>1.0249999999999999</v>
      </c>
      <c r="T6" s="36" t="str">
        <f t="shared" si="5"/>
        <v>Desempenho Ótimo</v>
      </c>
      <c r="U6" s="6">
        <f>'Cálculo Banda Part. Event.'!BD6</f>
        <v>0.23278475191631845</v>
      </c>
      <c r="V6" s="6">
        <f>'Cálculo Banda Part. Event.'!BE6</f>
        <v>0.51017789992422413</v>
      </c>
      <c r="W6" s="6">
        <f>'Cálculo Banda Part. Event.'!BF6</f>
        <v>-4.460839609158726E-2</v>
      </c>
      <c r="X6" s="6">
        <f t="shared" si="1"/>
        <v>9.4088177912365595E-2</v>
      </c>
      <c r="Y6" s="6">
        <f>'Cálculo Banda Part. Event.'!BG6</f>
        <v>0.27739314800790571</v>
      </c>
    </row>
    <row r="7" spans="1:25" ht="14.4" x14ac:dyDescent="0.25">
      <c r="A7" s="7" t="s">
        <v>87</v>
      </c>
      <c r="B7" s="7" t="s">
        <v>163</v>
      </c>
      <c r="C7" s="74">
        <v>75</v>
      </c>
      <c r="D7" s="74">
        <v>50</v>
      </c>
      <c r="E7" s="71">
        <f t="shared" si="2"/>
        <v>0.66666666666666663</v>
      </c>
      <c r="F7" s="65" t="str">
        <f t="shared" si="3"/>
        <v>Desempenho Bom</v>
      </c>
      <c r="G7" s="72">
        <f>'Cálculo Banda Part. Proj'!BD7</f>
        <v>0.54231176602906361</v>
      </c>
      <c r="H7" s="72">
        <f>'Cálculo Banda Part. Proj'!BE7</f>
        <v>0.92735502699565786</v>
      </c>
      <c r="I7" s="72">
        <f>'Cálculo Banda Part. Proj'!BF7</f>
        <v>0.15726850506246942</v>
      </c>
      <c r="J7" s="75">
        <v>15000</v>
      </c>
      <c r="K7" s="75">
        <v>1656</v>
      </c>
      <c r="L7" s="6">
        <f>(SUM(K2:K7))/J6</f>
        <v>0.5450666666666667</v>
      </c>
      <c r="M7" s="36" t="str">
        <f t="shared" si="4"/>
        <v>Desempenho Bom</v>
      </c>
      <c r="N7" s="14">
        <f>'Cálculo Banda Faturamento'!BD7</f>
        <v>0.31451673641638933</v>
      </c>
      <c r="O7" s="14">
        <f>'Cálculo Banda Faturamento'!BE7</f>
        <v>0.80702132782766356</v>
      </c>
      <c r="P7" s="14">
        <f>'Cálculo Banda Faturamento'!BF7</f>
        <v>-0.1779878549948849</v>
      </c>
      <c r="Q7" s="75">
        <v>80</v>
      </c>
      <c r="R7" s="76">
        <v>82</v>
      </c>
      <c r="S7" s="6">
        <f t="shared" si="0"/>
        <v>1.0249999999999999</v>
      </c>
      <c r="T7" s="36" t="str">
        <f t="shared" si="5"/>
        <v>Desempenho Ótimo</v>
      </c>
      <c r="U7" s="6">
        <f>'Cálculo Banda Part. Event.'!BD7</f>
        <v>0.46105014853915682</v>
      </c>
      <c r="V7" s="6">
        <f>'Cálculo Banda Part. Event.'!BE7</f>
        <v>0.84756736419379908</v>
      </c>
      <c r="W7" s="6">
        <f>'Cálculo Banda Part. Event.'!BF7</f>
        <v>7.4532932884514569E-2</v>
      </c>
      <c r="X7" s="6">
        <f t="shared" si="1"/>
        <v>7.4532932884514569E-2</v>
      </c>
      <c r="Y7" s="6">
        <f>'Cálculo Banda Part. Event.'!BG7</f>
        <v>0.38651721565464225</v>
      </c>
    </row>
    <row r="8" spans="1:25" ht="14.4" x14ac:dyDescent="0.25">
      <c r="A8" s="7" t="s">
        <v>87</v>
      </c>
      <c r="B8" s="7" t="s">
        <v>164</v>
      </c>
      <c r="C8" s="74">
        <v>75</v>
      </c>
      <c r="D8" s="74">
        <v>50</v>
      </c>
      <c r="E8" s="71">
        <f t="shared" si="2"/>
        <v>0.66666666666666663</v>
      </c>
      <c r="F8" s="65" t="str">
        <f t="shared" si="3"/>
        <v>Desempenho Bom</v>
      </c>
      <c r="G8" s="72">
        <f>'Cálculo Banda Part. Proj'!BD8</f>
        <v>0.63634637719050002</v>
      </c>
      <c r="H8" s="72">
        <f>'Cálculo Banda Part. Proj'!BE8</f>
        <v>1.0512878703900039</v>
      </c>
      <c r="I8" s="72">
        <f>'Cálculo Banda Part. Proj'!BF8</f>
        <v>0.22140488399099606</v>
      </c>
      <c r="J8" s="75">
        <v>15000</v>
      </c>
      <c r="K8" s="75">
        <v>0</v>
      </c>
      <c r="L8" s="6">
        <f>(SUM(K2:K8))/J7</f>
        <v>0.5450666666666667</v>
      </c>
      <c r="M8" s="36" t="str">
        <f t="shared" si="4"/>
        <v>Desempenho Bom</v>
      </c>
      <c r="N8" s="14">
        <f>'Cálculo Banda Faturamento'!BD8</f>
        <v>0.38334713342809434</v>
      </c>
      <c r="O8" s="14">
        <f>'Cálculo Banda Faturamento'!BE8</f>
        <v>0.88375935483946089</v>
      </c>
      <c r="P8" s="14">
        <f>'Cálculo Banda Faturamento'!BF8</f>
        <v>-0.1170650879832722</v>
      </c>
      <c r="Q8" s="75">
        <v>80</v>
      </c>
      <c r="R8" s="76">
        <v>82</v>
      </c>
      <c r="S8" s="6">
        <f t="shared" si="0"/>
        <v>1.0249999999999999</v>
      </c>
      <c r="T8" s="36" t="str">
        <f t="shared" si="5"/>
        <v>Desempenho Ótimo</v>
      </c>
      <c r="U8" s="6">
        <f>'Cálculo Banda Part. Event.'!BD8</f>
        <v>0.46105014853915682</v>
      </c>
      <c r="V8" s="6">
        <f>'Cálculo Banda Part. Event.'!BE8</f>
        <v>0.84756736419379908</v>
      </c>
      <c r="W8" s="6">
        <f>'Cálculo Banda Part. Event.'!BF8</f>
        <v>7.4532932884514569E-2</v>
      </c>
      <c r="X8" s="6">
        <f t="shared" si="1"/>
        <v>7.4532932884514569E-2</v>
      </c>
      <c r="Y8" s="6">
        <f>'Cálculo Banda Part. Event.'!BG8</f>
        <v>0.38651721565464225</v>
      </c>
    </row>
    <row r="9" spans="1:25" ht="14.4" x14ac:dyDescent="0.25">
      <c r="A9" s="7" t="s">
        <v>87</v>
      </c>
      <c r="B9" s="7" t="s">
        <v>165</v>
      </c>
      <c r="C9" s="74">
        <v>75</v>
      </c>
      <c r="D9" s="74">
        <v>59</v>
      </c>
      <c r="E9" s="71">
        <f t="shared" si="2"/>
        <v>0.78666666666666663</v>
      </c>
      <c r="F9" s="65" t="str">
        <f t="shared" si="3"/>
        <v>Desempenho Bom</v>
      </c>
      <c r="G9" s="72">
        <f>'Cálculo Banda Part. Proj'!BD9</f>
        <v>0.70660866675940681</v>
      </c>
      <c r="H9" s="72">
        <f>'Cálculo Banda Part. Proj'!BE9</f>
        <v>1.1341225514190425</v>
      </c>
      <c r="I9" s="72">
        <f>'Cálculo Banda Part. Proj'!BF9</f>
        <v>0.27909478209977112</v>
      </c>
      <c r="J9" s="75">
        <v>15000</v>
      </c>
      <c r="K9" s="75">
        <v>310</v>
      </c>
      <c r="L9" s="6">
        <f>(SUM(K2:K9))/J8</f>
        <v>0.56573333333333331</v>
      </c>
      <c r="M9" s="36" t="str">
        <f t="shared" si="4"/>
        <v>Desempenho Bom</v>
      </c>
      <c r="N9" s="14">
        <f>'Cálculo Banda Faturamento'!BD9</f>
        <v>0.45719521320533213</v>
      </c>
      <c r="O9" s="14">
        <f>'Cálculo Banda Faturamento'!BE9</f>
        <v>0.97356755068321044</v>
      </c>
      <c r="P9" s="14">
        <f>'Cálculo Banda Faturamento'!BF9</f>
        <v>-5.9177124272546122E-2</v>
      </c>
      <c r="Q9" s="75">
        <v>80</v>
      </c>
      <c r="R9" s="76">
        <v>82</v>
      </c>
      <c r="S9" s="6">
        <f t="shared" si="0"/>
        <v>1.0249999999999999</v>
      </c>
      <c r="T9" s="36" t="str">
        <f t="shared" si="5"/>
        <v>Desempenho Ótimo</v>
      </c>
      <c r="U9" s="6">
        <f>'Cálculo Banda Part. Event.'!BD9</f>
        <v>0.46105014853915682</v>
      </c>
      <c r="V9" s="6">
        <f>'Cálculo Banda Part. Event.'!BE9</f>
        <v>0.84756736419379908</v>
      </c>
      <c r="W9" s="6">
        <f>'Cálculo Banda Part. Event.'!BF9</f>
        <v>7.4532932884514569E-2</v>
      </c>
      <c r="X9" s="6">
        <f t="shared" si="1"/>
        <v>7.4532932884514569E-2</v>
      </c>
      <c r="Y9" s="6">
        <f>'Cálculo Banda Part. Event.'!BG9</f>
        <v>0.38651721565464225</v>
      </c>
    </row>
    <row r="10" spans="1:25" ht="14.4" x14ac:dyDescent="0.25">
      <c r="A10" s="7" t="s">
        <v>87</v>
      </c>
      <c r="B10" s="7" t="s">
        <v>166</v>
      </c>
      <c r="C10" s="74">
        <v>75</v>
      </c>
      <c r="D10" s="74">
        <v>77</v>
      </c>
      <c r="E10" s="71">
        <f t="shared" si="2"/>
        <v>1.0266666666666666</v>
      </c>
      <c r="F10" s="65" t="str">
        <f t="shared" si="3"/>
        <v>Desempenho Bom</v>
      </c>
      <c r="G10" s="72">
        <f>'Cálculo Banda Part. Proj'!BD10</f>
        <v>0.73663014244586189</v>
      </c>
      <c r="H10" s="72">
        <f>'Cálculo Banda Part. Proj'!BE10</f>
        <v>1.1737360935948695</v>
      </c>
      <c r="I10" s="72">
        <f>'Cálculo Banda Part. Proj'!BF10</f>
        <v>0.29952419129685426</v>
      </c>
      <c r="J10" s="75">
        <v>15000</v>
      </c>
      <c r="K10" s="75">
        <v>1490</v>
      </c>
      <c r="L10" s="6">
        <f>(SUM(K2:K10))/J9</f>
        <v>0.66506666666666669</v>
      </c>
      <c r="M10" s="36" t="str">
        <f t="shared" si="4"/>
        <v>Desempenho Bom</v>
      </c>
      <c r="N10" s="14">
        <f>'Cálculo Banda Faturamento'!BD10</f>
        <v>0.50336729135060976</v>
      </c>
      <c r="O10" s="14">
        <f>'Cálculo Banda Faturamento'!BE10</f>
        <v>1.0150591886201059</v>
      </c>
      <c r="P10" s="14">
        <f>'Cálculo Banda Faturamento'!BF10</f>
        <v>-8.3246059188863963E-3</v>
      </c>
      <c r="Q10" s="75">
        <v>80</v>
      </c>
      <c r="R10" s="76">
        <v>86</v>
      </c>
      <c r="S10" s="6">
        <f t="shared" si="0"/>
        <v>1.075</v>
      </c>
      <c r="T10" s="36" t="str">
        <f t="shared" si="5"/>
        <v>Desempenho Bom</v>
      </c>
      <c r="U10" s="6">
        <f>'Cálculo Banda Part. Event.'!BD10</f>
        <v>0.74232771533595698</v>
      </c>
      <c r="V10" s="6">
        <f>'Cálculo Banda Part. Event.'!BE10</f>
        <v>1.1540802341555996</v>
      </c>
      <c r="W10" s="6">
        <f>'Cálculo Banda Part. Event.'!BF10</f>
        <v>0.33057519651631434</v>
      </c>
      <c r="X10" s="6">
        <f t="shared" si="1"/>
        <v>0.33057519651631434</v>
      </c>
      <c r="Y10" s="6">
        <f>'Cálculo Banda Part. Event.'!BG10</f>
        <v>0.41175251881964264</v>
      </c>
    </row>
    <row r="11" spans="1:25" ht="14.4" x14ac:dyDescent="0.25">
      <c r="A11" s="7" t="s">
        <v>87</v>
      </c>
      <c r="B11" s="7" t="s">
        <v>167</v>
      </c>
      <c r="C11" s="74">
        <v>75</v>
      </c>
      <c r="D11" s="74">
        <v>95</v>
      </c>
      <c r="E11" s="71">
        <f t="shared" si="2"/>
        <v>1.2666666666666666</v>
      </c>
      <c r="F11" s="65" t="str">
        <f t="shared" si="3"/>
        <v>Desempenho Ótimo</v>
      </c>
      <c r="G11" s="72">
        <f>'Cálculo Banda Part. Proj'!BD11</f>
        <v>0.82061442726694189</v>
      </c>
      <c r="H11" s="72">
        <f>'Cálculo Banda Part. Proj'!BE11</f>
        <v>1.2607833515834532</v>
      </c>
      <c r="I11" s="72">
        <f>'Cálculo Banda Part. Proj'!BF11</f>
        <v>0.38044550295043061</v>
      </c>
      <c r="J11" s="75">
        <v>15000</v>
      </c>
      <c r="K11" s="75">
        <v>1180</v>
      </c>
      <c r="L11" s="6">
        <f>(SUM(K2:K11))/J10</f>
        <v>0.74373333333333336</v>
      </c>
      <c r="M11" s="36" t="str">
        <f t="shared" si="4"/>
        <v>Desempenho Bom</v>
      </c>
      <c r="N11" s="14">
        <f>'Cálculo Banda Faturamento'!BD11</f>
        <v>0.58006775555216661</v>
      </c>
      <c r="O11" s="14">
        <f>'Cálculo Banda Faturamento'!BE11</f>
        <v>1.099948635873619</v>
      </c>
      <c r="P11" s="14">
        <f>'Cálculo Banda Faturamento'!BF11</f>
        <v>6.0186875230714088E-2</v>
      </c>
      <c r="Q11" s="75">
        <v>80</v>
      </c>
      <c r="R11" s="76">
        <v>86</v>
      </c>
      <c r="S11" s="6">
        <f t="shared" si="0"/>
        <v>1.075</v>
      </c>
      <c r="T11" s="36" t="str">
        <f t="shared" si="5"/>
        <v>Desempenho Bom</v>
      </c>
      <c r="U11" s="6">
        <f>'Cálculo Banda Part. Event.'!BD11</f>
        <v>0.82347447721763523</v>
      </c>
      <c r="V11" s="6">
        <f>'Cálculo Banda Part. Event.'!BE11</f>
        <v>1.2398542522675045</v>
      </c>
      <c r="W11" s="6">
        <f>'Cálculo Banda Part. Event.'!BF11</f>
        <v>0.40709470216776611</v>
      </c>
      <c r="X11" s="6">
        <f t="shared" si="1"/>
        <v>0.40709470216776611</v>
      </c>
      <c r="Y11" s="6">
        <f>'Cálculo Banda Part. Event.'!BG11</f>
        <v>0.41637977504986912</v>
      </c>
    </row>
    <row r="12" spans="1:25" ht="14.4" x14ac:dyDescent="0.25">
      <c r="A12" s="7" t="s">
        <v>87</v>
      </c>
      <c r="B12" s="7" t="s">
        <v>168</v>
      </c>
      <c r="C12" s="74">
        <v>75</v>
      </c>
      <c r="D12" s="74">
        <v>100</v>
      </c>
      <c r="E12" s="71">
        <f t="shared" si="2"/>
        <v>1.3333333333333333</v>
      </c>
      <c r="F12" s="65" t="str">
        <f t="shared" si="3"/>
        <v>Desempenho Bom</v>
      </c>
      <c r="G12" s="72">
        <f>'Cálculo Banda Part. Proj'!BD12</f>
        <v>0.94582556715526966</v>
      </c>
      <c r="H12" s="72">
        <f>'Cálculo Banda Part. Proj'!BE12</f>
        <v>1.4311117173682604</v>
      </c>
      <c r="I12" s="72">
        <f>'Cálculo Banda Part. Proj'!BF12</f>
        <v>0.46053941694227907</v>
      </c>
      <c r="J12" s="75">
        <v>15000</v>
      </c>
      <c r="K12" s="75">
        <v>2740</v>
      </c>
      <c r="L12" s="6">
        <f>(SUM(K2:K12))/J11</f>
        <v>0.9264</v>
      </c>
      <c r="M12" s="36" t="str">
        <f t="shared" si="4"/>
        <v>Desempenho Bom</v>
      </c>
      <c r="N12" s="14">
        <f>'Cálculo Banda Faturamento'!BD12</f>
        <v>0.72282137340514951</v>
      </c>
      <c r="O12" s="14">
        <f>'Cálculo Banda Faturamento'!BE12</f>
        <v>1.2463651595014014</v>
      </c>
      <c r="P12" s="14">
        <f>'Cálculo Banda Faturamento'!BF12</f>
        <v>0.19927758730889755</v>
      </c>
      <c r="Q12" s="75">
        <v>80</v>
      </c>
      <c r="R12" s="76">
        <v>86</v>
      </c>
      <c r="S12" s="6">
        <f t="shared" si="0"/>
        <v>1.075</v>
      </c>
      <c r="T12" s="36" t="str">
        <f t="shared" si="5"/>
        <v>Desempenho Bom</v>
      </c>
      <c r="U12" s="6">
        <f>'Cálculo Banda Part. Event.'!BD12</f>
        <v>0.91825333306001944</v>
      </c>
      <c r="V12" s="6">
        <f>'Cálculo Banda Part. Event.'!BE12</f>
        <v>1.402047931898428</v>
      </c>
      <c r="W12" s="6">
        <f>'Cálculo Banda Part. Event.'!BF12</f>
        <v>0.43445873422161085</v>
      </c>
      <c r="X12" s="6">
        <f t="shared" si="1"/>
        <v>0.43445873422161085</v>
      </c>
      <c r="Y12" s="6">
        <f>'Cálculo Banda Part. Event.'!BG12</f>
        <v>0.48379459883840858</v>
      </c>
    </row>
    <row r="13" spans="1:25" ht="14.4" x14ac:dyDescent="0.25">
      <c r="A13" s="7" t="s">
        <v>87</v>
      </c>
      <c r="B13" s="7" t="s">
        <v>169</v>
      </c>
      <c r="C13" s="74">
        <v>75</v>
      </c>
      <c r="D13" s="74">
        <v>100</v>
      </c>
      <c r="E13" s="71">
        <f t="shared" si="2"/>
        <v>1.3333333333333333</v>
      </c>
      <c r="F13" s="65" t="str">
        <f t="shared" si="3"/>
        <v>Desempenho Bom</v>
      </c>
      <c r="G13" s="72">
        <f>'Cálculo Banda Part. Proj'!BD13</f>
        <v>1.0016849877757958</v>
      </c>
      <c r="H13" s="72">
        <f>'Cálculo Banda Part. Proj'!BE13</f>
        <v>1.521489991464148</v>
      </c>
      <c r="I13" s="72">
        <f>'Cálculo Banda Part. Proj'!BF13</f>
        <v>0.48187998408744359</v>
      </c>
      <c r="J13" s="75">
        <v>15000</v>
      </c>
      <c r="K13" s="75">
        <v>1500</v>
      </c>
      <c r="L13" s="6">
        <f>(SUM(K2:K13))/J12</f>
        <v>1.0264</v>
      </c>
      <c r="M13" s="36" t="str">
        <f t="shared" si="4"/>
        <v>Desempenho Bom</v>
      </c>
      <c r="N13" s="14">
        <f>'Cálculo Banda Faturamento'!BD13</f>
        <v>0.82421983567812696</v>
      </c>
      <c r="O13" s="14">
        <f>'Cálculo Banda Faturamento'!BE13</f>
        <v>1.3730394926064369</v>
      </c>
      <c r="P13" s="14">
        <f>'Cálculo Banda Faturamento'!BF13</f>
        <v>0.27540017874981693</v>
      </c>
      <c r="Q13" s="75">
        <v>80</v>
      </c>
      <c r="R13" s="76">
        <v>86</v>
      </c>
      <c r="S13" s="6">
        <f t="shared" si="0"/>
        <v>1.075</v>
      </c>
      <c r="T13" s="36" t="str">
        <f t="shared" si="5"/>
        <v>Desempenho Bom</v>
      </c>
      <c r="U13" s="6">
        <f>'Cálculo Banda Part. Event.'!BD13</f>
        <v>0.91825333306001944</v>
      </c>
      <c r="V13" s="6">
        <f>'Cálculo Banda Part. Event.'!BE13</f>
        <v>1.402047931898428</v>
      </c>
      <c r="W13" s="6">
        <f>'Cálculo Banda Part. Event.'!BF13</f>
        <v>0.43445873422161085</v>
      </c>
      <c r="X13" s="6">
        <f t="shared" si="1"/>
        <v>0.43445873422161085</v>
      </c>
      <c r="Y13" s="6">
        <f>'Cálculo Banda Part. Event.'!BG13</f>
        <v>0.48379459883840858</v>
      </c>
    </row>
    <row r="14" spans="1:25" x14ac:dyDescent="0.25">
      <c r="A14" s="7" t="s">
        <v>98</v>
      </c>
      <c r="B14" s="7" t="s">
        <v>158</v>
      </c>
      <c r="C14" s="74">
        <v>0</v>
      </c>
      <c r="D14" s="74">
        <v>0</v>
      </c>
      <c r="E14" s="71" t="e">
        <f t="shared" si="2"/>
        <v>#DIV/0!</v>
      </c>
      <c r="F14" s="65" t="e">
        <f t="shared" si="3"/>
        <v>#DIV/0!</v>
      </c>
      <c r="G14" s="71">
        <f>G2</f>
        <v>0.11573204891712785</v>
      </c>
      <c r="H14" s="71">
        <f t="shared" ref="H14:I14" si="6">H2</f>
        <v>0.30218524997148988</v>
      </c>
      <c r="I14" s="71">
        <f t="shared" si="6"/>
        <v>-7.0721152137234206E-2</v>
      </c>
      <c r="J14" s="75">
        <v>0</v>
      </c>
      <c r="K14" s="75">
        <v>0</v>
      </c>
      <c r="L14" s="6" t="e">
        <f>K14/J14</f>
        <v>#DIV/0!</v>
      </c>
      <c r="M14" s="36" t="e">
        <f t="shared" si="4"/>
        <v>#DIV/0!</v>
      </c>
      <c r="N14" s="6">
        <f>N2</f>
        <v>0.11129468122233216</v>
      </c>
      <c r="O14" s="6">
        <f t="shared" ref="O14:P14" si="7">O2</f>
        <v>0.54990456699293522</v>
      </c>
      <c r="P14" s="6">
        <f t="shared" si="7"/>
        <v>-0.32731520454827095</v>
      </c>
      <c r="Q14" s="75">
        <v>0</v>
      </c>
      <c r="R14" s="76">
        <v>0</v>
      </c>
      <c r="S14" s="6" t="e">
        <f t="shared" si="0"/>
        <v>#DIV/0!</v>
      </c>
      <c r="T14" s="36" t="e">
        <f t="shared" si="5"/>
        <v>#DIV/0!</v>
      </c>
      <c r="U14" s="6">
        <f>U2</f>
        <v>6.5053670194766225E-2</v>
      </c>
      <c r="V14" s="6">
        <f t="shared" ref="V14:Y14" si="8">V2</f>
        <v>0.16010348962314203</v>
      </c>
      <c r="W14" s="6">
        <f t="shared" si="8"/>
        <v>-2.9996149233609562E-2</v>
      </c>
      <c r="X14" s="6">
        <f t="shared" si="8"/>
        <v>1.7528760480578331E-2</v>
      </c>
      <c r="Y14" s="6">
        <f t="shared" si="8"/>
        <v>9.5049819428375787E-2</v>
      </c>
    </row>
    <row r="15" spans="1:25" x14ac:dyDescent="0.25">
      <c r="A15" s="7" t="s">
        <v>98</v>
      </c>
      <c r="B15" s="7" t="s">
        <v>159</v>
      </c>
      <c r="C15" s="74">
        <v>0</v>
      </c>
      <c r="D15" s="74">
        <v>0</v>
      </c>
      <c r="E15" s="71" t="e">
        <f t="shared" si="2"/>
        <v>#DIV/0!</v>
      </c>
      <c r="F15" s="65" t="e">
        <f t="shared" si="3"/>
        <v>#DIV/0!</v>
      </c>
      <c r="G15" s="71">
        <f t="shared" ref="G15:I78" si="9">G3</f>
        <v>0.22598075676513599</v>
      </c>
      <c r="H15" s="71">
        <f t="shared" si="9"/>
        <v>0.51894873552035481</v>
      </c>
      <c r="I15" s="71">
        <f t="shared" si="9"/>
        <v>-6.6987221990082807E-2</v>
      </c>
      <c r="J15" s="75">
        <v>0</v>
      </c>
      <c r="K15" s="75">
        <v>0</v>
      </c>
      <c r="L15" s="6" t="e">
        <f>(SUM(K14:K15))/J14</f>
        <v>#DIV/0!</v>
      </c>
      <c r="M15" s="36" t="e">
        <f t="shared" si="4"/>
        <v>#DIV/0!</v>
      </c>
      <c r="N15" s="6">
        <f t="shared" ref="N15:P25" si="10">N3</f>
        <v>0.14992070801509372</v>
      </c>
      <c r="O15" s="6">
        <f t="shared" si="10"/>
        <v>0.58968599072326611</v>
      </c>
      <c r="P15" s="6">
        <f t="shared" si="10"/>
        <v>-0.28984457469307867</v>
      </c>
      <c r="Q15" s="75">
        <v>0</v>
      </c>
      <c r="R15" s="76">
        <v>0</v>
      </c>
      <c r="S15" s="6" t="e">
        <f t="shared" si="0"/>
        <v>#DIV/0!</v>
      </c>
      <c r="T15" s="36" t="e">
        <f t="shared" si="5"/>
        <v>#DIV/0!</v>
      </c>
      <c r="U15" s="6">
        <f t="shared" ref="U15:Y30" si="11">U3</f>
        <v>6.5053670194766225E-2</v>
      </c>
      <c r="V15" s="6">
        <f t="shared" si="11"/>
        <v>0.16010348962314203</v>
      </c>
      <c r="W15" s="6">
        <f t="shared" si="11"/>
        <v>-2.9996149233609562E-2</v>
      </c>
      <c r="X15" s="6">
        <f t="shared" si="11"/>
        <v>1.7528760480578331E-2</v>
      </c>
      <c r="Y15" s="6">
        <f t="shared" si="11"/>
        <v>9.5049819428375787E-2</v>
      </c>
    </row>
    <row r="16" spans="1:25" x14ac:dyDescent="0.25">
      <c r="A16" s="7" t="s">
        <v>98</v>
      </c>
      <c r="B16" s="7" t="s">
        <v>160</v>
      </c>
      <c r="C16" s="74">
        <v>0</v>
      </c>
      <c r="D16" s="74">
        <v>0</v>
      </c>
      <c r="E16" s="71" t="e">
        <f t="shared" si="2"/>
        <v>#DIV/0!</v>
      </c>
      <c r="F16" s="65" t="e">
        <f t="shared" si="3"/>
        <v>#DIV/0!</v>
      </c>
      <c r="G16" s="71">
        <f t="shared" si="9"/>
        <v>0.2827891266215985</v>
      </c>
      <c r="H16" s="71">
        <f t="shared" si="9"/>
        <v>0.59134445337262298</v>
      </c>
      <c r="I16" s="71">
        <f t="shared" si="9"/>
        <v>-2.5766200129425987E-2</v>
      </c>
      <c r="J16" s="75">
        <v>0</v>
      </c>
      <c r="K16" s="75">
        <v>0</v>
      </c>
      <c r="L16" s="6" t="e">
        <f>(SUM(K14:K16))/J15</f>
        <v>#DIV/0!</v>
      </c>
      <c r="M16" s="36" t="e">
        <f t="shared" si="4"/>
        <v>#DIV/0!</v>
      </c>
      <c r="N16" s="6">
        <f t="shared" si="10"/>
        <v>0.17723994755342617</v>
      </c>
      <c r="O16" s="6">
        <f t="shared" si="10"/>
        <v>0.61473682715667155</v>
      </c>
      <c r="P16" s="6">
        <f t="shared" si="10"/>
        <v>-0.26025693204981915</v>
      </c>
      <c r="Q16" s="75">
        <v>0</v>
      </c>
      <c r="R16" s="76">
        <v>0</v>
      </c>
      <c r="S16" s="6" t="e">
        <f t="shared" si="0"/>
        <v>#DIV/0!</v>
      </c>
      <c r="T16" s="36" t="e">
        <f t="shared" si="5"/>
        <v>#DIV/0!</v>
      </c>
      <c r="U16" s="6">
        <f t="shared" si="11"/>
        <v>0.18401218302179842</v>
      </c>
      <c r="V16" s="6">
        <f t="shared" si="11"/>
        <v>0.37883088095577799</v>
      </c>
      <c r="W16" s="6">
        <f t="shared" si="11"/>
        <v>-1.0806514912181153E-2</v>
      </c>
      <c r="X16" s="6">
        <f t="shared" si="11"/>
        <v>8.6602834054808633E-2</v>
      </c>
      <c r="Y16" s="6">
        <f t="shared" si="11"/>
        <v>0.19481869793397957</v>
      </c>
    </row>
    <row r="17" spans="1:25" x14ac:dyDescent="0.25">
      <c r="A17" s="7" t="s">
        <v>98</v>
      </c>
      <c r="B17" s="7" t="s">
        <v>161</v>
      </c>
      <c r="C17" s="74">
        <v>0</v>
      </c>
      <c r="D17" s="74">
        <v>0</v>
      </c>
      <c r="E17" s="71" t="e">
        <f t="shared" si="2"/>
        <v>#DIV/0!</v>
      </c>
      <c r="F17" s="65" t="e">
        <f t="shared" si="3"/>
        <v>#DIV/0!</v>
      </c>
      <c r="G17" s="71">
        <f t="shared" si="9"/>
        <v>0.36222496935690102</v>
      </c>
      <c r="H17" s="71">
        <f t="shared" si="9"/>
        <v>0.67917151968337719</v>
      </c>
      <c r="I17" s="71">
        <f t="shared" si="9"/>
        <v>4.5278419030424844E-2</v>
      </c>
      <c r="J17" s="75">
        <v>0</v>
      </c>
      <c r="K17" s="75">
        <v>0</v>
      </c>
      <c r="L17" s="6" t="e">
        <f>(SUM(K14:K17))/J16</f>
        <v>#DIV/0!</v>
      </c>
      <c r="M17" s="36" t="e">
        <f t="shared" si="4"/>
        <v>#DIV/0!</v>
      </c>
      <c r="N17" s="6">
        <f t="shared" si="10"/>
        <v>0.2271654986777647</v>
      </c>
      <c r="O17" s="6">
        <f t="shared" si="10"/>
        <v>0.71582389712396544</v>
      </c>
      <c r="P17" s="6">
        <f t="shared" si="10"/>
        <v>-0.26149289976843598</v>
      </c>
      <c r="Q17" s="75">
        <v>0</v>
      </c>
      <c r="R17" s="76">
        <v>0</v>
      </c>
      <c r="S17" s="6" t="e">
        <f t="shared" si="0"/>
        <v>#DIV/0!</v>
      </c>
      <c r="T17" s="36" t="e">
        <f t="shared" si="5"/>
        <v>#DIV/0!</v>
      </c>
      <c r="U17" s="6">
        <f t="shared" si="11"/>
        <v>0.18401218302179842</v>
      </c>
      <c r="V17" s="6">
        <f t="shared" si="11"/>
        <v>0.37883088095577799</v>
      </c>
      <c r="W17" s="6">
        <f t="shared" si="11"/>
        <v>-1.0806514912181153E-2</v>
      </c>
      <c r="X17" s="6">
        <f t="shared" si="11"/>
        <v>8.6602834054808633E-2</v>
      </c>
      <c r="Y17" s="6">
        <f t="shared" si="11"/>
        <v>0.19481869793397957</v>
      </c>
    </row>
    <row r="18" spans="1:25" x14ac:dyDescent="0.25">
      <c r="A18" s="7" t="s">
        <v>98</v>
      </c>
      <c r="B18" s="7" t="s">
        <v>162</v>
      </c>
      <c r="C18" s="74">
        <v>0</v>
      </c>
      <c r="D18" s="74">
        <v>0</v>
      </c>
      <c r="E18" s="71" t="e">
        <f t="shared" si="2"/>
        <v>#DIV/0!</v>
      </c>
      <c r="F18" s="65" t="e">
        <f t="shared" si="3"/>
        <v>#DIV/0!</v>
      </c>
      <c r="G18" s="71">
        <f t="shared" si="9"/>
        <v>0.44825178806664662</v>
      </c>
      <c r="H18" s="71">
        <f t="shared" si="9"/>
        <v>0.78548221403733831</v>
      </c>
      <c r="I18" s="71">
        <f t="shared" si="9"/>
        <v>0.11102136209595498</v>
      </c>
      <c r="J18" s="75">
        <v>0</v>
      </c>
      <c r="K18" s="75">
        <v>0</v>
      </c>
      <c r="L18" s="6" t="e">
        <f>(SUM(K14:K18))/J17</f>
        <v>#DIV/0!</v>
      </c>
      <c r="M18" s="36" t="e">
        <f t="shared" si="4"/>
        <v>#DIV/0!</v>
      </c>
      <c r="N18" s="6">
        <f t="shared" si="10"/>
        <v>0.27284258705105507</v>
      </c>
      <c r="O18" s="6">
        <f t="shared" si="10"/>
        <v>0.75981161093062477</v>
      </c>
      <c r="P18" s="6">
        <f t="shared" si="10"/>
        <v>-0.21412643682851468</v>
      </c>
      <c r="Q18" s="75">
        <v>0</v>
      </c>
      <c r="R18" s="76">
        <v>0</v>
      </c>
      <c r="S18" s="6" t="e">
        <f t="shared" si="0"/>
        <v>#DIV/0!</v>
      </c>
      <c r="T18" s="36" t="e">
        <f t="shared" si="5"/>
        <v>#DIV/0!</v>
      </c>
      <c r="U18" s="6">
        <f t="shared" si="11"/>
        <v>0.23278475191631845</v>
      </c>
      <c r="V18" s="6">
        <f t="shared" si="11"/>
        <v>0.51017789992422413</v>
      </c>
      <c r="W18" s="6">
        <f t="shared" si="11"/>
        <v>-4.460839609158726E-2</v>
      </c>
      <c r="X18" s="6">
        <f t="shared" si="11"/>
        <v>9.4088177912365595E-2</v>
      </c>
      <c r="Y18" s="6">
        <f t="shared" si="11"/>
        <v>0.27739314800790571</v>
      </c>
    </row>
    <row r="19" spans="1:25" x14ac:dyDescent="0.25">
      <c r="A19" s="7" t="s">
        <v>98</v>
      </c>
      <c r="B19" s="7" t="s">
        <v>163</v>
      </c>
      <c r="C19" s="74">
        <v>0</v>
      </c>
      <c r="D19" s="74">
        <v>0</v>
      </c>
      <c r="E19" s="71" t="e">
        <f t="shared" si="2"/>
        <v>#DIV/0!</v>
      </c>
      <c r="F19" s="65" t="e">
        <f t="shared" si="3"/>
        <v>#DIV/0!</v>
      </c>
      <c r="G19" s="71">
        <f t="shared" si="9"/>
        <v>0.54231176602906361</v>
      </c>
      <c r="H19" s="71">
        <f t="shared" si="9"/>
        <v>0.92735502699565786</v>
      </c>
      <c r="I19" s="71">
        <f t="shared" si="9"/>
        <v>0.15726850506246942</v>
      </c>
      <c r="J19" s="75">
        <v>0</v>
      </c>
      <c r="K19" s="75">
        <v>0</v>
      </c>
      <c r="L19" s="6" t="e">
        <f>(SUM(K14:K19))/J18</f>
        <v>#DIV/0!</v>
      </c>
      <c r="M19" s="36" t="e">
        <f t="shared" si="4"/>
        <v>#DIV/0!</v>
      </c>
      <c r="N19" s="6">
        <f t="shared" si="10"/>
        <v>0.31451673641638933</v>
      </c>
      <c r="O19" s="6">
        <f t="shared" si="10"/>
        <v>0.80702132782766356</v>
      </c>
      <c r="P19" s="6">
        <f t="shared" si="10"/>
        <v>-0.1779878549948849</v>
      </c>
      <c r="Q19" s="75">
        <v>0</v>
      </c>
      <c r="R19" s="76">
        <v>0</v>
      </c>
      <c r="S19" s="6" t="e">
        <f t="shared" si="0"/>
        <v>#DIV/0!</v>
      </c>
      <c r="T19" s="36" t="e">
        <f t="shared" si="5"/>
        <v>#DIV/0!</v>
      </c>
      <c r="U19" s="6">
        <f t="shared" si="11"/>
        <v>0.46105014853915682</v>
      </c>
      <c r="V19" s="6">
        <f t="shared" si="11"/>
        <v>0.84756736419379908</v>
      </c>
      <c r="W19" s="6">
        <f t="shared" si="11"/>
        <v>7.4532932884514569E-2</v>
      </c>
      <c r="X19" s="6">
        <f t="shared" si="11"/>
        <v>7.4532932884514569E-2</v>
      </c>
      <c r="Y19" s="6">
        <f t="shared" si="11"/>
        <v>0.38651721565464225</v>
      </c>
    </row>
    <row r="20" spans="1:25" x14ac:dyDescent="0.25">
      <c r="A20" s="7" t="s">
        <v>98</v>
      </c>
      <c r="B20" s="7" t="s">
        <v>164</v>
      </c>
      <c r="C20" s="74">
        <v>0</v>
      </c>
      <c r="D20" s="74">
        <v>0</v>
      </c>
      <c r="E20" s="71" t="e">
        <f t="shared" si="2"/>
        <v>#DIV/0!</v>
      </c>
      <c r="F20" s="65" t="e">
        <f t="shared" si="3"/>
        <v>#DIV/0!</v>
      </c>
      <c r="G20" s="71">
        <f t="shared" si="9"/>
        <v>0.63634637719050002</v>
      </c>
      <c r="H20" s="71">
        <f t="shared" si="9"/>
        <v>1.0512878703900039</v>
      </c>
      <c r="I20" s="71">
        <f t="shared" si="9"/>
        <v>0.22140488399099606</v>
      </c>
      <c r="J20" s="75">
        <v>0</v>
      </c>
      <c r="K20" s="75">
        <v>0</v>
      </c>
      <c r="L20" s="6" t="e">
        <f>(SUM(K14:K20))/J19</f>
        <v>#DIV/0!</v>
      </c>
      <c r="M20" s="36" t="e">
        <f t="shared" si="4"/>
        <v>#DIV/0!</v>
      </c>
      <c r="N20" s="6">
        <f t="shared" si="10"/>
        <v>0.38334713342809434</v>
      </c>
      <c r="O20" s="6">
        <f t="shared" si="10"/>
        <v>0.88375935483946089</v>
      </c>
      <c r="P20" s="6">
        <f t="shared" si="10"/>
        <v>-0.1170650879832722</v>
      </c>
      <c r="Q20" s="75">
        <v>0</v>
      </c>
      <c r="R20" s="76">
        <v>0</v>
      </c>
      <c r="S20" s="6" t="e">
        <f t="shared" si="0"/>
        <v>#DIV/0!</v>
      </c>
      <c r="T20" s="36" t="e">
        <f t="shared" si="5"/>
        <v>#DIV/0!</v>
      </c>
      <c r="U20" s="6">
        <f t="shared" si="11"/>
        <v>0.46105014853915682</v>
      </c>
      <c r="V20" s="6">
        <f t="shared" si="11"/>
        <v>0.84756736419379908</v>
      </c>
      <c r="W20" s="6">
        <f t="shared" si="11"/>
        <v>7.4532932884514569E-2</v>
      </c>
      <c r="X20" s="6">
        <f t="shared" si="11"/>
        <v>7.4532932884514569E-2</v>
      </c>
      <c r="Y20" s="6">
        <f t="shared" si="11"/>
        <v>0.38651721565464225</v>
      </c>
    </row>
    <row r="21" spans="1:25" x14ac:dyDescent="0.25">
      <c r="A21" s="7" t="s">
        <v>98</v>
      </c>
      <c r="B21" s="7" t="s">
        <v>165</v>
      </c>
      <c r="C21" s="74">
        <v>0</v>
      </c>
      <c r="D21" s="74">
        <v>0</v>
      </c>
      <c r="E21" s="71" t="e">
        <f t="shared" si="2"/>
        <v>#DIV/0!</v>
      </c>
      <c r="F21" s="65" t="e">
        <f t="shared" si="3"/>
        <v>#DIV/0!</v>
      </c>
      <c r="G21" s="71">
        <f t="shared" si="9"/>
        <v>0.70660866675940681</v>
      </c>
      <c r="H21" s="71">
        <f t="shared" si="9"/>
        <v>1.1341225514190425</v>
      </c>
      <c r="I21" s="71">
        <f t="shared" si="9"/>
        <v>0.27909478209977112</v>
      </c>
      <c r="J21" s="75">
        <v>0</v>
      </c>
      <c r="K21" s="75">
        <v>0</v>
      </c>
      <c r="L21" s="6" t="e">
        <f>(SUM(K14:K21))/J20</f>
        <v>#DIV/0!</v>
      </c>
      <c r="M21" s="36" t="e">
        <f t="shared" si="4"/>
        <v>#DIV/0!</v>
      </c>
      <c r="N21" s="6">
        <f t="shared" si="10"/>
        <v>0.45719521320533213</v>
      </c>
      <c r="O21" s="6">
        <f t="shared" si="10"/>
        <v>0.97356755068321044</v>
      </c>
      <c r="P21" s="6">
        <f t="shared" si="10"/>
        <v>-5.9177124272546122E-2</v>
      </c>
      <c r="Q21" s="75">
        <v>0</v>
      </c>
      <c r="R21" s="76">
        <v>0</v>
      </c>
      <c r="S21" s="6" t="e">
        <f t="shared" si="0"/>
        <v>#DIV/0!</v>
      </c>
      <c r="T21" s="36" t="e">
        <f t="shared" si="5"/>
        <v>#DIV/0!</v>
      </c>
      <c r="U21" s="6">
        <f t="shared" si="11"/>
        <v>0.46105014853915682</v>
      </c>
      <c r="V21" s="6">
        <f t="shared" si="11"/>
        <v>0.84756736419379908</v>
      </c>
      <c r="W21" s="6">
        <f t="shared" si="11"/>
        <v>7.4532932884514569E-2</v>
      </c>
      <c r="X21" s="6">
        <f t="shared" si="11"/>
        <v>7.4532932884514569E-2</v>
      </c>
      <c r="Y21" s="6">
        <f t="shared" si="11"/>
        <v>0.38651721565464225</v>
      </c>
    </row>
    <row r="22" spans="1:25" x14ac:dyDescent="0.25">
      <c r="A22" s="7" t="s">
        <v>98</v>
      </c>
      <c r="B22" s="7" t="s">
        <v>166</v>
      </c>
      <c r="C22" s="74">
        <v>0</v>
      </c>
      <c r="D22" s="74">
        <v>0</v>
      </c>
      <c r="E22" s="71" t="e">
        <f t="shared" si="2"/>
        <v>#DIV/0!</v>
      </c>
      <c r="F22" s="65" t="e">
        <f t="shared" si="3"/>
        <v>#DIV/0!</v>
      </c>
      <c r="G22" s="71">
        <f t="shared" si="9"/>
        <v>0.73663014244586189</v>
      </c>
      <c r="H22" s="71">
        <f t="shared" si="9"/>
        <v>1.1737360935948695</v>
      </c>
      <c r="I22" s="71">
        <f t="shared" si="9"/>
        <v>0.29952419129685426</v>
      </c>
      <c r="J22" s="75">
        <v>0</v>
      </c>
      <c r="K22" s="75">
        <v>0</v>
      </c>
      <c r="L22" s="6" t="e">
        <f>(SUM(K14:K22))/J21</f>
        <v>#DIV/0!</v>
      </c>
      <c r="M22" s="36" t="e">
        <f t="shared" si="4"/>
        <v>#DIV/0!</v>
      </c>
      <c r="N22" s="6">
        <f t="shared" si="10"/>
        <v>0.50336729135060976</v>
      </c>
      <c r="O22" s="6">
        <f t="shared" si="10"/>
        <v>1.0150591886201059</v>
      </c>
      <c r="P22" s="6">
        <f t="shared" si="10"/>
        <v>-8.3246059188863963E-3</v>
      </c>
      <c r="Q22" s="75">
        <v>0</v>
      </c>
      <c r="R22" s="76">
        <v>0</v>
      </c>
      <c r="S22" s="6" t="e">
        <f t="shared" si="0"/>
        <v>#DIV/0!</v>
      </c>
      <c r="T22" s="36" t="e">
        <f t="shared" si="5"/>
        <v>#DIV/0!</v>
      </c>
      <c r="U22" s="6">
        <f t="shared" si="11"/>
        <v>0.74232771533595698</v>
      </c>
      <c r="V22" s="6">
        <f t="shared" si="11"/>
        <v>1.1540802341555996</v>
      </c>
      <c r="W22" s="6">
        <f t="shared" si="11"/>
        <v>0.33057519651631434</v>
      </c>
      <c r="X22" s="6">
        <f t="shared" si="11"/>
        <v>0.33057519651631434</v>
      </c>
      <c r="Y22" s="6">
        <f t="shared" si="11"/>
        <v>0.41175251881964264</v>
      </c>
    </row>
    <row r="23" spans="1:25" x14ac:dyDescent="0.25">
      <c r="A23" s="7" t="s">
        <v>98</v>
      </c>
      <c r="B23" s="7" t="s">
        <v>167</v>
      </c>
      <c r="C23" s="74">
        <v>0</v>
      </c>
      <c r="D23" s="74">
        <v>0</v>
      </c>
      <c r="E23" s="71" t="e">
        <f t="shared" si="2"/>
        <v>#DIV/0!</v>
      </c>
      <c r="F23" s="65" t="e">
        <f t="shared" si="3"/>
        <v>#DIV/0!</v>
      </c>
      <c r="G23" s="71">
        <f t="shared" si="9"/>
        <v>0.82061442726694189</v>
      </c>
      <c r="H23" s="71">
        <f t="shared" si="9"/>
        <v>1.2607833515834532</v>
      </c>
      <c r="I23" s="71">
        <f t="shared" si="9"/>
        <v>0.38044550295043061</v>
      </c>
      <c r="J23" s="75">
        <v>0</v>
      </c>
      <c r="K23" s="75">
        <v>0</v>
      </c>
      <c r="L23" s="6" t="e">
        <f>(SUM(K14:K23))/J22</f>
        <v>#DIV/0!</v>
      </c>
      <c r="M23" s="36" t="e">
        <f t="shared" si="4"/>
        <v>#DIV/0!</v>
      </c>
      <c r="N23" s="6">
        <f t="shared" si="10"/>
        <v>0.58006775555216661</v>
      </c>
      <c r="O23" s="6">
        <f t="shared" si="10"/>
        <v>1.099948635873619</v>
      </c>
      <c r="P23" s="6">
        <f t="shared" si="10"/>
        <v>6.0186875230714088E-2</v>
      </c>
      <c r="Q23" s="75">
        <v>0</v>
      </c>
      <c r="R23" s="76">
        <v>0</v>
      </c>
      <c r="S23" s="6" t="e">
        <f t="shared" si="0"/>
        <v>#DIV/0!</v>
      </c>
      <c r="T23" s="36" t="e">
        <f t="shared" si="5"/>
        <v>#DIV/0!</v>
      </c>
      <c r="U23" s="6">
        <f t="shared" si="11"/>
        <v>0.82347447721763523</v>
      </c>
      <c r="V23" s="6">
        <f t="shared" si="11"/>
        <v>1.2398542522675045</v>
      </c>
      <c r="W23" s="6">
        <f t="shared" si="11"/>
        <v>0.40709470216776611</v>
      </c>
      <c r="X23" s="6">
        <f t="shared" si="11"/>
        <v>0.40709470216776611</v>
      </c>
      <c r="Y23" s="6">
        <f t="shared" si="11"/>
        <v>0.41637977504986912</v>
      </c>
    </row>
    <row r="24" spans="1:25" x14ac:dyDescent="0.25">
      <c r="A24" s="7" t="s">
        <v>98</v>
      </c>
      <c r="B24" s="7" t="s">
        <v>168</v>
      </c>
      <c r="C24" s="74">
        <v>0</v>
      </c>
      <c r="D24" s="74">
        <v>18</v>
      </c>
      <c r="E24" s="71" t="e">
        <f t="shared" si="2"/>
        <v>#DIV/0!</v>
      </c>
      <c r="F24" s="65" t="e">
        <f t="shared" si="3"/>
        <v>#DIV/0!</v>
      </c>
      <c r="G24" s="71">
        <f t="shared" si="9"/>
        <v>0.94582556715526966</v>
      </c>
      <c r="H24" s="71">
        <f t="shared" si="9"/>
        <v>1.4311117173682604</v>
      </c>
      <c r="I24" s="71">
        <f t="shared" si="9"/>
        <v>0.46053941694227907</v>
      </c>
      <c r="J24" s="75">
        <v>0</v>
      </c>
      <c r="K24" s="75">
        <v>0</v>
      </c>
      <c r="L24" s="6" t="e">
        <f>(SUM(K14:K24))/J23</f>
        <v>#DIV/0!</v>
      </c>
      <c r="M24" s="36" t="e">
        <f t="shared" si="4"/>
        <v>#DIV/0!</v>
      </c>
      <c r="N24" s="6">
        <f t="shared" si="10"/>
        <v>0.72282137340514951</v>
      </c>
      <c r="O24" s="6">
        <f t="shared" si="10"/>
        <v>1.2463651595014014</v>
      </c>
      <c r="P24" s="6">
        <f t="shared" si="10"/>
        <v>0.19927758730889755</v>
      </c>
      <c r="Q24" s="75">
        <v>0</v>
      </c>
      <c r="R24" s="76">
        <v>0</v>
      </c>
      <c r="S24" s="6" t="e">
        <f t="shared" si="0"/>
        <v>#DIV/0!</v>
      </c>
      <c r="T24" s="36" t="e">
        <f t="shared" si="5"/>
        <v>#DIV/0!</v>
      </c>
      <c r="U24" s="6">
        <f t="shared" si="11"/>
        <v>0.91825333306001944</v>
      </c>
      <c r="V24" s="6">
        <f t="shared" si="11"/>
        <v>1.402047931898428</v>
      </c>
      <c r="W24" s="6">
        <f t="shared" si="11"/>
        <v>0.43445873422161085</v>
      </c>
      <c r="X24" s="6">
        <f t="shared" si="11"/>
        <v>0.43445873422161085</v>
      </c>
      <c r="Y24" s="6">
        <f t="shared" si="11"/>
        <v>0.48379459883840858</v>
      </c>
    </row>
    <row r="25" spans="1:25" x14ac:dyDescent="0.25">
      <c r="A25" s="7" t="s">
        <v>98</v>
      </c>
      <c r="B25" s="7" t="s">
        <v>169</v>
      </c>
      <c r="C25" s="74">
        <v>0</v>
      </c>
      <c r="D25" s="74">
        <v>45</v>
      </c>
      <c r="E25" s="71" t="e">
        <f t="shared" si="2"/>
        <v>#DIV/0!</v>
      </c>
      <c r="F25" s="65" t="e">
        <f t="shared" si="3"/>
        <v>#DIV/0!</v>
      </c>
      <c r="G25" s="71">
        <f t="shared" si="9"/>
        <v>1.0016849877757958</v>
      </c>
      <c r="H25" s="71">
        <f t="shared" si="9"/>
        <v>1.521489991464148</v>
      </c>
      <c r="I25" s="71">
        <f t="shared" si="9"/>
        <v>0.48187998408744359</v>
      </c>
      <c r="J25" s="75">
        <v>0</v>
      </c>
      <c r="K25" s="75">
        <v>0</v>
      </c>
      <c r="L25" s="6" t="e">
        <f>(SUM(K15:K25))/J24</f>
        <v>#DIV/0!</v>
      </c>
      <c r="M25" s="36" t="e">
        <f t="shared" si="4"/>
        <v>#DIV/0!</v>
      </c>
      <c r="N25" s="6">
        <f>N13</f>
        <v>0.82421983567812696</v>
      </c>
      <c r="O25" s="6">
        <f t="shared" si="10"/>
        <v>1.3730394926064369</v>
      </c>
      <c r="P25" s="6">
        <f t="shared" si="10"/>
        <v>0.27540017874981693</v>
      </c>
      <c r="Q25" s="75">
        <v>0</v>
      </c>
      <c r="R25" s="76">
        <v>0</v>
      </c>
      <c r="S25" s="6" t="e">
        <f t="shared" si="0"/>
        <v>#DIV/0!</v>
      </c>
      <c r="T25" s="36" t="e">
        <f t="shared" si="5"/>
        <v>#DIV/0!</v>
      </c>
      <c r="U25" s="6">
        <f t="shared" si="11"/>
        <v>0.91825333306001944</v>
      </c>
      <c r="V25" s="6">
        <f t="shared" si="11"/>
        <v>1.402047931898428</v>
      </c>
      <c r="W25" s="6">
        <f t="shared" si="11"/>
        <v>0.43445873422161085</v>
      </c>
      <c r="X25" s="6">
        <f t="shared" si="11"/>
        <v>0.43445873422161085</v>
      </c>
      <c r="Y25" s="6">
        <f t="shared" si="11"/>
        <v>0.48379459883840858</v>
      </c>
    </row>
    <row r="26" spans="1:25" x14ac:dyDescent="0.25">
      <c r="A26" s="7" t="s">
        <v>56</v>
      </c>
      <c r="B26" s="7" t="s">
        <v>158</v>
      </c>
      <c r="C26" s="74">
        <v>35</v>
      </c>
      <c r="D26" s="74">
        <v>0</v>
      </c>
      <c r="E26" s="71">
        <f t="shared" si="2"/>
        <v>0</v>
      </c>
      <c r="F26" s="65" t="str">
        <f t="shared" si="3"/>
        <v>Desempenho Médio</v>
      </c>
      <c r="G26" s="71">
        <f t="shared" si="9"/>
        <v>0.11573204891712785</v>
      </c>
      <c r="H26" s="71">
        <f t="shared" si="9"/>
        <v>0.30218524997148988</v>
      </c>
      <c r="I26" s="71">
        <f t="shared" si="9"/>
        <v>-7.0721152137234206E-2</v>
      </c>
      <c r="J26" s="75">
        <v>28902.95</v>
      </c>
      <c r="K26" s="75">
        <v>0</v>
      </c>
      <c r="L26" s="52">
        <f>K26/J26</f>
        <v>0</v>
      </c>
      <c r="M26" s="36" t="str">
        <f t="shared" si="4"/>
        <v>Desempenho Médio</v>
      </c>
      <c r="N26" s="6">
        <f t="shared" ref="N26:P37" si="12">N14</f>
        <v>0.11129468122233216</v>
      </c>
      <c r="O26" s="6">
        <f t="shared" si="12"/>
        <v>0.54990456699293522</v>
      </c>
      <c r="P26" s="6">
        <f t="shared" si="12"/>
        <v>-0.32731520454827095</v>
      </c>
      <c r="Q26" s="75">
        <v>56</v>
      </c>
      <c r="R26" s="76">
        <v>0</v>
      </c>
      <c r="S26" s="6">
        <f t="shared" si="0"/>
        <v>0</v>
      </c>
      <c r="T26" s="36" t="str">
        <f t="shared" si="5"/>
        <v>Desempenho Médio</v>
      </c>
      <c r="U26" s="6">
        <f t="shared" si="11"/>
        <v>6.5053670194766225E-2</v>
      </c>
      <c r="V26" s="6">
        <f t="shared" si="11"/>
        <v>0.16010348962314203</v>
      </c>
      <c r="W26" s="6">
        <f t="shared" si="11"/>
        <v>-2.9996149233609562E-2</v>
      </c>
      <c r="X26" s="6">
        <f t="shared" si="11"/>
        <v>1.7528760480578331E-2</v>
      </c>
      <c r="Y26" s="6">
        <f t="shared" si="11"/>
        <v>9.5049819428375787E-2</v>
      </c>
    </row>
    <row r="27" spans="1:25" x14ac:dyDescent="0.25">
      <c r="A27" s="7" t="s">
        <v>56</v>
      </c>
      <c r="B27" s="7" t="s">
        <v>159</v>
      </c>
      <c r="C27" s="74">
        <v>35</v>
      </c>
      <c r="D27" s="74">
        <v>0</v>
      </c>
      <c r="E27" s="71">
        <f t="shared" si="2"/>
        <v>0</v>
      </c>
      <c r="F27" s="65" t="str">
        <f t="shared" si="3"/>
        <v>Desempenho Médio</v>
      </c>
      <c r="G27" s="71">
        <f t="shared" si="9"/>
        <v>0.22598075676513599</v>
      </c>
      <c r="H27" s="71">
        <f t="shared" si="9"/>
        <v>0.51894873552035481</v>
      </c>
      <c r="I27" s="71">
        <f t="shared" si="9"/>
        <v>-6.6987221990082807E-2</v>
      </c>
      <c r="J27" s="75">
        <v>28902.95</v>
      </c>
      <c r="K27" s="75">
        <v>0</v>
      </c>
      <c r="L27" s="6">
        <f>(SUM(K26:K27))/J26</f>
        <v>0</v>
      </c>
      <c r="M27" s="36" t="str">
        <f t="shared" si="4"/>
        <v>Desempenho Médio</v>
      </c>
      <c r="N27" s="6">
        <f t="shared" si="12"/>
        <v>0.14992070801509372</v>
      </c>
      <c r="O27" s="6">
        <f t="shared" si="12"/>
        <v>0.58968599072326611</v>
      </c>
      <c r="P27" s="6">
        <f t="shared" si="12"/>
        <v>-0.28984457469307867</v>
      </c>
      <c r="Q27" s="75">
        <v>56</v>
      </c>
      <c r="R27" s="76">
        <v>0</v>
      </c>
      <c r="S27" s="6">
        <f t="shared" si="0"/>
        <v>0</v>
      </c>
      <c r="T27" s="36" t="str">
        <f t="shared" si="5"/>
        <v>Desempenho Médio</v>
      </c>
      <c r="U27" s="6">
        <f t="shared" si="11"/>
        <v>6.5053670194766225E-2</v>
      </c>
      <c r="V27" s="6">
        <f t="shared" si="11"/>
        <v>0.16010348962314203</v>
      </c>
      <c r="W27" s="6">
        <f t="shared" si="11"/>
        <v>-2.9996149233609562E-2</v>
      </c>
      <c r="X27" s="6">
        <f t="shared" si="11"/>
        <v>1.7528760480578331E-2</v>
      </c>
      <c r="Y27" s="6">
        <f t="shared" si="11"/>
        <v>9.5049819428375787E-2</v>
      </c>
    </row>
    <row r="28" spans="1:25" x14ac:dyDescent="0.25">
      <c r="A28" s="7" t="s">
        <v>56</v>
      </c>
      <c r="B28" s="7" t="s">
        <v>160</v>
      </c>
      <c r="C28" s="74">
        <v>35</v>
      </c>
      <c r="D28" s="74">
        <v>0</v>
      </c>
      <c r="E28" s="71">
        <f t="shared" si="2"/>
        <v>0</v>
      </c>
      <c r="F28" s="65" t="str">
        <f t="shared" si="3"/>
        <v>Desempenho Médio</v>
      </c>
      <c r="G28" s="71">
        <f t="shared" si="9"/>
        <v>0.2827891266215985</v>
      </c>
      <c r="H28" s="71">
        <f t="shared" si="9"/>
        <v>0.59134445337262298</v>
      </c>
      <c r="I28" s="71">
        <f t="shared" si="9"/>
        <v>-2.5766200129425987E-2</v>
      </c>
      <c r="J28" s="75">
        <v>28902.95</v>
      </c>
      <c r="K28" s="75">
        <v>0</v>
      </c>
      <c r="L28" s="6">
        <f>(SUM(K26:K28))/J27</f>
        <v>0</v>
      </c>
      <c r="M28" s="36" t="str">
        <f t="shared" si="4"/>
        <v>Desempenho Médio</v>
      </c>
      <c r="N28" s="6">
        <f t="shared" si="12"/>
        <v>0.17723994755342617</v>
      </c>
      <c r="O28" s="6">
        <f t="shared" si="12"/>
        <v>0.61473682715667155</v>
      </c>
      <c r="P28" s="6">
        <f t="shared" si="12"/>
        <v>-0.26025693204981915</v>
      </c>
      <c r="Q28" s="75">
        <v>56</v>
      </c>
      <c r="R28" s="76">
        <v>17</v>
      </c>
      <c r="S28" s="6">
        <f t="shared" si="0"/>
        <v>0.30357142857142855</v>
      </c>
      <c r="T28" s="36" t="str">
        <f t="shared" si="5"/>
        <v>Desempenho Bom</v>
      </c>
      <c r="U28" s="6">
        <f t="shared" si="11"/>
        <v>0.18401218302179842</v>
      </c>
      <c r="V28" s="6">
        <f t="shared" si="11"/>
        <v>0.37883088095577799</v>
      </c>
      <c r="W28" s="6">
        <f t="shared" si="11"/>
        <v>-1.0806514912181153E-2</v>
      </c>
      <c r="X28" s="6">
        <f t="shared" si="11"/>
        <v>8.6602834054808633E-2</v>
      </c>
      <c r="Y28" s="6">
        <f t="shared" si="11"/>
        <v>0.19481869793397957</v>
      </c>
    </row>
    <row r="29" spans="1:25" x14ac:dyDescent="0.25">
      <c r="A29" s="7" t="s">
        <v>56</v>
      </c>
      <c r="B29" s="7" t="s">
        <v>161</v>
      </c>
      <c r="C29" s="74">
        <v>35</v>
      </c>
      <c r="D29" s="74">
        <v>0</v>
      </c>
      <c r="E29" s="71">
        <f t="shared" si="2"/>
        <v>0</v>
      </c>
      <c r="F29" s="65" t="str">
        <f t="shared" si="3"/>
        <v>Desempenho Deficitário</v>
      </c>
      <c r="G29" s="71">
        <f t="shared" si="9"/>
        <v>0.36222496935690102</v>
      </c>
      <c r="H29" s="71">
        <f t="shared" si="9"/>
        <v>0.67917151968337719</v>
      </c>
      <c r="I29" s="71">
        <f t="shared" si="9"/>
        <v>4.5278419030424844E-2</v>
      </c>
      <c r="J29" s="75">
        <v>28902.95</v>
      </c>
      <c r="K29" s="75">
        <v>0</v>
      </c>
      <c r="L29" s="6">
        <f>(SUM(K26:K29))/J28</f>
        <v>0</v>
      </c>
      <c r="M29" s="36" t="str">
        <f t="shared" si="4"/>
        <v>Desempenho Médio</v>
      </c>
      <c r="N29" s="6">
        <f t="shared" si="12"/>
        <v>0.2271654986777647</v>
      </c>
      <c r="O29" s="6">
        <f t="shared" si="12"/>
        <v>0.71582389712396544</v>
      </c>
      <c r="P29" s="6">
        <f t="shared" si="12"/>
        <v>-0.26149289976843598</v>
      </c>
      <c r="Q29" s="75">
        <v>56</v>
      </c>
      <c r="R29" s="76">
        <v>17</v>
      </c>
      <c r="S29" s="6">
        <f t="shared" si="0"/>
        <v>0.30357142857142855</v>
      </c>
      <c r="T29" s="36" t="str">
        <f t="shared" si="5"/>
        <v>Desempenho Bom</v>
      </c>
      <c r="U29" s="6">
        <f t="shared" si="11"/>
        <v>0.18401218302179842</v>
      </c>
      <c r="V29" s="6">
        <f t="shared" si="11"/>
        <v>0.37883088095577799</v>
      </c>
      <c r="W29" s="6">
        <f t="shared" si="11"/>
        <v>-1.0806514912181153E-2</v>
      </c>
      <c r="X29" s="6">
        <f t="shared" si="11"/>
        <v>8.6602834054808633E-2</v>
      </c>
      <c r="Y29" s="6">
        <f t="shared" si="11"/>
        <v>0.19481869793397957</v>
      </c>
    </row>
    <row r="30" spans="1:25" x14ac:dyDescent="0.25">
      <c r="A30" s="7" t="s">
        <v>56</v>
      </c>
      <c r="B30" s="7" t="s">
        <v>162</v>
      </c>
      <c r="C30" s="74">
        <v>35</v>
      </c>
      <c r="D30" s="74">
        <v>33</v>
      </c>
      <c r="E30" s="71">
        <f t="shared" si="2"/>
        <v>0.94285714285714284</v>
      </c>
      <c r="F30" s="65" t="str">
        <f t="shared" si="3"/>
        <v>Desempenho Ótimo</v>
      </c>
      <c r="G30" s="71">
        <f t="shared" si="9"/>
        <v>0.44825178806664662</v>
      </c>
      <c r="H30" s="71">
        <f t="shared" si="9"/>
        <v>0.78548221403733831</v>
      </c>
      <c r="I30" s="71">
        <f t="shared" si="9"/>
        <v>0.11102136209595498</v>
      </c>
      <c r="J30" s="75">
        <v>28902.95</v>
      </c>
      <c r="K30" s="75">
        <v>4641.3999999999996</v>
      </c>
      <c r="L30" s="6">
        <f>(SUM(K26:K30))/J29</f>
        <v>0.16058568416026736</v>
      </c>
      <c r="M30" s="36" t="str">
        <f t="shared" si="4"/>
        <v>Desempenho Médio</v>
      </c>
      <c r="N30" s="6">
        <f t="shared" si="12"/>
        <v>0.27284258705105507</v>
      </c>
      <c r="O30" s="6">
        <f t="shared" si="12"/>
        <v>0.75981161093062477</v>
      </c>
      <c r="P30" s="6">
        <f t="shared" si="12"/>
        <v>-0.21412643682851468</v>
      </c>
      <c r="Q30" s="75">
        <v>56</v>
      </c>
      <c r="R30" s="76">
        <v>17</v>
      </c>
      <c r="S30" s="6">
        <f t="shared" si="0"/>
        <v>0.30357142857142855</v>
      </c>
      <c r="T30" s="36" t="str">
        <f t="shared" si="5"/>
        <v>Desempenho Bom</v>
      </c>
      <c r="U30" s="6">
        <f t="shared" si="11"/>
        <v>0.23278475191631845</v>
      </c>
      <c r="V30" s="6">
        <f t="shared" si="11"/>
        <v>0.51017789992422413</v>
      </c>
      <c r="W30" s="6">
        <f t="shared" si="11"/>
        <v>-4.460839609158726E-2</v>
      </c>
      <c r="X30" s="6">
        <f t="shared" si="11"/>
        <v>9.4088177912365595E-2</v>
      </c>
      <c r="Y30" s="6">
        <f t="shared" si="11"/>
        <v>0.27739314800790571</v>
      </c>
    </row>
    <row r="31" spans="1:25" x14ac:dyDescent="0.25">
      <c r="A31" s="7" t="s">
        <v>56</v>
      </c>
      <c r="B31" s="7" t="s">
        <v>163</v>
      </c>
      <c r="C31" s="74">
        <v>35</v>
      </c>
      <c r="D31" s="74">
        <v>33</v>
      </c>
      <c r="E31" s="71">
        <f t="shared" si="2"/>
        <v>0.94285714285714284</v>
      </c>
      <c r="F31" s="65" t="str">
        <f t="shared" si="3"/>
        <v>Desempenho Ótimo</v>
      </c>
      <c r="G31" s="71">
        <f t="shared" si="9"/>
        <v>0.54231176602906361</v>
      </c>
      <c r="H31" s="71">
        <f t="shared" si="9"/>
        <v>0.92735502699565786</v>
      </c>
      <c r="I31" s="71">
        <f t="shared" si="9"/>
        <v>0.15726850506246942</v>
      </c>
      <c r="J31" s="75">
        <v>28902.95</v>
      </c>
      <c r="K31" s="75">
        <v>0</v>
      </c>
      <c r="L31" s="6">
        <f>(SUM(K26:K31))/J30</f>
        <v>0.16058568416026736</v>
      </c>
      <c r="M31" s="36" t="str">
        <f t="shared" si="4"/>
        <v>Desempenho Médio</v>
      </c>
      <c r="N31" s="6">
        <f t="shared" si="12"/>
        <v>0.31451673641638933</v>
      </c>
      <c r="O31" s="6">
        <f t="shared" si="12"/>
        <v>0.80702132782766356</v>
      </c>
      <c r="P31" s="6">
        <f t="shared" si="12"/>
        <v>-0.1779878549948849</v>
      </c>
      <c r="Q31" s="75">
        <v>56</v>
      </c>
      <c r="R31" s="76">
        <v>42</v>
      </c>
      <c r="S31" s="6">
        <f t="shared" si="0"/>
        <v>0.75</v>
      </c>
      <c r="T31" s="36" t="str">
        <f t="shared" si="5"/>
        <v>Desempenho Bom</v>
      </c>
      <c r="U31" s="6">
        <f t="shared" ref="U31:Y46" si="13">U19</f>
        <v>0.46105014853915682</v>
      </c>
      <c r="V31" s="6">
        <f t="shared" si="13"/>
        <v>0.84756736419379908</v>
      </c>
      <c r="W31" s="6">
        <f t="shared" si="13"/>
        <v>7.4532932884514569E-2</v>
      </c>
      <c r="X31" s="6">
        <f t="shared" si="13"/>
        <v>7.4532932884514569E-2</v>
      </c>
      <c r="Y31" s="6">
        <f t="shared" si="13"/>
        <v>0.38651721565464225</v>
      </c>
    </row>
    <row r="32" spans="1:25" x14ac:dyDescent="0.25">
      <c r="A32" s="7" t="s">
        <v>56</v>
      </c>
      <c r="B32" s="7" t="s">
        <v>164</v>
      </c>
      <c r="C32" s="74">
        <v>35</v>
      </c>
      <c r="D32" s="74">
        <v>33</v>
      </c>
      <c r="E32" s="71">
        <f t="shared" si="2"/>
        <v>0.94285714285714284</v>
      </c>
      <c r="F32" s="65" t="str">
        <f t="shared" si="3"/>
        <v>Desempenho Bom</v>
      </c>
      <c r="G32" s="71">
        <f t="shared" si="9"/>
        <v>0.63634637719050002</v>
      </c>
      <c r="H32" s="71">
        <f t="shared" si="9"/>
        <v>1.0512878703900039</v>
      </c>
      <c r="I32" s="71">
        <f t="shared" si="9"/>
        <v>0.22140488399099606</v>
      </c>
      <c r="J32" s="75">
        <v>28902.95</v>
      </c>
      <c r="K32" s="75">
        <v>0</v>
      </c>
      <c r="L32" s="6">
        <f>(SUM(K26:K32))/J31</f>
        <v>0.16058568416026736</v>
      </c>
      <c r="M32" s="36" t="str">
        <f t="shared" si="4"/>
        <v>Desempenho Médio</v>
      </c>
      <c r="N32" s="6">
        <f t="shared" si="12"/>
        <v>0.38334713342809434</v>
      </c>
      <c r="O32" s="6">
        <f t="shared" si="12"/>
        <v>0.88375935483946089</v>
      </c>
      <c r="P32" s="6">
        <f t="shared" si="12"/>
        <v>-0.1170650879832722</v>
      </c>
      <c r="Q32" s="75">
        <v>56</v>
      </c>
      <c r="R32" s="76">
        <v>42</v>
      </c>
      <c r="S32" s="6">
        <f t="shared" si="0"/>
        <v>0.75</v>
      </c>
      <c r="T32" s="36" t="str">
        <f t="shared" si="5"/>
        <v>Desempenho Bom</v>
      </c>
      <c r="U32" s="6">
        <f t="shared" si="13"/>
        <v>0.46105014853915682</v>
      </c>
      <c r="V32" s="6">
        <f t="shared" si="13"/>
        <v>0.84756736419379908</v>
      </c>
      <c r="W32" s="6">
        <f t="shared" si="13"/>
        <v>7.4532932884514569E-2</v>
      </c>
      <c r="X32" s="6">
        <f t="shared" si="13"/>
        <v>7.4532932884514569E-2</v>
      </c>
      <c r="Y32" s="6">
        <f t="shared" si="13"/>
        <v>0.38651721565464225</v>
      </c>
    </row>
    <row r="33" spans="1:25" x14ac:dyDescent="0.25">
      <c r="A33" s="7" t="s">
        <v>56</v>
      </c>
      <c r="B33" s="7" t="s">
        <v>165</v>
      </c>
      <c r="C33" s="74">
        <v>35</v>
      </c>
      <c r="D33" s="74">
        <v>33</v>
      </c>
      <c r="E33" s="71">
        <f t="shared" si="2"/>
        <v>0.94285714285714284</v>
      </c>
      <c r="F33" s="65" t="str">
        <f t="shared" si="3"/>
        <v>Desempenho Bom</v>
      </c>
      <c r="G33" s="71">
        <f t="shared" si="9"/>
        <v>0.70660866675940681</v>
      </c>
      <c r="H33" s="71">
        <f t="shared" si="9"/>
        <v>1.1341225514190425</v>
      </c>
      <c r="I33" s="71">
        <f t="shared" si="9"/>
        <v>0.27909478209977112</v>
      </c>
      <c r="J33" s="75">
        <v>28902.95</v>
      </c>
      <c r="K33" s="75">
        <v>0</v>
      </c>
      <c r="L33" s="6">
        <f>(SUM(K26:K33))/J32</f>
        <v>0.16058568416026736</v>
      </c>
      <c r="M33" s="36" t="str">
        <f t="shared" si="4"/>
        <v>Desempenho Médio</v>
      </c>
      <c r="N33" s="6">
        <f t="shared" si="12"/>
        <v>0.45719521320533213</v>
      </c>
      <c r="O33" s="6">
        <f t="shared" si="12"/>
        <v>0.97356755068321044</v>
      </c>
      <c r="P33" s="6">
        <f t="shared" si="12"/>
        <v>-5.9177124272546122E-2</v>
      </c>
      <c r="Q33" s="75">
        <v>56</v>
      </c>
      <c r="R33" s="76">
        <v>42</v>
      </c>
      <c r="S33" s="6">
        <f t="shared" si="0"/>
        <v>0.75</v>
      </c>
      <c r="T33" s="36" t="str">
        <f t="shared" si="5"/>
        <v>Desempenho Bom</v>
      </c>
      <c r="U33" s="6">
        <f t="shared" si="13"/>
        <v>0.46105014853915682</v>
      </c>
      <c r="V33" s="6">
        <f t="shared" si="13"/>
        <v>0.84756736419379908</v>
      </c>
      <c r="W33" s="6">
        <f t="shared" si="13"/>
        <v>7.4532932884514569E-2</v>
      </c>
      <c r="X33" s="6">
        <f t="shared" si="13"/>
        <v>7.4532932884514569E-2</v>
      </c>
      <c r="Y33" s="6">
        <f t="shared" si="13"/>
        <v>0.38651721565464225</v>
      </c>
    </row>
    <row r="34" spans="1:25" x14ac:dyDescent="0.25">
      <c r="A34" s="7" t="s">
        <v>56</v>
      </c>
      <c r="B34" s="7" t="s">
        <v>166</v>
      </c>
      <c r="C34" s="74">
        <v>35</v>
      </c>
      <c r="D34" s="74">
        <v>33</v>
      </c>
      <c r="E34" s="71">
        <f t="shared" si="2"/>
        <v>0.94285714285714284</v>
      </c>
      <c r="F34" s="65" t="str">
        <f t="shared" si="3"/>
        <v>Desempenho Bom</v>
      </c>
      <c r="G34" s="71">
        <f t="shared" si="9"/>
        <v>0.73663014244586189</v>
      </c>
      <c r="H34" s="71">
        <f t="shared" si="9"/>
        <v>1.1737360935948695</v>
      </c>
      <c r="I34" s="71">
        <f t="shared" si="9"/>
        <v>0.29952419129685426</v>
      </c>
      <c r="J34" s="75">
        <v>28902.95</v>
      </c>
      <c r="K34" s="75">
        <v>0</v>
      </c>
      <c r="L34" s="6">
        <f>(SUM(K26:K34))/J33</f>
        <v>0.16058568416026736</v>
      </c>
      <c r="M34" s="36" t="str">
        <f t="shared" si="4"/>
        <v>Desempenho Médio</v>
      </c>
      <c r="N34" s="6">
        <f t="shared" si="12"/>
        <v>0.50336729135060976</v>
      </c>
      <c r="O34" s="6">
        <f t="shared" si="12"/>
        <v>1.0150591886201059</v>
      </c>
      <c r="P34" s="6">
        <f t="shared" si="12"/>
        <v>-8.3246059188863963E-3</v>
      </c>
      <c r="Q34" s="75">
        <v>56</v>
      </c>
      <c r="R34" s="76">
        <v>54</v>
      </c>
      <c r="S34" s="6">
        <f t="shared" si="0"/>
        <v>0.9642857142857143</v>
      </c>
      <c r="T34" s="36" t="str">
        <f t="shared" si="5"/>
        <v>Desempenho Bom</v>
      </c>
      <c r="U34" s="6">
        <f t="shared" si="13"/>
        <v>0.74232771533595698</v>
      </c>
      <c r="V34" s="6">
        <f t="shared" si="13"/>
        <v>1.1540802341555996</v>
      </c>
      <c r="W34" s="6">
        <f t="shared" si="13"/>
        <v>0.33057519651631434</v>
      </c>
      <c r="X34" s="6">
        <f t="shared" si="13"/>
        <v>0.33057519651631434</v>
      </c>
      <c r="Y34" s="6">
        <f t="shared" si="13"/>
        <v>0.41175251881964264</v>
      </c>
    </row>
    <row r="35" spans="1:25" x14ac:dyDescent="0.25">
      <c r="A35" s="7" t="s">
        <v>56</v>
      </c>
      <c r="B35" s="7" t="s">
        <v>167</v>
      </c>
      <c r="C35" s="74">
        <v>35</v>
      </c>
      <c r="D35" s="74">
        <v>50</v>
      </c>
      <c r="E35" s="71">
        <f t="shared" si="2"/>
        <v>1.4285714285714286</v>
      </c>
      <c r="F35" s="65" t="str">
        <f t="shared" si="3"/>
        <v>Desempenho Ótimo</v>
      </c>
      <c r="G35" s="71">
        <f t="shared" si="9"/>
        <v>0.82061442726694189</v>
      </c>
      <c r="H35" s="71">
        <f t="shared" si="9"/>
        <v>1.2607833515834532</v>
      </c>
      <c r="I35" s="71">
        <f t="shared" si="9"/>
        <v>0.38044550295043061</v>
      </c>
      <c r="J35" s="75">
        <v>28902.95</v>
      </c>
      <c r="K35" s="75">
        <v>2764</v>
      </c>
      <c r="L35" s="6">
        <f>(SUM(K26:K35))/J34</f>
        <v>0.25621606099031413</v>
      </c>
      <c r="M35" s="36" t="str">
        <f t="shared" si="4"/>
        <v>Desempenho Médio</v>
      </c>
      <c r="N35" s="6">
        <f t="shared" si="12"/>
        <v>0.58006775555216661</v>
      </c>
      <c r="O35" s="6">
        <f t="shared" si="12"/>
        <v>1.099948635873619</v>
      </c>
      <c r="P35" s="6">
        <f t="shared" si="12"/>
        <v>6.0186875230714088E-2</v>
      </c>
      <c r="Q35" s="75">
        <v>56</v>
      </c>
      <c r="R35" s="76">
        <v>54</v>
      </c>
      <c r="S35" s="6">
        <f t="shared" si="0"/>
        <v>0.9642857142857143</v>
      </c>
      <c r="T35" s="36" t="str">
        <f t="shared" si="5"/>
        <v>Desempenho Bom</v>
      </c>
      <c r="U35" s="6">
        <f t="shared" si="13"/>
        <v>0.82347447721763523</v>
      </c>
      <c r="V35" s="6">
        <f t="shared" si="13"/>
        <v>1.2398542522675045</v>
      </c>
      <c r="W35" s="6">
        <f t="shared" si="13"/>
        <v>0.40709470216776611</v>
      </c>
      <c r="X35" s="6">
        <f t="shared" si="13"/>
        <v>0.40709470216776611</v>
      </c>
      <c r="Y35" s="6">
        <f t="shared" si="13"/>
        <v>0.41637977504986912</v>
      </c>
    </row>
    <row r="36" spans="1:25" x14ac:dyDescent="0.25">
      <c r="A36" s="7" t="s">
        <v>56</v>
      </c>
      <c r="B36" s="7" t="s">
        <v>168</v>
      </c>
      <c r="C36" s="74">
        <v>35</v>
      </c>
      <c r="D36" s="74">
        <v>63</v>
      </c>
      <c r="E36" s="71">
        <f t="shared" si="2"/>
        <v>1.8</v>
      </c>
      <c r="F36" s="65" t="str">
        <f t="shared" si="3"/>
        <v>Desempenho Ótimo</v>
      </c>
      <c r="G36" s="71">
        <f t="shared" si="9"/>
        <v>0.94582556715526966</v>
      </c>
      <c r="H36" s="71">
        <f t="shared" si="9"/>
        <v>1.4311117173682604</v>
      </c>
      <c r="I36" s="71">
        <f t="shared" si="9"/>
        <v>0.46053941694227907</v>
      </c>
      <c r="J36" s="75">
        <v>28902.95</v>
      </c>
      <c r="K36" s="75">
        <v>4679</v>
      </c>
      <c r="L36" s="6">
        <f>(SUM(K26:K36))/J35</f>
        <v>0.41810265042149675</v>
      </c>
      <c r="M36" s="36" t="str">
        <f t="shared" si="4"/>
        <v>Desempenho Médio</v>
      </c>
      <c r="N36" s="6">
        <f t="shared" si="12"/>
        <v>0.72282137340514951</v>
      </c>
      <c r="O36" s="6">
        <f t="shared" si="12"/>
        <v>1.2463651595014014</v>
      </c>
      <c r="P36" s="6">
        <f t="shared" si="12"/>
        <v>0.19927758730889755</v>
      </c>
      <c r="Q36" s="75">
        <v>56</v>
      </c>
      <c r="R36" s="76">
        <v>75</v>
      </c>
      <c r="S36" s="6">
        <f t="shared" si="0"/>
        <v>1.3392857142857142</v>
      </c>
      <c r="T36" s="36" t="str">
        <f t="shared" si="5"/>
        <v>Desempenho Bom</v>
      </c>
      <c r="U36" s="6">
        <f t="shared" si="13"/>
        <v>0.91825333306001944</v>
      </c>
      <c r="V36" s="6">
        <f t="shared" si="13"/>
        <v>1.402047931898428</v>
      </c>
      <c r="W36" s="6">
        <f t="shared" si="13"/>
        <v>0.43445873422161085</v>
      </c>
      <c r="X36" s="6">
        <f t="shared" si="13"/>
        <v>0.43445873422161085</v>
      </c>
      <c r="Y36" s="6">
        <f t="shared" si="13"/>
        <v>0.48379459883840858</v>
      </c>
    </row>
    <row r="37" spans="1:25" x14ac:dyDescent="0.25">
      <c r="A37" s="7" t="s">
        <v>56</v>
      </c>
      <c r="B37" s="7" t="s">
        <v>169</v>
      </c>
      <c r="C37" s="74">
        <v>35</v>
      </c>
      <c r="D37" s="74">
        <v>83</v>
      </c>
      <c r="E37" s="71">
        <f t="shared" si="2"/>
        <v>2.3714285714285714</v>
      </c>
      <c r="F37" s="65" t="str">
        <f t="shared" si="3"/>
        <v>Desempenho Ótimo</v>
      </c>
      <c r="G37" s="71">
        <f t="shared" si="9"/>
        <v>1.0016849877757958</v>
      </c>
      <c r="H37" s="71">
        <f t="shared" si="9"/>
        <v>1.521489991464148</v>
      </c>
      <c r="I37" s="71">
        <f t="shared" si="9"/>
        <v>0.48187998408744359</v>
      </c>
      <c r="J37" s="75">
        <v>28902.95</v>
      </c>
      <c r="K37" s="75">
        <v>17274.490000000002</v>
      </c>
      <c r="L37" s="6">
        <f>(SUM(K26:K37))/J36</f>
        <v>1.015774860351625</v>
      </c>
      <c r="M37" s="36" t="str">
        <f t="shared" si="4"/>
        <v>Desempenho Bom</v>
      </c>
      <c r="N37" s="6">
        <f>N25</f>
        <v>0.82421983567812696</v>
      </c>
      <c r="O37" s="6">
        <f t="shared" si="12"/>
        <v>1.3730394926064369</v>
      </c>
      <c r="P37" s="6">
        <f t="shared" si="12"/>
        <v>0.27540017874981693</v>
      </c>
      <c r="Q37" s="75">
        <v>56</v>
      </c>
      <c r="R37" s="76">
        <v>75</v>
      </c>
      <c r="S37" s="6">
        <f t="shared" si="0"/>
        <v>1.3392857142857142</v>
      </c>
      <c r="T37" s="36" t="str">
        <f t="shared" si="5"/>
        <v>Desempenho Bom</v>
      </c>
      <c r="U37" s="6">
        <f t="shared" si="13"/>
        <v>0.91825333306001944</v>
      </c>
      <c r="V37" s="6">
        <f t="shared" si="13"/>
        <v>1.402047931898428</v>
      </c>
      <c r="W37" s="6">
        <f t="shared" si="13"/>
        <v>0.43445873422161085</v>
      </c>
      <c r="X37" s="6">
        <f t="shared" si="13"/>
        <v>0.43445873422161085</v>
      </c>
      <c r="Y37" s="6">
        <f t="shared" si="13"/>
        <v>0.48379459883840858</v>
      </c>
    </row>
    <row r="38" spans="1:25" x14ac:dyDescent="0.25">
      <c r="A38" s="7" t="s">
        <v>149</v>
      </c>
      <c r="B38" s="7" t="s">
        <v>158</v>
      </c>
      <c r="C38" s="74">
        <v>75</v>
      </c>
      <c r="D38" s="74">
        <v>0</v>
      </c>
      <c r="E38" s="71">
        <f t="shared" si="2"/>
        <v>0</v>
      </c>
      <c r="F38" s="65" t="str">
        <f t="shared" si="3"/>
        <v>Desempenho Médio</v>
      </c>
      <c r="G38" s="71">
        <f t="shared" si="9"/>
        <v>0.11573204891712785</v>
      </c>
      <c r="H38" s="71">
        <f t="shared" si="9"/>
        <v>0.30218524997148988</v>
      </c>
      <c r="I38" s="71">
        <f t="shared" si="9"/>
        <v>-7.0721152137234206E-2</v>
      </c>
      <c r="J38" s="75">
        <v>125000</v>
      </c>
      <c r="K38" s="75">
        <v>0</v>
      </c>
      <c r="L38" s="6">
        <f>K38/J38</f>
        <v>0</v>
      </c>
      <c r="M38" s="36" t="str">
        <f t="shared" si="4"/>
        <v>Desempenho Médio</v>
      </c>
      <c r="N38" s="6">
        <f t="shared" ref="N38:P53" si="14">N26</f>
        <v>0.11129468122233216</v>
      </c>
      <c r="O38" s="6">
        <f t="shared" si="14"/>
        <v>0.54990456699293522</v>
      </c>
      <c r="P38" s="6">
        <f t="shared" si="14"/>
        <v>-0.32731520454827095</v>
      </c>
      <c r="Q38" s="75">
        <v>80</v>
      </c>
      <c r="R38" s="76">
        <v>21</v>
      </c>
      <c r="S38" s="6">
        <f t="shared" si="0"/>
        <v>0.26250000000000001</v>
      </c>
      <c r="T38" s="36" t="str">
        <f t="shared" si="5"/>
        <v>Desempenho Ótimo</v>
      </c>
      <c r="U38" s="6">
        <f t="shared" si="13"/>
        <v>6.5053670194766225E-2</v>
      </c>
      <c r="V38" s="6">
        <f t="shared" si="13"/>
        <v>0.16010348962314203</v>
      </c>
      <c r="W38" s="6">
        <f t="shared" si="13"/>
        <v>-2.9996149233609562E-2</v>
      </c>
      <c r="X38" s="6">
        <f t="shared" si="13"/>
        <v>1.7528760480578331E-2</v>
      </c>
      <c r="Y38" s="6">
        <f t="shared" si="13"/>
        <v>9.5049819428375787E-2</v>
      </c>
    </row>
    <row r="39" spans="1:25" x14ac:dyDescent="0.25">
      <c r="A39" s="7" t="s">
        <v>149</v>
      </c>
      <c r="B39" s="7" t="s">
        <v>159</v>
      </c>
      <c r="C39" s="74">
        <v>75</v>
      </c>
      <c r="D39" s="74">
        <v>13</v>
      </c>
      <c r="E39" s="71">
        <f t="shared" si="2"/>
        <v>0.17333333333333334</v>
      </c>
      <c r="F39" s="65" t="str">
        <f t="shared" si="3"/>
        <v>Desempenho Médio</v>
      </c>
      <c r="G39" s="71">
        <f t="shared" si="9"/>
        <v>0.22598075676513599</v>
      </c>
      <c r="H39" s="71">
        <f t="shared" si="9"/>
        <v>0.51894873552035481</v>
      </c>
      <c r="I39" s="71">
        <f t="shared" si="9"/>
        <v>-6.6987221990082807E-2</v>
      </c>
      <c r="J39" s="75">
        <v>125000</v>
      </c>
      <c r="K39" s="75">
        <v>1700</v>
      </c>
      <c r="L39" s="6">
        <f>(SUM(K38:K39))/J38</f>
        <v>1.3599999999999999E-2</v>
      </c>
      <c r="M39" s="36" t="str">
        <f t="shared" si="4"/>
        <v>Desempenho Médio</v>
      </c>
      <c r="N39" s="6">
        <f t="shared" si="14"/>
        <v>0.14992070801509372</v>
      </c>
      <c r="O39" s="6">
        <f t="shared" si="14"/>
        <v>0.58968599072326611</v>
      </c>
      <c r="P39" s="6">
        <f t="shared" si="14"/>
        <v>-0.28984457469307867</v>
      </c>
      <c r="Q39" s="75">
        <v>80</v>
      </c>
      <c r="R39" s="76">
        <v>21</v>
      </c>
      <c r="S39" s="6">
        <f t="shared" si="0"/>
        <v>0.26250000000000001</v>
      </c>
      <c r="T39" s="36" t="str">
        <f t="shared" si="5"/>
        <v>Desempenho Ótimo</v>
      </c>
      <c r="U39" s="6">
        <f t="shared" si="13"/>
        <v>6.5053670194766225E-2</v>
      </c>
      <c r="V39" s="6">
        <f t="shared" si="13"/>
        <v>0.16010348962314203</v>
      </c>
      <c r="W39" s="6">
        <f t="shared" si="13"/>
        <v>-2.9996149233609562E-2</v>
      </c>
      <c r="X39" s="6">
        <f t="shared" si="13"/>
        <v>1.7528760480578331E-2</v>
      </c>
      <c r="Y39" s="6">
        <f t="shared" si="13"/>
        <v>9.5049819428375787E-2</v>
      </c>
    </row>
    <row r="40" spans="1:25" x14ac:dyDescent="0.25">
      <c r="A40" s="7" t="s">
        <v>149</v>
      </c>
      <c r="B40" s="7" t="s">
        <v>160</v>
      </c>
      <c r="C40" s="74">
        <v>75</v>
      </c>
      <c r="D40" s="74">
        <v>25</v>
      </c>
      <c r="E40" s="71">
        <f t="shared" si="2"/>
        <v>0.33333333333333331</v>
      </c>
      <c r="F40" s="65" t="str">
        <f t="shared" si="3"/>
        <v>Desempenho Bom</v>
      </c>
      <c r="G40" s="71">
        <f t="shared" si="9"/>
        <v>0.2827891266215985</v>
      </c>
      <c r="H40" s="71">
        <f t="shared" si="9"/>
        <v>0.59134445337262298</v>
      </c>
      <c r="I40" s="71">
        <f t="shared" si="9"/>
        <v>-2.5766200129425987E-2</v>
      </c>
      <c r="J40" s="75">
        <v>125000</v>
      </c>
      <c r="K40" s="75">
        <v>4846</v>
      </c>
      <c r="L40" s="6">
        <f>(SUM(K38:K40))/J39</f>
        <v>5.2367999999999998E-2</v>
      </c>
      <c r="M40" s="36" t="str">
        <f t="shared" si="4"/>
        <v>Desempenho Médio</v>
      </c>
      <c r="N40" s="6">
        <f t="shared" si="14"/>
        <v>0.17723994755342617</v>
      </c>
      <c r="O40" s="6">
        <f t="shared" si="14"/>
        <v>0.61473682715667155</v>
      </c>
      <c r="P40" s="6">
        <f t="shared" si="14"/>
        <v>-0.26025693204981915</v>
      </c>
      <c r="Q40" s="75">
        <v>80</v>
      </c>
      <c r="R40" s="76">
        <v>42</v>
      </c>
      <c r="S40" s="6">
        <f t="shared" si="0"/>
        <v>0.52500000000000002</v>
      </c>
      <c r="T40" s="36" t="str">
        <f t="shared" si="5"/>
        <v>Desempenho Ótimo</v>
      </c>
      <c r="U40" s="6">
        <f t="shared" si="13"/>
        <v>0.18401218302179842</v>
      </c>
      <c r="V40" s="6">
        <f t="shared" si="13"/>
        <v>0.37883088095577799</v>
      </c>
      <c r="W40" s="6">
        <f t="shared" si="13"/>
        <v>-1.0806514912181153E-2</v>
      </c>
      <c r="X40" s="6">
        <f t="shared" si="13"/>
        <v>8.6602834054808633E-2</v>
      </c>
      <c r="Y40" s="6">
        <f t="shared" si="13"/>
        <v>0.19481869793397957</v>
      </c>
    </row>
    <row r="41" spans="1:25" x14ac:dyDescent="0.25">
      <c r="A41" s="7" t="s">
        <v>149</v>
      </c>
      <c r="B41" s="7" t="s">
        <v>161</v>
      </c>
      <c r="C41" s="74">
        <v>75</v>
      </c>
      <c r="D41" s="74">
        <v>28</v>
      </c>
      <c r="E41" s="71">
        <f t="shared" si="2"/>
        <v>0.37333333333333335</v>
      </c>
      <c r="F41" s="65" t="str">
        <f t="shared" si="3"/>
        <v>Desempenho Bom</v>
      </c>
      <c r="G41" s="71">
        <f t="shared" si="9"/>
        <v>0.36222496935690102</v>
      </c>
      <c r="H41" s="71">
        <f t="shared" si="9"/>
        <v>0.67917151968337719</v>
      </c>
      <c r="I41" s="71">
        <f t="shared" si="9"/>
        <v>4.5278419030424844E-2</v>
      </c>
      <c r="J41" s="75">
        <v>125000</v>
      </c>
      <c r="K41" s="75">
        <v>900</v>
      </c>
      <c r="L41" s="6">
        <f>(SUM(K38:K41))/J40</f>
        <v>5.9568000000000003E-2</v>
      </c>
      <c r="M41" s="36" t="str">
        <f t="shared" si="4"/>
        <v>Desempenho Médio</v>
      </c>
      <c r="N41" s="6">
        <f t="shared" si="14"/>
        <v>0.2271654986777647</v>
      </c>
      <c r="O41" s="6">
        <f t="shared" si="14"/>
        <v>0.71582389712396544</v>
      </c>
      <c r="P41" s="6">
        <f t="shared" si="14"/>
        <v>-0.26149289976843598</v>
      </c>
      <c r="Q41" s="75">
        <v>80</v>
      </c>
      <c r="R41" s="76">
        <v>42</v>
      </c>
      <c r="S41" s="6">
        <f t="shared" si="0"/>
        <v>0.52500000000000002</v>
      </c>
      <c r="T41" s="36" t="str">
        <f t="shared" si="5"/>
        <v>Desempenho Ótimo</v>
      </c>
      <c r="U41" s="6">
        <f t="shared" si="13"/>
        <v>0.18401218302179842</v>
      </c>
      <c r="V41" s="6">
        <f t="shared" si="13"/>
        <v>0.37883088095577799</v>
      </c>
      <c r="W41" s="6">
        <f t="shared" si="13"/>
        <v>-1.0806514912181153E-2</v>
      </c>
      <c r="X41" s="6">
        <f t="shared" si="13"/>
        <v>8.6602834054808633E-2</v>
      </c>
      <c r="Y41" s="6">
        <f t="shared" si="13"/>
        <v>0.19481869793397957</v>
      </c>
    </row>
    <row r="42" spans="1:25" x14ac:dyDescent="0.25">
      <c r="A42" s="7" t="s">
        <v>149</v>
      </c>
      <c r="B42" s="7" t="s">
        <v>162</v>
      </c>
      <c r="C42" s="74">
        <v>75</v>
      </c>
      <c r="D42" s="74">
        <v>46</v>
      </c>
      <c r="E42" s="71">
        <f t="shared" si="2"/>
        <v>0.61333333333333329</v>
      </c>
      <c r="F42" s="65" t="str">
        <f t="shared" si="3"/>
        <v>Desempenho Bom</v>
      </c>
      <c r="G42" s="71">
        <f t="shared" si="9"/>
        <v>0.44825178806664662</v>
      </c>
      <c r="H42" s="71">
        <f t="shared" si="9"/>
        <v>0.78548221403733831</v>
      </c>
      <c r="I42" s="71">
        <f t="shared" si="9"/>
        <v>0.11102136209595498</v>
      </c>
      <c r="J42" s="75">
        <v>125000</v>
      </c>
      <c r="K42" s="75">
        <v>7610</v>
      </c>
      <c r="L42" s="6">
        <f>(SUM(K38:K42))/J41</f>
        <v>0.120448</v>
      </c>
      <c r="M42" s="36" t="str">
        <f t="shared" si="4"/>
        <v>Desempenho Médio</v>
      </c>
      <c r="N42" s="6">
        <f t="shared" si="14"/>
        <v>0.27284258705105507</v>
      </c>
      <c r="O42" s="6">
        <f t="shared" si="14"/>
        <v>0.75981161093062477</v>
      </c>
      <c r="P42" s="6">
        <f t="shared" si="14"/>
        <v>-0.21412643682851468</v>
      </c>
      <c r="Q42" s="75">
        <v>80</v>
      </c>
      <c r="R42" s="76">
        <v>42</v>
      </c>
      <c r="S42" s="6">
        <f t="shared" si="0"/>
        <v>0.52500000000000002</v>
      </c>
      <c r="T42" s="36" t="str">
        <f t="shared" si="5"/>
        <v>Desempenho Ótimo</v>
      </c>
      <c r="U42" s="6">
        <f t="shared" si="13"/>
        <v>0.23278475191631845</v>
      </c>
      <c r="V42" s="6">
        <f t="shared" si="13"/>
        <v>0.51017789992422413</v>
      </c>
      <c r="W42" s="6">
        <f t="shared" si="13"/>
        <v>-4.460839609158726E-2</v>
      </c>
      <c r="X42" s="6">
        <f t="shared" si="13"/>
        <v>9.4088177912365595E-2</v>
      </c>
      <c r="Y42" s="6">
        <f t="shared" si="13"/>
        <v>0.27739314800790571</v>
      </c>
    </row>
    <row r="43" spans="1:25" x14ac:dyDescent="0.25">
      <c r="A43" s="7" t="s">
        <v>149</v>
      </c>
      <c r="B43" s="7" t="s">
        <v>163</v>
      </c>
      <c r="C43" s="74">
        <v>75</v>
      </c>
      <c r="D43" s="74">
        <v>46</v>
      </c>
      <c r="E43" s="71">
        <f t="shared" si="2"/>
        <v>0.61333333333333329</v>
      </c>
      <c r="F43" s="65" t="str">
        <f t="shared" si="3"/>
        <v>Desempenho Bom</v>
      </c>
      <c r="G43" s="71">
        <f t="shared" si="9"/>
        <v>0.54231176602906361</v>
      </c>
      <c r="H43" s="71">
        <f t="shared" si="9"/>
        <v>0.92735502699565786</v>
      </c>
      <c r="I43" s="71">
        <f t="shared" si="9"/>
        <v>0.15726850506246942</v>
      </c>
      <c r="J43" s="75">
        <v>125000</v>
      </c>
      <c r="K43" s="75">
        <v>0</v>
      </c>
      <c r="L43" s="6">
        <f>(SUM(K38:K43))/J42</f>
        <v>0.120448</v>
      </c>
      <c r="M43" s="36" t="str">
        <f t="shared" si="4"/>
        <v>Desempenho Médio</v>
      </c>
      <c r="N43" s="6">
        <f t="shared" si="14"/>
        <v>0.31451673641638933</v>
      </c>
      <c r="O43" s="6">
        <f t="shared" si="14"/>
        <v>0.80702132782766356</v>
      </c>
      <c r="P43" s="6">
        <f t="shared" si="14"/>
        <v>-0.1779878549948849</v>
      </c>
      <c r="Q43" s="75">
        <v>80</v>
      </c>
      <c r="R43" s="76">
        <v>67</v>
      </c>
      <c r="S43" s="6">
        <f t="shared" si="0"/>
        <v>0.83750000000000002</v>
      </c>
      <c r="T43" s="36" t="str">
        <f t="shared" si="5"/>
        <v>Desempenho Bom</v>
      </c>
      <c r="U43" s="6">
        <f t="shared" si="13"/>
        <v>0.46105014853915682</v>
      </c>
      <c r="V43" s="6">
        <f t="shared" si="13"/>
        <v>0.84756736419379908</v>
      </c>
      <c r="W43" s="6">
        <f t="shared" si="13"/>
        <v>7.4532932884514569E-2</v>
      </c>
      <c r="X43" s="6">
        <f t="shared" si="13"/>
        <v>7.4532932884514569E-2</v>
      </c>
      <c r="Y43" s="6">
        <f t="shared" si="13"/>
        <v>0.38651721565464225</v>
      </c>
    </row>
    <row r="44" spans="1:25" x14ac:dyDescent="0.25">
      <c r="A44" s="7" t="s">
        <v>149</v>
      </c>
      <c r="B44" s="7" t="s">
        <v>164</v>
      </c>
      <c r="C44" s="74">
        <v>75</v>
      </c>
      <c r="D44" s="74">
        <v>63</v>
      </c>
      <c r="E44" s="71">
        <f t="shared" si="2"/>
        <v>0.84</v>
      </c>
      <c r="F44" s="65" t="str">
        <f t="shared" si="3"/>
        <v>Desempenho Bom</v>
      </c>
      <c r="G44" s="71">
        <f t="shared" si="9"/>
        <v>0.63634637719050002</v>
      </c>
      <c r="H44" s="71">
        <f t="shared" si="9"/>
        <v>1.0512878703900039</v>
      </c>
      <c r="I44" s="71">
        <f t="shared" si="9"/>
        <v>0.22140488399099606</v>
      </c>
      <c r="J44" s="75">
        <v>125000</v>
      </c>
      <c r="K44" s="75">
        <v>5750</v>
      </c>
      <c r="L44" s="6">
        <f>(SUM(K38:K44))/J43</f>
        <v>0.16644800000000001</v>
      </c>
      <c r="M44" s="36" t="str">
        <f t="shared" si="4"/>
        <v>Desempenho Médio</v>
      </c>
      <c r="N44" s="6">
        <f t="shared" si="14"/>
        <v>0.38334713342809434</v>
      </c>
      <c r="O44" s="6">
        <f t="shared" si="14"/>
        <v>0.88375935483946089</v>
      </c>
      <c r="P44" s="6">
        <f t="shared" si="14"/>
        <v>-0.1170650879832722</v>
      </c>
      <c r="Q44" s="75">
        <v>80</v>
      </c>
      <c r="R44" s="76">
        <v>67</v>
      </c>
      <c r="S44" s="6">
        <f t="shared" si="0"/>
        <v>0.83750000000000002</v>
      </c>
      <c r="T44" s="36" t="str">
        <f t="shared" si="5"/>
        <v>Desempenho Bom</v>
      </c>
      <c r="U44" s="6">
        <f t="shared" si="13"/>
        <v>0.46105014853915682</v>
      </c>
      <c r="V44" s="6">
        <f t="shared" si="13"/>
        <v>0.84756736419379908</v>
      </c>
      <c r="W44" s="6">
        <f t="shared" si="13"/>
        <v>7.4532932884514569E-2</v>
      </c>
      <c r="X44" s="6">
        <f t="shared" si="13"/>
        <v>7.4532932884514569E-2</v>
      </c>
      <c r="Y44" s="6">
        <f t="shared" si="13"/>
        <v>0.38651721565464225</v>
      </c>
    </row>
    <row r="45" spans="1:25" x14ac:dyDescent="0.25">
      <c r="A45" s="7" t="s">
        <v>149</v>
      </c>
      <c r="B45" s="7" t="s">
        <v>165</v>
      </c>
      <c r="C45" s="74">
        <v>75</v>
      </c>
      <c r="D45" s="74">
        <v>71</v>
      </c>
      <c r="E45" s="71">
        <f t="shared" si="2"/>
        <v>0.94666666666666666</v>
      </c>
      <c r="F45" s="65" t="str">
        <f t="shared" si="3"/>
        <v>Desempenho Bom</v>
      </c>
      <c r="G45" s="71">
        <f t="shared" si="9"/>
        <v>0.70660866675940681</v>
      </c>
      <c r="H45" s="71">
        <f t="shared" si="9"/>
        <v>1.1341225514190425</v>
      </c>
      <c r="I45" s="71">
        <f t="shared" si="9"/>
        <v>0.27909478209977112</v>
      </c>
      <c r="J45" s="75">
        <v>125000</v>
      </c>
      <c r="K45" s="75">
        <v>9190</v>
      </c>
      <c r="L45" s="6">
        <f>(SUM(K38:K45))/J44</f>
        <v>0.23996799999999999</v>
      </c>
      <c r="M45" s="36" t="str">
        <f t="shared" si="4"/>
        <v>Desempenho Médio</v>
      </c>
      <c r="N45" s="6">
        <f t="shared" si="14"/>
        <v>0.45719521320533213</v>
      </c>
      <c r="O45" s="6">
        <f t="shared" si="14"/>
        <v>0.97356755068321044</v>
      </c>
      <c r="P45" s="6">
        <f t="shared" si="14"/>
        <v>-5.9177124272546122E-2</v>
      </c>
      <c r="Q45" s="75">
        <v>80</v>
      </c>
      <c r="R45" s="76">
        <v>67</v>
      </c>
      <c r="S45" s="6">
        <f t="shared" si="0"/>
        <v>0.83750000000000002</v>
      </c>
      <c r="T45" s="36" t="str">
        <f t="shared" si="5"/>
        <v>Desempenho Bom</v>
      </c>
      <c r="U45" s="6">
        <f t="shared" si="13"/>
        <v>0.46105014853915682</v>
      </c>
      <c r="V45" s="6">
        <f t="shared" si="13"/>
        <v>0.84756736419379908</v>
      </c>
      <c r="W45" s="6">
        <f t="shared" si="13"/>
        <v>7.4532932884514569E-2</v>
      </c>
      <c r="X45" s="6">
        <f t="shared" si="13"/>
        <v>7.4532932884514569E-2</v>
      </c>
      <c r="Y45" s="6">
        <f t="shared" si="13"/>
        <v>0.38651721565464225</v>
      </c>
    </row>
    <row r="46" spans="1:25" x14ac:dyDescent="0.25">
      <c r="A46" s="7" t="s">
        <v>149</v>
      </c>
      <c r="B46" s="7" t="s">
        <v>166</v>
      </c>
      <c r="C46" s="74">
        <v>75</v>
      </c>
      <c r="D46" s="74">
        <v>79</v>
      </c>
      <c r="E46" s="71">
        <f t="shared" si="2"/>
        <v>1.0533333333333332</v>
      </c>
      <c r="F46" s="65" t="str">
        <f t="shared" si="3"/>
        <v>Desempenho Bom</v>
      </c>
      <c r="G46" s="71">
        <f t="shared" si="9"/>
        <v>0.73663014244586189</v>
      </c>
      <c r="H46" s="71">
        <f t="shared" si="9"/>
        <v>1.1737360935948695</v>
      </c>
      <c r="I46" s="71">
        <f t="shared" si="9"/>
        <v>0.29952419129685426</v>
      </c>
      <c r="J46" s="75">
        <v>125000</v>
      </c>
      <c r="K46" s="75">
        <v>15310</v>
      </c>
      <c r="L46" s="6">
        <f>(SUM(K38:K46))/J45</f>
        <v>0.36244799999999999</v>
      </c>
      <c r="M46" s="36" t="str">
        <f t="shared" si="4"/>
        <v>Desempenho Médio</v>
      </c>
      <c r="N46" s="6">
        <f t="shared" si="14"/>
        <v>0.50336729135060976</v>
      </c>
      <c r="O46" s="6">
        <f t="shared" si="14"/>
        <v>1.0150591886201059</v>
      </c>
      <c r="P46" s="6">
        <f t="shared" si="14"/>
        <v>-8.3246059188863963E-3</v>
      </c>
      <c r="Q46" s="75">
        <v>80</v>
      </c>
      <c r="R46" s="76">
        <v>71</v>
      </c>
      <c r="S46" s="6">
        <f t="shared" si="0"/>
        <v>0.88749999999999996</v>
      </c>
      <c r="T46" s="36" t="str">
        <f t="shared" si="5"/>
        <v>Desempenho Bom</v>
      </c>
      <c r="U46" s="6">
        <f t="shared" si="13"/>
        <v>0.74232771533595698</v>
      </c>
      <c r="V46" s="6">
        <f t="shared" si="13"/>
        <v>1.1540802341555996</v>
      </c>
      <c r="W46" s="6">
        <f t="shared" si="13"/>
        <v>0.33057519651631434</v>
      </c>
      <c r="X46" s="6">
        <f t="shared" si="13"/>
        <v>0.33057519651631434</v>
      </c>
      <c r="Y46" s="6">
        <f t="shared" si="13"/>
        <v>0.41175251881964264</v>
      </c>
    </row>
    <row r="47" spans="1:25" x14ac:dyDescent="0.25">
      <c r="A47" s="7" t="s">
        <v>149</v>
      </c>
      <c r="B47" s="7" t="s">
        <v>167</v>
      </c>
      <c r="C47" s="74">
        <v>75</v>
      </c>
      <c r="D47" s="74">
        <v>92</v>
      </c>
      <c r="E47" s="71">
        <f t="shared" si="2"/>
        <v>1.2266666666666666</v>
      </c>
      <c r="F47" s="65" t="str">
        <f t="shared" si="3"/>
        <v>Desempenho Bom</v>
      </c>
      <c r="G47" s="71">
        <f t="shared" si="9"/>
        <v>0.82061442726694189</v>
      </c>
      <c r="H47" s="71">
        <f t="shared" si="9"/>
        <v>1.2607833515834532</v>
      </c>
      <c r="I47" s="71">
        <f t="shared" si="9"/>
        <v>0.38044550295043061</v>
      </c>
      <c r="J47" s="75">
        <v>125000</v>
      </c>
      <c r="K47" s="75">
        <v>9790</v>
      </c>
      <c r="L47" s="6">
        <f>(SUM(K38:K47))/J46</f>
        <v>0.44076799999999999</v>
      </c>
      <c r="M47" s="36" t="str">
        <f t="shared" si="4"/>
        <v>Desempenho Médio</v>
      </c>
      <c r="N47" s="6">
        <f t="shared" si="14"/>
        <v>0.58006775555216661</v>
      </c>
      <c r="O47" s="6">
        <f t="shared" si="14"/>
        <v>1.099948635873619</v>
      </c>
      <c r="P47" s="6">
        <f t="shared" si="14"/>
        <v>6.0186875230714088E-2</v>
      </c>
      <c r="Q47" s="75">
        <v>80</v>
      </c>
      <c r="R47" s="76">
        <v>71</v>
      </c>
      <c r="S47" s="6">
        <f t="shared" si="0"/>
        <v>0.88749999999999996</v>
      </c>
      <c r="T47" s="36" t="str">
        <f t="shared" si="5"/>
        <v>Desempenho Bom</v>
      </c>
      <c r="U47" s="6">
        <f t="shared" ref="U47:Y62" si="15">U35</f>
        <v>0.82347447721763523</v>
      </c>
      <c r="V47" s="6">
        <f t="shared" si="15"/>
        <v>1.2398542522675045</v>
      </c>
      <c r="W47" s="6">
        <f t="shared" si="15"/>
        <v>0.40709470216776611</v>
      </c>
      <c r="X47" s="6">
        <f t="shared" si="15"/>
        <v>0.40709470216776611</v>
      </c>
      <c r="Y47" s="6">
        <f t="shared" si="15"/>
        <v>0.41637977504986912</v>
      </c>
    </row>
    <row r="48" spans="1:25" x14ac:dyDescent="0.25">
      <c r="A48" s="7" t="s">
        <v>149</v>
      </c>
      <c r="B48" s="7" t="s">
        <v>168</v>
      </c>
      <c r="C48" s="74">
        <v>75</v>
      </c>
      <c r="D48" s="74">
        <v>96</v>
      </c>
      <c r="E48" s="71">
        <f t="shared" si="2"/>
        <v>1.28</v>
      </c>
      <c r="F48" s="65" t="str">
        <f t="shared" si="3"/>
        <v>Desempenho Bom</v>
      </c>
      <c r="G48" s="71">
        <f t="shared" si="9"/>
        <v>0.94582556715526966</v>
      </c>
      <c r="H48" s="71">
        <f t="shared" si="9"/>
        <v>1.4311117173682604</v>
      </c>
      <c r="I48" s="71">
        <f t="shared" si="9"/>
        <v>0.46053941694227907</v>
      </c>
      <c r="J48" s="75">
        <v>125000</v>
      </c>
      <c r="K48" s="75">
        <v>11800</v>
      </c>
      <c r="L48" s="6">
        <f>(SUM(K38:K48))/J47</f>
        <v>0.53516799999999998</v>
      </c>
      <c r="M48" s="36" t="str">
        <f t="shared" si="4"/>
        <v>Desempenho Médio</v>
      </c>
      <c r="N48" s="6">
        <f t="shared" si="14"/>
        <v>0.72282137340514951</v>
      </c>
      <c r="O48" s="6">
        <f t="shared" si="14"/>
        <v>1.2463651595014014</v>
      </c>
      <c r="P48" s="6">
        <f t="shared" si="14"/>
        <v>0.19927758730889755</v>
      </c>
      <c r="Q48" s="75">
        <v>80</v>
      </c>
      <c r="R48" s="76">
        <v>88</v>
      </c>
      <c r="S48" s="6">
        <f t="shared" si="0"/>
        <v>1.1000000000000001</v>
      </c>
      <c r="T48" s="36" t="str">
        <f t="shared" si="5"/>
        <v>Desempenho Bom</v>
      </c>
      <c r="U48" s="6">
        <f t="shared" si="15"/>
        <v>0.91825333306001944</v>
      </c>
      <c r="V48" s="6">
        <f t="shared" si="15"/>
        <v>1.402047931898428</v>
      </c>
      <c r="W48" s="6">
        <f t="shared" si="15"/>
        <v>0.43445873422161085</v>
      </c>
      <c r="X48" s="6">
        <f t="shared" si="15"/>
        <v>0.43445873422161085</v>
      </c>
      <c r="Y48" s="6">
        <f t="shared" si="15"/>
        <v>0.48379459883840858</v>
      </c>
    </row>
    <row r="49" spans="1:25" x14ac:dyDescent="0.25">
      <c r="A49" s="7" t="s">
        <v>149</v>
      </c>
      <c r="B49" s="7" t="s">
        <v>169</v>
      </c>
      <c r="C49" s="74">
        <v>75</v>
      </c>
      <c r="D49" s="74">
        <v>96</v>
      </c>
      <c r="E49" s="71">
        <f t="shared" si="2"/>
        <v>1.28</v>
      </c>
      <c r="F49" s="65" t="str">
        <f t="shared" si="3"/>
        <v>Desempenho Bom</v>
      </c>
      <c r="G49" s="71">
        <f t="shared" si="9"/>
        <v>1.0016849877757958</v>
      </c>
      <c r="H49" s="71">
        <f t="shared" si="9"/>
        <v>1.521489991464148</v>
      </c>
      <c r="I49" s="71">
        <f t="shared" si="9"/>
        <v>0.48187998408744359</v>
      </c>
      <c r="J49" s="75">
        <v>125000</v>
      </c>
      <c r="K49" s="75">
        <v>0</v>
      </c>
      <c r="L49" s="6">
        <f>(SUM(K38:K49))/J48</f>
        <v>0.53516799999999998</v>
      </c>
      <c r="M49" s="36" t="str">
        <f t="shared" si="4"/>
        <v>Desempenho Médio</v>
      </c>
      <c r="N49" s="6">
        <f t="shared" si="14"/>
        <v>0.82421983567812696</v>
      </c>
      <c r="O49" s="6">
        <f t="shared" si="14"/>
        <v>1.3730394926064369</v>
      </c>
      <c r="P49" s="6">
        <f t="shared" si="14"/>
        <v>0.27540017874981693</v>
      </c>
      <c r="Q49" s="75">
        <v>80</v>
      </c>
      <c r="R49" s="76">
        <v>88</v>
      </c>
      <c r="S49" s="6">
        <f t="shared" si="0"/>
        <v>1.1000000000000001</v>
      </c>
      <c r="T49" s="36" t="str">
        <f t="shared" si="5"/>
        <v>Desempenho Bom</v>
      </c>
      <c r="U49" s="6">
        <f t="shared" si="15"/>
        <v>0.91825333306001944</v>
      </c>
      <c r="V49" s="6">
        <f t="shared" si="15"/>
        <v>1.402047931898428</v>
      </c>
      <c r="W49" s="6">
        <f t="shared" si="15"/>
        <v>0.43445873422161085</v>
      </c>
      <c r="X49" s="6">
        <f t="shared" si="15"/>
        <v>0.43445873422161085</v>
      </c>
      <c r="Y49" s="6">
        <f t="shared" si="15"/>
        <v>0.48379459883840858</v>
      </c>
    </row>
    <row r="50" spans="1:25" x14ac:dyDescent="0.25">
      <c r="A50" s="7" t="s">
        <v>66</v>
      </c>
      <c r="B50" s="7" t="s">
        <v>158</v>
      </c>
      <c r="C50" s="74">
        <v>0</v>
      </c>
      <c r="D50" s="74">
        <v>0</v>
      </c>
      <c r="E50" s="71" t="e">
        <f t="shared" si="2"/>
        <v>#DIV/0!</v>
      </c>
      <c r="F50" s="65" t="e">
        <f t="shared" si="3"/>
        <v>#DIV/0!</v>
      </c>
      <c r="G50" s="71">
        <f t="shared" si="9"/>
        <v>0.11573204891712785</v>
      </c>
      <c r="H50" s="71">
        <f t="shared" si="9"/>
        <v>0.30218524997148988</v>
      </c>
      <c r="I50" s="71">
        <f t="shared" si="9"/>
        <v>-7.0721152137234206E-2</v>
      </c>
      <c r="J50" s="75">
        <v>0</v>
      </c>
      <c r="K50" s="75">
        <v>0</v>
      </c>
      <c r="L50" s="6" t="e">
        <f>K50/J50</f>
        <v>#DIV/0!</v>
      </c>
      <c r="M50" s="36" t="e">
        <f t="shared" si="4"/>
        <v>#DIV/0!</v>
      </c>
      <c r="N50" s="6">
        <f t="shared" si="14"/>
        <v>0.11129468122233216</v>
      </c>
      <c r="O50" s="6">
        <f t="shared" si="14"/>
        <v>0.54990456699293522</v>
      </c>
      <c r="P50" s="6">
        <f t="shared" si="14"/>
        <v>-0.32731520454827095</v>
      </c>
      <c r="Q50" s="75">
        <v>0</v>
      </c>
      <c r="R50" s="76">
        <v>0</v>
      </c>
      <c r="S50" s="6" t="e">
        <f t="shared" si="0"/>
        <v>#DIV/0!</v>
      </c>
      <c r="T50" s="36" t="e">
        <f t="shared" si="5"/>
        <v>#DIV/0!</v>
      </c>
      <c r="U50" s="6">
        <f t="shared" si="15"/>
        <v>6.5053670194766225E-2</v>
      </c>
      <c r="V50" s="6">
        <f t="shared" si="15"/>
        <v>0.16010348962314203</v>
      </c>
      <c r="W50" s="6">
        <f t="shared" si="15"/>
        <v>-2.9996149233609562E-2</v>
      </c>
      <c r="X50" s="6">
        <f t="shared" si="15"/>
        <v>1.7528760480578331E-2</v>
      </c>
      <c r="Y50" s="6">
        <f t="shared" si="15"/>
        <v>9.5049819428375787E-2</v>
      </c>
    </row>
    <row r="51" spans="1:25" x14ac:dyDescent="0.25">
      <c r="A51" s="7" t="s">
        <v>66</v>
      </c>
      <c r="B51" s="7" t="s">
        <v>159</v>
      </c>
      <c r="C51" s="74">
        <v>0</v>
      </c>
      <c r="D51" s="74">
        <v>0</v>
      </c>
      <c r="E51" s="71" t="e">
        <f t="shared" si="2"/>
        <v>#DIV/0!</v>
      </c>
      <c r="F51" s="65" t="e">
        <f t="shared" si="3"/>
        <v>#DIV/0!</v>
      </c>
      <c r="G51" s="71">
        <f t="shared" si="9"/>
        <v>0.22598075676513599</v>
      </c>
      <c r="H51" s="71">
        <f t="shared" si="9"/>
        <v>0.51894873552035481</v>
      </c>
      <c r="I51" s="71">
        <f t="shared" si="9"/>
        <v>-6.6987221990082807E-2</v>
      </c>
      <c r="J51" s="75">
        <v>0</v>
      </c>
      <c r="K51" s="75">
        <v>0</v>
      </c>
      <c r="L51" s="6" t="e">
        <f>(SUM(K50:K51))/J50</f>
        <v>#DIV/0!</v>
      </c>
      <c r="M51" s="36" t="e">
        <f t="shared" si="4"/>
        <v>#DIV/0!</v>
      </c>
      <c r="N51" s="6">
        <f t="shared" si="14"/>
        <v>0.14992070801509372</v>
      </c>
      <c r="O51" s="6">
        <f t="shared" si="14"/>
        <v>0.58968599072326611</v>
      </c>
      <c r="P51" s="6">
        <f t="shared" si="14"/>
        <v>-0.28984457469307867</v>
      </c>
      <c r="Q51" s="75">
        <v>0</v>
      </c>
      <c r="R51" s="76">
        <v>0</v>
      </c>
      <c r="S51" s="6" t="e">
        <f t="shared" si="0"/>
        <v>#DIV/0!</v>
      </c>
      <c r="T51" s="36" t="e">
        <f t="shared" si="5"/>
        <v>#DIV/0!</v>
      </c>
      <c r="U51" s="6">
        <f t="shared" si="15"/>
        <v>6.5053670194766225E-2</v>
      </c>
      <c r="V51" s="6">
        <f t="shared" si="15"/>
        <v>0.16010348962314203</v>
      </c>
      <c r="W51" s="6">
        <f t="shared" si="15"/>
        <v>-2.9996149233609562E-2</v>
      </c>
      <c r="X51" s="6">
        <f t="shared" si="15"/>
        <v>1.7528760480578331E-2</v>
      </c>
      <c r="Y51" s="6">
        <f t="shared" si="15"/>
        <v>9.5049819428375787E-2</v>
      </c>
    </row>
    <row r="52" spans="1:25" x14ac:dyDescent="0.25">
      <c r="A52" s="7" t="s">
        <v>66</v>
      </c>
      <c r="B52" s="7" t="s">
        <v>160</v>
      </c>
      <c r="C52" s="74">
        <v>0</v>
      </c>
      <c r="D52" s="74">
        <v>0</v>
      </c>
      <c r="E52" s="71" t="e">
        <f t="shared" si="2"/>
        <v>#DIV/0!</v>
      </c>
      <c r="F52" s="65" t="e">
        <f t="shared" si="3"/>
        <v>#DIV/0!</v>
      </c>
      <c r="G52" s="71">
        <f t="shared" si="9"/>
        <v>0.2827891266215985</v>
      </c>
      <c r="H52" s="71">
        <f t="shared" si="9"/>
        <v>0.59134445337262298</v>
      </c>
      <c r="I52" s="71">
        <f t="shared" si="9"/>
        <v>-2.5766200129425987E-2</v>
      </c>
      <c r="J52" s="75">
        <v>0</v>
      </c>
      <c r="K52" s="75">
        <v>0</v>
      </c>
      <c r="L52" s="6" t="e">
        <f>(SUM(K50:K52))/J51</f>
        <v>#DIV/0!</v>
      </c>
      <c r="M52" s="36" t="e">
        <f t="shared" si="4"/>
        <v>#DIV/0!</v>
      </c>
      <c r="N52" s="6">
        <f t="shared" si="14"/>
        <v>0.17723994755342617</v>
      </c>
      <c r="O52" s="6">
        <f t="shared" si="14"/>
        <v>0.61473682715667155</v>
      </c>
      <c r="P52" s="6">
        <f t="shared" si="14"/>
        <v>-0.26025693204981915</v>
      </c>
      <c r="Q52" s="75">
        <v>0</v>
      </c>
      <c r="R52" s="76">
        <v>0</v>
      </c>
      <c r="S52" s="6" t="e">
        <f t="shared" si="0"/>
        <v>#DIV/0!</v>
      </c>
      <c r="T52" s="36" t="e">
        <f t="shared" si="5"/>
        <v>#DIV/0!</v>
      </c>
      <c r="U52" s="6">
        <f t="shared" si="15"/>
        <v>0.18401218302179842</v>
      </c>
      <c r="V52" s="6">
        <f t="shared" si="15"/>
        <v>0.37883088095577799</v>
      </c>
      <c r="W52" s="6">
        <f t="shared" si="15"/>
        <v>-1.0806514912181153E-2</v>
      </c>
      <c r="X52" s="6">
        <f t="shared" si="15"/>
        <v>8.6602834054808633E-2</v>
      </c>
      <c r="Y52" s="6">
        <f t="shared" si="15"/>
        <v>0.19481869793397957</v>
      </c>
    </row>
    <row r="53" spans="1:25" x14ac:dyDescent="0.25">
      <c r="A53" s="7" t="s">
        <v>66</v>
      </c>
      <c r="B53" s="7" t="s">
        <v>161</v>
      </c>
      <c r="C53" s="74">
        <v>0</v>
      </c>
      <c r="D53" s="74">
        <v>0</v>
      </c>
      <c r="E53" s="71" t="e">
        <f t="shared" si="2"/>
        <v>#DIV/0!</v>
      </c>
      <c r="F53" s="65" t="e">
        <f t="shared" si="3"/>
        <v>#DIV/0!</v>
      </c>
      <c r="G53" s="71">
        <f t="shared" si="9"/>
        <v>0.36222496935690102</v>
      </c>
      <c r="H53" s="71">
        <f t="shared" si="9"/>
        <v>0.67917151968337719</v>
      </c>
      <c r="I53" s="71">
        <f t="shared" si="9"/>
        <v>4.5278419030424844E-2</v>
      </c>
      <c r="J53" s="75">
        <v>0</v>
      </c>
      <c r="K53" s="75">
        <v>0</v>
      </c>
      <c r="L53" s="6" t="e">
        <f>(SUM(K50:K53))/J52</f>
        <v>#DIV/0!</v>
      </c>
      <c r="M53" s="36" t="e">
        <f t="shared" si="4"/>
        <v>#DIV/0!</v>
      </c>
      <c r="N53" s="6">
        <f t="shared" si="14"/>
        <v>0.2271654986777647</v>
      </c>
      <c r="O53" s="6">
        <f t="shared" si="14"/>
        <v>0.71582389712396544</v>
      </c>
      <c r="P53" s="6">
        <f t="shared" si="14"/>
        <v>-0.26149289976843598</v>
      </c>
      <c r="Q53" s="75">
        <v>0</v>
      </c>
      <c r="R53" s="76">
        <v>0</v>
      </c>
      <c r="S53" s="6" t="e">
        <f t="shared" si="0"/>
        <v>#DIV/0!</v>
      </c>
      <c r="T53" s="36" t="e">
        <f t="shared" si="5"/>
        <v>#DIV/0!</v>
      </c>
      <c r="U53" s="6">
        <f t="shared" si="15"/>
        <v>0.18401218302179842</v>
      </c>
      <c r="V53" s="6">
        <f t="shared" si="15"/>
        <v>0.37883088095577799</v>
      </c>
      <c r="W53" s="6">
        <f t="shared" si="15"/>
        <v>-1.0806514912181153E-2</v>
      </c>
      <c r="X53" s="6">
        <f t="shared" si="15"/>
        <v>8.6602834054808633E-2</v>
      </c>
      <c r="Y53" s="6">
        <f t="shared" si="15"/>
        <v>0.19481869793397957</v>
      </c>
    </row>
    <row r="54" spans="1:25" x14ac:dyDescent="0.25">
      <c r="A54" s="7" t="s">
        <v>66</v>
      </c>
      <c r="B54" s="7" t="s">
        <v>162</v>
      </c>
      <c r="C54" s="74">
        <v>0</v>
      </c>
      <c r="D54" s="74">
        <v>0</v>
      </c>
      <c r="E54" s="71" t="e">
        <f t="shared" si="2"/>
        <v>#DIV/0!</v>
      </c>
      <c r="F54" s="65" t="e">
        <f t="shared" si="3"/>
        <v>#DIV/0!</v>
      </c>
      <c r="G54" s="71">
        <f t="shared" si="9"/>
        <v>0.44825178806664662</v>
      </c>
      <c r="H54" s="71">
        <f t="shared" si="9"/>
        <v>0.78548221403733831</v>
      </c>
      <c r="I54" s="71">
        <f t="shared" si="9"/>
        <v>0.11102136209595498</v>
      </c>
      <c r="J54" s="75">
        <v>0</v>
      </c>
      <c r="K54" s="75">
        <v>300</v>
      </c>
      <c r="L54" s="6" t="e">
        <f>(SUM(K50:K54))/J53</f>
        <v>#DIV/0!</v>
      </c>
      <c r="M54" s="36" t="e">
        <f t="shared" si="4"/>
        <v>#DIV/0!</v>
      </c>
      <c r="N54" s="6">
        <f t="shared" ref="N54:P69" si="16">N42</f>
        <v>0.27284258705105507</v>
      </c>
      <c r="O54" s="6">
        <f t="shared" si="16"/>
        <v>0.75981161093062477</v>
      </c>
      <c r="P54" s="6">
        <f t="shared" si="16"/>
        <v>-0.21412643682851468</v>
      </c>
      <c r="Q54" s="75">
        <v>0</v>
      </c>
      <c r="R54" s="76">
        <v>0</v>
      </c>
      <c r="S54" s="6" t="e">
        <f t="shared" si="0"/>
        <v>#DIV/0!</v>
      </c>
      <c r="T54" s="36" t="e">
        <f t="shared" si="5"/>
        <v>#DIV/0!</v>
      </c>
      <c r="U54" s="6">
        <f t="shared" si="15"/>
        <v>0.23278475191631845</v>
      </c>
      <c r="V54" s="6">
        <f t="shared" si="15"/>
        <v>0.51017789992422413</v>
      </c>
      <c r="W54" s="6">
        <f t="shared" si="15"/>
        <v>-4.460839609158726E-2</v>
      </c>
      <c r="X54" s="6">
        <f t="shared" si="15"/>
        <v>9.4088177912365595E-2</v>
      </c>
      <c r="Y54" s="6">
        <f t="shared" si="15"/>
        <v>0.27739314800790571</v>
      </c>
    </row>
    <row r="55" spans="1:25" x14ac:dyDescent="0.25">
      <c r="A55" s="7" t="s">
        <v>66</v>
      </c>
      <c r="B55" s="7" t="s">
        <v>163</v>
      </c>
      <c r="C55" s="74">
        <v>0</v>
      </c>
      <c r="D55" s="74">
        <v>0</v>
      </c>
      <c r="E55" s="71" t="e">
        <f t="shared" si="2"/>
        <v>#DIV/0!</v>
      </c>
      <c r="F55" s="65" t="e">
        <f t="shared" si="3"/>
        <v>#DIV/0!</v>
      </c>
      <c r="G55" s="71">
        <f t="shared" si="9"/>
        <v>0.54231176602906361</v>
      </c>
      <c r="H55" s="71">
        <f t="shared" si="9"/>
        <v>0.92735502699565786</v>
      </c>
      <c r="I55" s="71">
        <f t="shared" si="9"/>
        <v>0.15726850506246942</v>
      </c>
      <c r="J55" s="75">
        <v>0</v>
      </c>
      <c r="K55" s="75">
        <v>0</v>
      </c>
      <c r="L55" s="6" t="e">
        <f>(SUM(K50:K55))/J54</f>
        <v>#DIV/0!</v>
      </c>
      <c r="M55" s="36" t="e">
        <f t="shared" si="4"/>
        <v>#DIV/0!</v>
      </c>
      <c r="N55" s="6">
        <f t="shared" si="16"/>
        <v>0.31451673641638933</v>
      </c>
      <c r="O55" s="6">
        <f t="shared" si="16"/>
        <v>0.80702132782766356</v>
      </c>
      <c r="P55" s="6">
        <f t="shared" si="16"/>
        <v>-0.1779878549948849</v>
      </c>
      <c r="Q55" s="75">
        <v>0</v>
      </c>
      <c r="R55" s="76">
        <v>0</v>
      </c>
      <c r="S55" s="6" t="e">
        <f t="shared" si="0"/>
        <v>#DIV/0!</v>
      </c>
      <c r="T55" s="36" t="e">
        <f t="shared" si="5"/>
        <v>#DIV/0!</v>
      </c>
      <c r="U55" s="6">
        <f t="shared" si="15"/>
        <v>0.46105014853915682</v>
      </c>
      <c r="V55" s="6">
        <f t="shared" si="15"/>
        <v>0.84756736419379908</v>
      </c>
      <c r="W55" s="6">
        <f t="shared" si="15"/>
        <v>7.4532932884514569E-2</v>
      </c>
      <c r="X55" s="6">
        <f t="shared" si="15"/>
        <v>7.4532932884514569E-2</v>
      </c>
      <c r="Y55" s="6">
        <f t="shared" si="15"/>
        <v>0.38651721565464225</v>
      </c>
    </row>
    <row r="56" spans="1:25" x14ac:dyDescent="0.25">
      <c r="A56" s="7" t="s">
        <v>66</v>
      </c>
      <c r="B56" s="7" t="s">
        <v>164</v>
      </c>
      <c r="C56" s="74">
        <v>0</v>
      </c>
      <c r="D56" s="74">
        <v>0</v>
      </c>
      <c r="E56" s="71" t="e">
        <f t="shared" si="2"/>
        <v>#DIV/0!</v>
      </c>
      <c r="F56" s="65" t="e">
        <f t="shared" si="3"/>
        <v>#DIV/0!</v>
      </c>
      <c r="G56" s="71">
        <f t="shared" si="9"/>
        <v>0.63634637719050002</v>
      </c>
      <c r="H56" s="71">
        <f t="shared" si="9"/>
        <v>1.0512878703900039</v>
      </c>
      <c r="I56" s="71">
        <f t="shared" si="9"/>
        <v>0.22140488399099606</v>
      </c>
      <c r="J56" s="75">
        <v>0</v>
      </c>
      <c r="K56" s="75">
        <v>3900</v>
      </c>
      <c r="L56" s="6" t="e">
        <f>(SUM(K50:K56))/J55</f>
        <v>#DIV/0!</v>
      </c>
      <c r="M56" s="36" t="e">
        <f t="shared" si="4"/>
        <v>#DIV/0!</v>
      </c>
      <c r="N56" s="6">
        <f t="shared" si="16"/>
        <v>0.38334713342809434</v>
      </c>
      <c r="O56" s="6">
        <f t="shared" si="16"/>
        <v>0.88375935483946089</v>
      </c>
      <c r="P56" s="6">
        <f t="shared" si="16"/>
        <v>-0.1170650879832722</v>
      </c>
      <c r="Q56" s="75">
        <v>0</v>
      </c>
      <c r="R56" s="76">
        <v>0</v>
      </c>
      <c r="S56" s="6" t="e">
        <f t="shared" si="0"/>
        <v>#DIV/0!</v>
      </c>
      <c r="T56" s="36" t="e">
        <f t="shared" si="5"/>
        <v>#DIV/0!</v>
      </c>
      <c r="U56" s="6">
        <f t="shared" si="15"/>
        <v>0.46105014853915682</v>
      </c>
      <c r="V56" s="6">
        <f t="shared" si="15"/>
        <v>0.84756736419379908</v>
      </c>
      <c r="W56" s="6">
        <f t="shared" si="15"/>
        <v>7.4532932884514569E-2</v>
      </c>
      <c r="X56" s="6">
        <f t="shared" si="15"/>
        <v>7.4532932884514569E-2</v>
      </c>
      <c r="Y56" s="6">
        <f t="shared" si="15"/>
        <v>0.38651721565464225</v>
      </c>
    </row>
    <row r="57" spans="1:25" x14ac:dyDescent="0.25">
      <c r="A57" s="7" t="s">
        <v>66</v>
      </c>
      <c r="B57" s="7" t="s">
        <v>165</v>
      </c>
      <c r="C57" s="74">
        <v>0</v>
      </c>
      <c r="D57" s="74">
        <v>0</v>
      </c>
      <c r="E57" s="71" t="e">
        <f t="shared" si="2"/>
        <v>#DIV/0!</v>
      </c>
      <c r="F57" s="65" t="e">
        <f t="shared" si="3"/>
        <v>#DIV/0!</v>
      </c>
      <c r="G57" s="71">
        <f t="shared" si="9"/>
        <v>0.70660866675940681</v>
      </c>
      <c r="H57" s="71">
        <f t="shared" si="9"/>
        <v>1.1341225514190425</v>
      </c>
      <c r="I57" s="71">
        <f t="shared" si="9"/>
        <v>0.27909478209977112</v>
      </c>
      <c r="J57" s="75">
        <v>0</v>
      </c>
      <c r="K57" s="75">
        <v>700</v>
      </c>
      <c r="L57" s="6" t="e">
        <f>(SUM(K50:K57))/J56</f>
        <v>#DIV/0!</v>
      </c>
      <c r="M57" s="36" t="e">
        <f t="shared" si="4"/>
        <v>#DIV/0!</v>
      </c>
      <c r="N57" s="6">
        <f t="shared" si="16"/>
        <v>0.45719521320533213</v>
      </c>
      <c r="O57" s="6">
        <f t="shared" si="16"/>
        <v>0.97356755068321044</v>
      </c>
      <c r="P57" s="6">
        <f t="shared" si="16"/>
        <v>-5.9177124272546122E-2</v>
      </c>
      <c r="Q57" s="75">
        <v>0</v>
      </c>
      <c r="R57" s="76">
        <v>0</v>
      </c>
      <c r="S57" s="6" t="e">
        <f t="shared" si="0"/>
        <v>#DIV/0!</v>
      </c>
      <c r="T57" s="36" t="e">
        <f t="shared" si="5"/>
        <v>#DIV/0!</v>
      </c>
      <c r="U57" s="6">
        <f t="shared" si="15"/>
        <v>0.46105014853915682</v>
      </c>
      <c r="V57" s="6">
        <f t="shared" si="15"/>
        <v>0.84756736419379908</v>
      </c>
      <c r="W57" s="6">
        <f t="shared" si="15"/>
        <v>7.4532932884514569E-2</v>
      </c>
      <c r="X57" s="6">
        <f t="shared" si="15"/>
        <v>7.4532932884514569E-2</v>
      </c>
      <c r="Y57" s="6">
        <f t="shared" si="15"/>
        <v>0.38651721565464225</v>
      </c>
    </row>
    <row r="58" spans="1:25" x14ac:dyDescent="0.25">
      <c r="A58" s="7" t="s">
        <v>66</v>
      </c>
      <c r="B58" s="7" t="s">
        <v>166</v>
      </c>
      <c r="C58" s="74">
        <v>0</v>
      </c>
      <c r="D58" s="74">
        <v>0</v>
      </c>
      <c r="E58" s="71" t="e">
        <f t="shared" si="2"/>
        <v>#DIV/0!</v>
      </c>
      <c r="F58" s="65" t="e">
        <f t="shared" si="3"/>
        <v>#DIV/0!</v>
      </c>
      <c r="G58" s="71">
        <f t="shared" si="9"/>
        <v>0.73663014244586189</v>
      </c>
      <c r="H58" s="71">
        <f t="shared" si="9"/>
        <v>1.1737360935948695</v>
      </c>
      <c r="I58" s="71">
        <f t="shared" si="9"/>
        <v>0.29952419129685426</v>
      </c>
      <c r="J58" s="75">
        <v>0</v>
      </c>
      <c r="K58" s="75">
        <v>0</v>
      </c>
      <c r="L58" s="6" t="e">
        <f>(SUM(K50:K58))/J57</f>
        <v>#DIV/0!</v>
      </c>
      <c r="M58" s="36" t="e">
        <f t="shared" si="4"/>
        <v>#DIV/0!</v>
      </c>
      <c r="N58" s="6">
        <f t="shared" si="16"/>
        <v>0.50336729135060976</v>
      </c>
      <c r="O58" s="6">
        <f t="shared" si="16"/>
        <v>1.0150591886201059</v>
      </c>
      <c r="P58" s="6">
        <f t="shared" si="16"/>
        <v>-8.3246059188863963E-3</v>
      </c>
      <c r="Q58" s="75">
        <v>0</v>
      </c>
      <c r="R58" s="76">
        <v>0</v>
      </c>
      <c r="S58" s="6" t="e">
        <f t="shared" si="0"/>
        <v>#DIV/0!</v>
      </c>
      <c r="T58" s="36" t="e">
        <f t="shared" si="5"/>
        <v>#DIV/0!</v>
      </c>
      <c r="U58" s="6">
        <f t="shared" si="15"/>
        <v>0.74232771533595698</v>
      </c>
      <c r="V58" s="6">
        <f t="shared" si="15"/>
        <v>1.1540802341555996</v>
      </c>
      <c r="W58" s="6">
        <f t="shared" si="15"/>
        <v>0.33057519651631434</v>
      </c>
      <c r="X58" s="6">
        <f t="shared" si="15"/>
        <v>0.33057519651631434</v>
      </c>
      <c r="Y58" s="6">
        <f t="shared" si="15"/>
        <v>0.41175251881964264</v>
      </c>
    </row>
    <row r="59" spans="1:25" x14ac:dyDescent="0.25">
      <c r="A59" s="7" t="s">
        <v>66</v>
      </c>
      <c r="B59" s="7" t="s">
        <v>167</v>
      </c>
      <c r="C59" s="74">
        <v>0</v>
      </c>
      <c r="D59" s="74">
        <v>0</v>
      </c>
      <c r="E59" s="71" t="e">
        <f t="shared" si="2"/>
        <v>#DIV/0!</v>
      </c>
      <c r="F59" s="65" t="e">
        <f t="shared" si="3"/>
        <v>#DIV/0!</v>
      </c>
      <c r="G59" s="71">
        <f t="shared" si="9"/>
        <v>0.82061442726694189</v>
      </c>
      <c r="H59" s="71">
        <f t="shared" si="9"/>
        <v>1.2607833515834532</v>
      </c>
      <c r="I59" s="71">
        <f t="shared" si="9"/>
        <v>0.38044550295043061</v>
      </c>
      <c r="J59" s="75">
        <v>0</v>
      </c>
      <c r="K59" s="75">
        <v>0</v>
      </c>
      <c r="L59" s="6" t="e">
        <f>(SUM(K50:K59))/J58</f>
        <v>#DIV/0!</v>
      </c>
      <c r="M59" s="36" t="e">
        <f t="shared" si="4"/>
        <v>#DIV/0!</v>
      </c>
      <c r="N59" s="6">
        <f t="shared" si="16"/>
        <v>0.58006775555216661</v>
      </c>
      <c r="O59" s="6">
        <f t="shared" si="16"/>
        <v>1.099948635873619</v>
      </c>
      <c r="P59" s="6">
        <f t="shared" si="16"/>
        <v>6.0186875230714088E-2</v>
      </c>
      <c r="Q59" s="75">
        <v>0</v>
      </c>
      <c r="R59" s="76">
        <v>0</v>
      </c>
      <c r="S59" s="6" t="e">
        <f t="shared" si="0"/>
        <v>#DIV/0!</v>
      </c>
      <c r="T59" s="36" t="e">
        <f t="shared" si="5"/>
        <v>#DIV/0!</v>
      </c>
      <c r="U59" s="6">
        <f t="shared" si="15"/>
        <v>0.82347447721763523</v>
      </c>
      <c r="V59" s="6">
        <f t="shared" si="15"/>
        <v>1.2398542522675045</v>
      </c>
      <c r="W59" s="6">
        <f t="shared" si="15"/>
        <v>0.40709470216776611</v>
      </c>
      <c r="X59" s="6">
        <f t="shared" si="15"/>
        <v>0.40709470216776611</v>
      </c>
      <c r="Y59" s="6">
        <f t="shared" si="15"/>
        <v>0.41637977504986912</v>
      </c>
    </row>
    <row r="60" spans="1:25" x14ac:dyDescent="0.25">
      <c r="A60" s="7" t="s">
        <v>66</v>
      </c>
      <c r="B60" s="7" t="s">
        <v>168</v>
      </c>
      <c r="C60" s="74">
        <v>0</v>
      </c>
      <c r="D60" s="74">
        <v>0</v>
      </c>
      <c r="E60" s="71" t="e">
        <f t="shared" si="2"/>
        <v>#DIV/0!</v>
      </c>
      <c r="F60" s="65" t="e">
        <f t="shared" si="3"/>
        <v>#DIV/0!</v>
      </c>
      <c r="G60" s="71">
        <f t="shared" si="9"/>
        <v>0.94582556715526966</v>
      </c>
      <c r="H60" s="71">
        <f t="shared" si="9"/>
        <v>1.4311117173682604</v>
      </c>
      <c r="I60" s="71">
        <f t="shared" si="9"/>
        <v>0.46053941694227907</v>
      </c>
      <c r="J60" s="75">
        <v>0</v>
      </c>
      <c r="K60" s="75">
        <v>0</v>
      </c>
      <c r="L60" s="6" t="e">
        <f>(SUM(K50:K60))/J59</f>
        <v>#DIV/0!</v>
      </c>
      <c r="M60" s="36" t="e">
        <f t="shared" si="4"/>
        <v>#DIV/0!</v>
      </c>
      <c r="N60" s="6">
        <f t="shared" si="16"/>
        <v>0.72282137340514951</v>
      </c>
      <c r="O60" s="6">
        <f t="shared" si="16"/>
        <v>1.2463651595014014</v>
      </c>
      <c r="P60" s="6">
        <f t="shared" si="16"/>
        <v>0.19927758730889755</v>
      </c>
      <c r="Q60" s="75">
        <v>0</v>
      </c>
      <c r="R60" s="76">
        <v>0</v>
      </c>
      <c r="S60" s="6" t="e">
        <f t="shared" si="0"/>
        <v>#DIV/0!</v>
      </c>
      <c r="T60" s="36" t="e">
        <f t="shared" si="5"/>
        <v>#DIV/0!</v>
      </c>
      <c r="U60" s="6">
        <f t="shared" si="15"/>
        <v>0.91825333306001944</v>
      </c>
      <c r="V60" s="6">
        <f t="shared" si="15"/>
        <v>1.402047931898428</v>
      </c>
      <c r="W60" s="6">
        <f t="shared" si="15"/>
        <v>0.43445873422161085</v>
      </c>
      <c r="X60" s="6">
        <f t="shared" si="15"/>
        <v>0.43445873422161085</v>
      </c>
      <c r="Y60" s="6">
        <f t="shared" si="15"/>
        <v>0.48379459883840858</v>
      </c>
    </row>
    <row r="61" spans="1:25" x14ac:dyDescent="0.25">
      <c r="A61" s="7" t="s">
        <v>66</v>
      </c>
      <c r="B61" s="7" t="s">
        <v>169</v>
      </c>
      <c r="C61" s="74">
        <v>0</v>
      </c>
      <c r="D61" s="74">
        <v>0</v>
      </c>
      <c r="E61" s="71" t="e">
        <f t="shared" si="2"/>
        <v>#DIV/0!</v>
      </c>
      <c r="F61" s="65" t="e">
        <f t="shared" si="3"/>
        <v>#DIV/0!</v>
      </c>
      <c r="G61" s="71">
        <f t="shared" si="9"/>
        <v>1.0016849877757958</v>
      </c>
      <c r="H61" s="71">
        <f t="shared" si="9"/>
        <v>1.521489991464148</v>
      </c>
      <c r="I61" s="71">
        <f t="shared" si="9"/>
        <v>0.48187998408744359</v>
      </c>
      <c r="J61" s="75">
        <v>0</v>
      </c>
      <c r="K61" s="75">
        <v>3900</v>
      </c>
      <c r="L61" s="6" t="e">
        <f>(SUM(K50:K61))/J60</f>
        <v>#DIV/0!</v>
      </c>
      <c r="M61" s="36" t="e">
        <f t="shared" si="4"/>
        <v>#DIV/0!</v>
      </c>
      <c r="N61" s="6">
        <f t="shared" si="16"/>
        <v>0.82421983567812696</v>
      </c>
      <c r="O61" s="6">
        <f t="shared" si="16"/>
        <v>1.3730394926064369</v>
      </c>
      <c r="P61" s="6">
        <f t="shared" si="16"/>
        <v>0.27540017874981693</v>
      </c>
      <c r="Q61" s="75">
        <v>0</v>
      </c>
      <c r="R61" s="76">
        <v>0</v>
      </c>
      <c r="S61" s="6" t="e">
        <f t="shared" si="0"/>
        <v>#DIV/0!</v>
      </c>
      <c r="T61" s="36" t="e">
        <f t="shared" si="5"/>
        <v>#DIV/0!</v>
      </c>
      <c r="U61" s="6">
        <f t="shared" si="15"/>
        <v>0.91825333306001944</v>
      </c>
      <c r="V61" s="6">
        <f t="shared" si="15"/>
        <v>1.402047931898428</v>
      </c>
      <c r="W61" s="6">
        <f t="shared" si="15"/>
        <v>0.43445873422161085</v>
      </c>
      <c r="X61" s="6">
        <f t="shared" si="15"/>
        <v>0.43445873422161085</v>
      </c>
      <c r="Y61" s="6">
        <f t="shared" si="15"/>
        <v>0.48379459883840858</v>
      </c>
    </row>
    <row r="62" spans="1:25" x14ac:dyDescent="0.25">
      <c r="A62" s="7" t="s">
        <v>42</v>
      </c>
      <c r="B62" s="7" t="s">
        <v>158</v>
      </c>
      <c r="C62" s="74">
        <v>75</v>
      </c>
      <c r="D62" s="74">
        <v>32</v>
      </c>
      <c r="E62" s="71">
        <f t="shared" si="2"/>
        <v>0.42666666666666669</v>
      </c>
      <c r="F62" s="65" t="str">
        <f t="shared" si="3"/>
        <v>Desempenho Ótimo</v>
      </c>
      <c r="G62" s="71">
        <f t="shared" si="9"/>
        <v>0.11573204891712785</v>
      </c>
      <c r="H62" s="71">
        <f t="shared" si="9"/>
        <v>0.30218524997148988</v>
      </c>
      <c r="I62" s="71">
        <f t="shared" si="9"/>
        <v>-7.0721152137234206E-2</v>
      </c>
      <c r="J62" s="75">
        <v>70000</v>
      </c>
      <c r="K62" s="75">
        <v>9430</v>
      </c>
      <c r="L62" s="6">
        <f>K62/J62</f>
        <v>0.1347142857142857</v>
      </c>
      <c r="M62" s="36" t="str">
        <f t="shared" si="4"/>
        <v>Desempenho Bom</v>
      </c>
      <c r="N62" s="6">
        <f t="shared" si="16"/>
        <v>0.11129468122233216</v>
      </c>
      <c r="O62" s="6">
        <f t="shared" si="16"/>
        <v>0.54990456699293522</v>
      </c>
      <c r="P62" s="6">
        <f t="shared" si="16"/>
        <v>-0.32731520454827095</v>
      </c>
      <c r="Q62" s="75">
        <v>75</v>
      </c>
      <c r="R62" s="76">
        <v>8</v>
      </c>
      <c r="S62" s="6">
        <f t="shared" si="0"/>
        <v>0.10666666666666667</v>
      </c>
      <c r="T62" s="36" t="str">
        <f t="shared" si="5"/>
        <v>Desempenho Bom</v>
      </c>
      <c r="U62" s="6">
        <f t="shared" si="15"/>
        <v>6.5053670194766225E-2</v>
      </c>
      <c r="V62" s="6">
        <f t="shared" si="15"/>
        <v>0.16010348962314203</v>
      </c>
      <c r="W62" s="6">
        <f t="shared" si="15"/>
        <v>-2.9996149233609562E-2</v>
      </c>
      <c r="X62" s="6">
        <f t="shared" si="15"/>
        <v>1.7528760480578331E-2</v>
      </c>
      <c r="Y62" s="6">
        <f t="shared" si="15"/>
        <v>9.5049819428375787E-2</v>
      </c>
    </row>
    <row r="63" spans="1:25" x14ac:dyDescent="0.25">
      <c r="A63" s="7" t="s">
        <v>42</v>
      </c>
      <c r="B63" s="7" t="s">
        <v>159</v>
      </c>
      <c r="C63" s="74">
        <v>75</v>
      </c>
      <c r="D63" s="74">
        <v>53</v>
      </c>
      <c r="E63" s="71">
        <f t="shared" si="2"/>
        <v>0.70666666666666667</v>
      </c>
      <c r="F63" s="65" t="str">
        <f t="shared" si="3"/>
        <v>Desempenho Ótimo</v>
      </c>
      <c r="G63" s="71">
        <f t="shared" si="9"/>
        <v>0.22598075676513599</v>
      </c>
      <c r="H63" s="71">
        <f t="shared" si="9"/>
        <v>0.51894873552035481</v>
      </c>
      <c r="I63" s="71">
        <f t="shared" si="9"/>
        <v>-6.6987221990082807E-2</v>
      </c>
      <c r="J63" s="75">
        <v>70000</v>
      </c>
      <c r="K63" s="75">
        <v>11085</v>
      </c>
      <c r="L63" s="6">
        <f>(SUM(K62:K63))/J62</f>
        <v>0.29307142857142859</v>
      </c>
      <c r="M63" s="36" t="str">
        <f t="shared" si="4"/>
        <v>Desempenho Bom</v>
      </c>
      <c r="N63" s="6">
        <f t="shared" si="16"/>
        <v>0.14992070801509372</v>
      </c>
      <c r="O63" s="6">
        <f t="shared" si="16"/>
        <v>0.58968599072326611</v>
      </c>
      <c r="P63" s="6">
        <f t="shared" si="16"/>
        <v>-0.28984457469307867</v>
      </c>
      <c r="Q63" s="75">
        <v>75</v>
      </c>
      <c r="R63" s="76">
        <v>8</v>
      </c>
      <c r="S63" s="6">
        <f t="shared" si="0"/>
        <v>0.10666666666666667</v>
      </c>
      <c r="T63" s="36" t="str">
        <f t="shared" si="5"/>
        <v>Desempenho Bom</v>
      </c>
      <c r="U63" s="6">
        <f t="shared" ref="U63:Y78" si="17">U51</f>
        <v>6.5053670194766225E-2</v>
      </c>
      <c r="V63" s="6">
        <f t="shared" si="17"/>
        <v>0.16010348962314203</v>
      </c>
      <c r="W63" s="6">
        <f t="shared" si="17"/>
        <v>-2.9996149233609562E-2</v>
      </c>
      <c r="X63" s="6">
        <f t="shared" si="17"/>
        <v>1.7528760480578331E-2</v>
      </c>
      <c r="Y63" s="6">
        <f t="shared" si="17"/>
        <v>9.5049819428375787E-2</v>
      </c>
    </row>
    <row r="64" spans="1:25" x14ac:dyDescent="0.25">
      <c r="A64" s="7" t="s">
        <v>42</v>
      </c>
      <c r="B64" s="7" t="s">
        <v>160</v>
      </c>
      <c r="C64" s="74">
        <v>75</v>
      </c>
      <c r="D64" s="74">
        <v>55</v>
      </c>
      <c r="E64" s="71">
        <f t="shared" si="2"/>
        <v>0.73333333333333328</v>
      </c>
      <c r="F64" s="65" t="str">
        <f t="shared" si="3"/>
        <v>Desempenho Ótimo</v>
      </c>
      <c r="G64" s="71">
        <f t="shared" si="9"/>
        <v>0.2827891266215985</v>
      </c>
      <c r="H64" s="71">
        <f t="shared" si="9"/>
        <v>0.59134445337262298</v>
      </c>
      <c r="I64" s="71">
        <f t="shared" si="9"/>
        <v>-2.5766200129425987E-2</v>
      </c>
      <c r="J64" s="75">
        <v>70000</v>
      </c>
      <c r="K64" s="75">
        <v>3415</v>
      </c>
      <c r="L64" s="6">
        <f>(SUM(K62:K64))/J63</f>
        <v>0.34185714285714286</v>
      </c>
      <c r="M64" s="36" t="str">
        <f t="shared" si="4"/>
        <v>Desempenho Bom</v>
      </c>
      <c r="N64" s="6">
        <f t="shared" si="16"/>
        <v>0.17723994755342617</v>
      </c>
      <c r="O64" s="6">
        <f t="shared" si="16"/>
        <v>0.61473682715667155</v>
      </c>
      <c r="P64" s="6">
        <f t="shared" si="16"/>
        <v>-0.26025693204981915</v>
      </c>
      <c r="Q64" s="75">
        <v>75</v>
      </c>
      <c r="R64" s="76">
        <v>26</v>
      </c>
      <c r="S64" s="6">
        <f t="shared" si="0"/>
        <v>0.34666666666666668</v>
      </c>
      <c r="T64" s="36" t="str">
        <f t="shared" si="5"/>
        <v>Desempenho Bom</v>
      </c>
      <c r="U64" s="6">
        <f t="shared" si="17"/>
        <v>0.18401218302179842</v>
      </c>
      <c r="V64" s="6">
        <f t="shared" si="17"/>
        <v>0.37883088095577799</v>
      </c>
      <c r="W64" s="6">
        <f t="shared" si="17"/>
        <v>-1.0806514912181153E-2</v>
      </c>
      <c r="X64" s="6">
        <f t="shared" si="17"/>
        <v>8.6602834054808633E-2</v>
      </c>
      <c r="Y64" s="6">
        <f t="shared" si="17"/>
        <v>0.19481869793397957</v>
      </c>
    </row>
    <row r="65" spans="1:25" x14ac:dyDescent="0.25">
      <c r="A65" s="7" t="s">
        <v>42</v>
      </c>
      <c r="B65" s="7" t="s">
        <v>161</v>
      </c>
      <c r="C65" s="74">
        <v>75</v>
      </c>
      <c r="D65" s="74">
        <v>57</v>
      </c>
      <c r="E65" s="71">
        <f t="shared" si="2"/>
        <v>0.76</v>
      </c>
      <c r="F65" s="65" t="str">
        <f t="shared" si="3"/>
        <v>Desempenho Ótimo</v>
      </c>
      <c r="G65" s="71">
        <f t="shared" si="9"/>
        <v>0.36222496935690102</v>
      </c>
      <c r="H65" s="71">
        <f t="shared" si="9"/>
        <v>0.67917151968337719</v>
      </c>
      <c r="I65" s="71">
        <f t="shared" si="9"/>
        <v>4.5278419030424844E-2</v>
      </c>
      <c r="J65" s="75">
        <v>70000</v>
      </c>
      <c r="K65" s="75">
        <v>6285</v>
      </c>
      <c r="L65" s="6">
        <f>(SUM(K62:K65))/J64</f>
        <v>0.43164285714285716</v>
      </c>
      <c r="M65" s="36" t="str">
        <f t="shared" si="4"/>
        <v>Desempenho Bom</v>
      </c>
      <c r="N65" s="6">
        <f t="shared" si="16"/>
        <v>0.2271654986777647</v>
      </c>
      <c r="O65" s="6">
        <f t="shared" si="16"/>
        <v>0.71582389712396544</v>
      </c>
      <c r="P65" s="6">
        <f t="shared" si="16"/>
        <v>-0.26149289976843598</v>
      </c>
      <c r="Q65" s="75">
        <v>75</v>
      </c>
      <c r="R65" s="76">
        <v>26</v>
      </c>
      <c r="S65" s="6">
        <f t="shared" si="0"/>
        <v>0.34666666666666668</v>
      </c>
      <c r="T65" s="36" t="str">
        <f t="shared" si="5"/>
        <v>Desempenho Bom</v>
      </c>
      <c r="U65" s="6">
        <f t="shared" si="17"/>
        <v>0.18401218302179842</v>
      </c>
      <c r="V65" s="6">
        <f t="shared" si="17"/>
        <v>0.37883088095577799</v>
      </c>
      <c r="W65" s="6">
        <f t="shared" si="17"/>
        <v>-1.0806514912181153E-2</v>
      </c>
      <c r="X65" s="6">
        <f t="shared" si="17"/>
        <v>8.6602834054808633E-2</v>
      </c>
      <c r="Y65" s="6">
        <f t="shared" si="17"/>
        <v>0.19481869793397957</v>
      </c>
    </row>
    <row r="66" spans="1:25" x14ac:dyDescent="0.25">
      <c r="A66" s="7" t="s">
        <v>42</v>
      </c>
      <c r="B66" s="7" t="s">
        <v>162</v>
      </c>
      <c r="C66" s="74">
        <v>75</v>
      </c>
      <c r="D66" s="74">
        <v>63</v>
      </c>
      <c r="E66" s="71">
        <f t="shared" ref="E66:E129" si="18">D66/C66</f>
        <v>0.84</v>
      </c>
      <c r="F66" s="65" t="str">
        <f t="shared" si="3"/>
        <v>Desempenho Ótimo</v>
      </c>
      <c r="G66" s="71">
        <f t="shared" si="9"/>
        <v>0.44825178806664662</v>
      </c>
      <c r="H66" s="71">
        <f t="shared" si="9"/>
        <v>0.78548221403733831</v>
      </c>
      <c r="I66" s="71">
        <f t="shared" si="9"/>
        <v>0.11102136209595498</v>
      </c>
      <c r="J66" s="75">
        <v>70000</v>
      </c>
      <c r="K66" s="75">
        <v>7095</v>
      </c>
      <c r="L66" s="6">
        <f>(SUM(K62:K66))/J65</f>
        <v>0.53300000000000003</v>
      </c>
      <c r="M66" s="36" t="str">
        <f t="shared" si="4"/>
        <v>Desempenho Bom</v>
      </c>
      <c r="N66" s="6">
        <f t="shared" si="16"/>
        <v>0.27284258705105507</v>
      </c>
      <c r="O66" s="6">
        <f t="shared" si="16"/>
        <v>0.75981161093062477</v>
      </c>
      <c r="P66" s="6">
        <f t="shared" si="16"/>
        <v>-0.21412643682851468</v>
      </c>
      <c r="Q66" s="75">
        <v>75</v>
      </c>
      <c r="R66" s="76">
        <v>26</v>
      </c>
      <c r="S66" s="6">
        <f t="shared" ref="S66:S129" si="19">R66/Q66</f>
        <v>0.34666666666666668</v>
      </c>
      <c r="T66" s="36" t="str">
        <f t="shared" si="5"/>
        <v>Desempenho Bom</v>
      </c>
      <c r="U66" s="6">
        <f t="shared" si="17"/>
        <v>0.23278475191631845</v>
      </c>
      <c r="V66" s="6">
        <f t="shared" si="17"/>
        <v>0.51017789992422413</v>
      </c>
      <c r="W66" s="6">
        <f t="shared" si="17"/>
        <v>-4.460839609158726E-2</v>
      </c>
      <c r="X66" s="6">
        <f t="shared" si="17"/>
        <v>9.4088177912365595E-2</v>
      </c>
      <c r="Y66" s="6">
        <f t="shared" si="17"/>
        <v>0.27739314800790571</v>
      </c>
    </row>
    <row r="67" spans="1:25" x14ac:dyDescent="0.25">
      <c r="A67" s="7" t="s">
        <v>42</v>
      </c>
      <c r="B67" s="7" t="s">
        <v>163</v>
      </c>
      <c r="C67" s="74">
        <v>75</v>
      </c>
      <c r="D67" s="74">
        <v>76</v>
      </c>
      <c r="E67" s="71">
        <f t="shared" si="18"/>
        <v>1.0133333333333334</v>
      </c>
      <c r="F67" s="65" t="str">
        <f t="shared" ref="F67:F130" si="20">IF(E67&gt;=H67,"Desempenho Ótimo",(IF(E67&gt;G67,"Desempenho Bom",(IF(E67&gt;I67,"Desempenho Médio",IF(E67&lt;=I67,"Desempenho Deficitário",0))))))</f>
        <v>Desempenho Ótimo</v>
      </c>
      <c r="G67" s="71">
        <f t="shared" si="9"/>
        <v>0.54231176602906361</v>
      </c>
      <c r="H67" s="71">
        <f t="shared" si="9"/>
        <v>0.92735502699565786</v>
      </c>
      <c r="I67" s="71">
        <f t="shared" si="9"/>
        <v>0.15726850506246942</v>
      </c>
      <c r="J67" s="75">
        <v>70000</v>
      </c>
      <c r="K67" s="75">
        <v>715</v>
      </c>
      <c r="L67" s="6">
        <f>(SUM(K62:K67))/J66</f>
        <v>0.54321428571428576</v>
      </c>
      <c r="M67" s="36" t="str">
        <f t="shared" ref="M67:M130" si="21">IF(L67&gt;=O67,"Desempenho Ótimo",(IF(L67&gt;N67,"Desempenho Bom",(IF(L67&gt;P67,"Desempenho Médio",IF(L67&lt;=P67,"Desempenho Deficitário",0))))))</f>
        <v>Desempenho Bom</v>
      </c>
      <c r="N67" s="6">
        <f t="shared" si="16"/>
        <v>0.31451673641638933</v>
      </c>
      <c r="O67" s="6">
        <f t="shared" si="16"/>
        <v>0.80702132782766356</v>
      </c>
      <c r="P67" s="6">
        <f t="shared" si="16"/>
        <v>-0.1779878549948849</v>
      </c>
      <c r="Q67" s="75">
        <v>75</v>
      </c>
      <c r="R67" s="76">
        <v>45</v>
      </c>
      <c r="S67" s="6">
        <f t="shared" si="19"/>
        <v>0.6</v>
      </c>
      <c r="T67" s="36" t="str">
        <f t="shared" ref="T67:T130" si="22">IF(S67&gt;=V67,"Desempenho Ótimo",(IF(S67&gt;U67,"Desempenho Bom",(IF(S67&gt;W67,"Desempenho Médio",IF(S67&lt;=W67,"Desempenho Deficitário",0))))))</f>
        <v>Desempenho Bom</v>
      </c>
      <c r="U67" s="6">
        <f t="shared" si="17"/>
        <v>0.46105014853915682</v>
      </c>
      <c r="V67" s="6">
        <f t="shared" si="17"/>
        <v>0.84756736419379908</v>
      </c>
      <c r="W67" s="6">
        <f t="shared" si="17"/>
        <v>7.4532932884514569E-2</v>
      </c>
      <c r="X67" s="6">
        <f t="shared" si="17"/>
        <v>7.4532932884514569E-2</v>
      </c>
      <c r="Y67" s="6">
        <f t="shared" si="17"/>
        <v>0.38651721565464225</v>
      </c>
    </row>
    <row r="68" spans="1:25" x14ac:dyDescent="0.25">
      <c r="A68" s="7" t="s">
        <v>42</v>
      </c>
      <c r="B68" s="7" t="s">
        <v>164</v>
      </c>
      <c r="C68" s="74">
        <v>75</v>
      </c>
      <c r="D68" s="74">
        <v>76</v>
      </c>
      <c r="E68" s="71">
        <f t="shared" si="18"/>
        <v>1.0133333333333334</v>
      </c>
      <c r="F68" s="65" t="str">
        <f t="shared" si="20"/>
        <v>Desempenho Bom</v>
      </c>
      <c r="G68" s="71">
        <f t="shared" si="9"/>
        <v>0.63634637719050002</v>
      </c>
      <c r="H68" s="71">
        <f t="shared" si="9"/>
        <v>1.0512878703900039</v>
      </c>
      <c r="I68" s="71">
        <f t="shared" si="9"/>
        <v>0.22140488399099606</v>
      </c>
      <c r="J68" s="75">
        <v>70000</v>
      </c>
      <c r="K68" s="75">
        <v>3950</v>
      </c>
      <c r="L68" s="6">
        <f>(SUM(K62:K68))/J67</f>
        <v>0.59964285714285714</v>
      </c>
      <c r="M68" s="36" t="str">
        <f t="shared" si="21"/>
        <v>Desempenho Bom</v>
      </c>
      <c r="N68" s="6">
        <f t="shared" si="16"/>
        <v>0.38334713342809434</v>
      </c>
      <c r="O68" s="6">
        <f t="shared" si="16"/>
        <v>0.88375935483946089</v>
      </c>
      <c r="P68" s="6">
        <f t="shared" si="16"/>
        <v>-0.1170650879832722</v>
      </c>
      <c r="Q68" s="75">
        <v>75</v>
      </c>
      <c r="R68" s="76">
        <v>45</v>
      </c>
      <c r="S68" s="6">
        <f t="shared" si="19"/>
        <v>0.6</v>
      </c>
      <c r="T68" s="36" t="str">
        <f t="shared" si="22"/>
        <v>Desempenho Bom</v>
      </c>
      <c r="U68" s="6">
        <f t="shared" si="17"/>
        <v>0.46105014853915682</v>
      </c>
      <c r="V68" s="6">
        <f t="shared" si="17"/>
        <v>0.84756736419379908</v>
      </c>
      <c r="W68" s="6">
        <f t="shared" si="17"/>
        <v>7.4532932884514569E-2</v>
      </c>
      <c r="X68" s="6">
        <f t="shared" si="17"/>
        <v>7.4532932884514569E-2</v>
      </c>
      <c r="Y68" s="6">
        <f t="shared" si="17"/>
        <v>0.38651721565464225</v>
      </c>
    </row>
    <row r="69" spans="1:25" x14ac:dyDescent="0.25">
      <c r="A69" s="7" t="s">
        <v>42</v>
      </c>
      <c r="B69" s="7" t="s">
        <v>165</v>
      </c>
      <c r="C69" s="74">
        <v>75</v>
      </c>
      <c r="D69" s="74">
        <v>76</v>
      </c>
      <c r="E69" s="71">
        <f t="shared" si="18"/>
        <v>1.0133333333333334</v>
      </c>
      <c r="F69" s="65" t="str">
        <f t="shared" si="20"/>
        <v>Desempenho Bom</v>
      </c>
      <c r="G69" s="71">
        <f t="shared" si="9"/>
        <v>0.70660866675940681</v>
      </c>
      <c r="H69" s="71">
        <f t="shared" si="9"/>
        <v>1.1341225514190425</v>
      </c>
      <c r="I69" s="71">
        <f t="shared" si="9"/>
        <v>0.27909478209977112</v>
      </c>
      <c r="J69" s="75">
        <v>70000</v>
      </c>
      <c r="K69" s="75">
        <v>5589</v>
      </c>
      <c r="L69" s="6">
        <f>(SUM(K62:K69))/J68</f>
        <v>0.67948571428571425</v>
      </c>
      <c r="M69" s="36" t="str">
        <f t="shared" si="21"/>
        <v>Desempenho Bom</v>
      </c>
      <c r="N69" s="6">
        <f t="shared" si="16"/>
        <v>0.45719521320533213</v>
      </c>
      <c r="O69" s="6">
        <f t="shared" si="16"/>
        <v>0.97356755068321044</v>
      </c>
      <c r="P69" s="6">
        <f t="shared" si="16"/>
        <v>-5.9177124272546122E-2</v>
      </c>
      <c r="Q69" s="75">
        <v>75</v>
      </c>
      <c r="R69" s="76">
        <v>45</v>
      </c>
      <c r="S69" s="6">
        <f t="shared" si="19"/>
        <v>0.6</v>
      </c>
      <c r="T69" s="36" t="str">
        <f t="shared" si="22"/>
        <v>Desempenho Bom</v>
      </c>
      <c r="U69" s="6">
        <f t="shared" si="17"/>
        <v>0.46105014853915682</v>
      </c>
      <c r="V69" s="6">
        <f t="shared" si="17"/>
        <v>0.84756736419379908</v>
      </c>
      <c r="W69" s="6">
        <f t="shared" si="17"/>
        <v>7.4532932884514569E-2</v>
      </c>
      <c r="X69" s="6">
        <f t="shared" si="17"/>
        <v>7.4532932884514569E-2</v>
      </c>
      <c r="Y69" s="6">
        <f t="shared" si="17"/>
        <v>0.38651721565464225</v>
      </c>
    </row>
    <row r="70" spans="1:25" x14ac:dyDescent="0.25">
      <c r="A70" s="7" t="s">
        <v>42</v>
      </c>
      <c r="B70" s="7" t="s">
        <v>166</v>
      </c>
      <c r="C70" s="74">
        <v>75</v>
      </c>
      <c r="D70" s="74">
        <v>76</v>
      </c>
      <c r="E70" s="71">
        <f t="shared" si="18"/>
        <v>1.0133333333333334</v>
      </c>
      <c r="F70" s="65" t="str">
        <f t="shared" si="20"/>
        <v>Desempenho Bom</v>
      </c>
      <c r="G70" s="71">
        <f t="shared" si="9"/>
        <v>0.73663014244586189</v>
      </c>
      <c r="H70" s="71">
        <f t="shared" si="9"/>
        <v>1.1737360935948695</v>
      </c>
      <c r="I70" s="71">
        <f t="shared" si="9"/>
        <v>0.29952419129685426</v>
      </c>
      <c r="J70" s="75">
        <v>70000</v>
      </c>
      <c r="K70" s="75">
        <v>2105</v>
      </c>
      <c r="L70" s="6">
        <f>(SUM(K62:K70))/J69</f>
        <v>0.70955714285714289</v>
      </c>
      <c r="M70" s="36" t="str">
        <f t="shared" si="21"/>
        <v>Desempenho Bom</v>
      </c>
      <c r="N70" s="6">
        <f t="shared" ref="N70:P85" si="23">N58</f>
        <v>0.50336729135060976</v>
      </c>
      <c r="O70" s="6">
        <f t="shared" si="23"/>
        <v>1.0150591886201059</v>
      </c>
      <c r="P70" s="6">
        <f t="shared" si="23"/>
        <v>-8.3246059188863963E-3</v>
      </c>
      <c r="Q70" s="75">
        <v>75</v>
      </c>
      <c r="R70" s="76">
        <v>63</v>
      </c>
      <c r="S70" s="6">
        <f t="shared" si="19"/>
        <v>0.84</v>
      </c>
      <c r="T70" s="36" t="str">
        <f t="shared" si="22"/>
        <v>Desempenho Bom</v>
      </c>
      <c r="U70" s="6">
        <f t="shared" si="17"/>
        <v>0.74232771533595698</v>
      </c>
      <c r="V70" s="6">
        <f t="shared" si="17"/>
        <v>1.1540802341555996</v>
      </c>
      <c r="W70" s="6">
        <f t="shared" si="17"/>
        <v>0.33057519651631434</v>
      </c>
      <c r="X70" s="6">
        <f t="shared" si="17"/>
        <v>0.33057519651631434</v>
      </c>
      <c r="Y70" s="6">
        <f t="shared" si="17"/>
        <v>0.41175251881964264</v>
      </c>
    </row>
    <row r="71" spans="1:25" x14ac:dyDescent="0.25">
      <c r="A71" s="7" t="s">
        <v>42</v>
      </c>
      <c r="B71" s="7" t="s">
        <v>167</v>
      </c>
      <c r="C71" s="74">
        <v>75</v>
      </c>
      <c r="D71" s="74">
        <v>82</v>
      </c>
      <c r="E71" s="71">
        <f t="shared" si="18"/>
        <v>1.0933333333333333</v>
      </c>
      <c r="F71" s="65" t="str">
        <f t="shared" si="20"/>
        <v>Desempenho Bom</v>
      </c>
      <c r="G71" s="71">
        <f t="shared" si="9"/>
        <v>0.82061442726694189</v>
      </c>
      <c r="H71" s="71">
        <f t="shared" si="9"/>
        <v>1.2607833515834532</v>
      </c>
      <c r="I71" s="71">
        <f t="shared" si="9"/>
        <v>0.38044550295043061</v>
      </c>
      <c r="J71" s="75">
        <v>70000</v>
      </c>
      <c r="K71" s="75">
        <v>785</v>
      </c>
      <c r="L71" s="6">
        <f>(SUM(K62:K71))/J70</f>
        <v>0.72077142857142862</v>
      </c>
      <c r="M71" s="36" t="str">
        <f t="shared" si="21"/>
        <v>Desempenho Bom</v>
      </c>
      <c r="N71" s="6">
        <f t="shared" si="23"/>
        <v>0.58006775555216661</v>
      </c>
      <c r="O71" s="6">
        <f t="shared" si="23"/>
        <v>1.099948635873619</v>
      </c>
      <c r="P71" s="6">
        <f t="shared" si="23"/>
        <v>6.0186875230714088E-2</v>
      </c>
      <c r="Q71" s="75">
        <v>75</v>
      </c>
      <c r="R71" s="76">
        <v>63</v>
      </c>
      <c r="S71" s="6">
        <f t="shared" si="19"/>
        <v>0.84</v>
      </c>
      <c r="T71" s="36" t="str">
        <f t="shared" si="22"/>
        <v>Desempenho Bom</v>
      </c>
      <c r="U71" s="6">
        <f t="shared" si="17"/>
        <v>0.82347447721763523</v>
      </c>
      <c r="V71" s="6">
        <f t="shared" si="17"/>
        <v>1.2398542522675045</v>
      </c>
      <c r="W71" s="6">
        <f t="shared" si="17"/>
        <v>0.40709470216776611</v>
      </c>
      <c r="X71" s="6">
        <f t="shared" si="17"/>
        <v>0.40709470216776611</v>
      </c>
      <c r="Y71" s="6">
        <f t="shared" si="17"/>
        <v>0.41637977504986912</v>
      </c>
    </row>
    <row r="72" spans="1:25" x14ac:dyDescent="0.25">
      <c r="A72" s="7" t="s">
        <v>42</v>
      </c>
      <c r="B72" s="7" t="s">
        <v>168</v>
      </c>
      <c r="C72" s="74">
        <v>75</v>
      </c>
      <c r="D72" s="74">
        <v>95</v>
      </c>
      <c r="E72" s="71">
        <f t="shared" si="18"/>
        <v>1.2666666666666666</v>
      </c>
      <c r="F72" s="65" t="str">
        <f t="shared" si="20"/>
        <v>Desempenho Bom</v>
      </c>
      <c r="G72" s="71">
        <f t="shared" si="9"/>
        <v>0.94582556715526966</v>
      </c>
      <c r="H72" s="71">
        <f t="shared" si="9"/>
        <v>1.4311117173682604</v>
      </c>
      <c r="I72" s="71">
        <f t="shared" si="9"/>
        <v>0.46053941694227907</v>
      </c>
      <c r="J72" s="75">
        <v>70000</v>
      </c>
      <c r="K72" s="75">
        <v>8390</v>
      </c>
      <c r="L72" s="6">
        <f>(SUM(K62:K72))/J71</f>
        <v>0.84062857142857139</v>
      </c>
      <c r="M72" s="36" t="str">
        <f t="shared" si="21"/>
        <v>Desempenho Bom</v>
      </c>
      <c r="N72" s="6">
        <f t="shared" si="23"/>
        <v>0.72282137340514951</v>
      </c>
      <c r="O72" s="6">
        <f t="shared" si="23"/>
        <v>1.2463651595014014</v>
      </c>
      <c r="P72" s="6">
        <f t="shared" si="23"/>
        <v>0.19927758730889755</v>
      </c>
      <c r="Q72" s="75">
        <v>75</v>
      </c>
      <c r="R72" s="76">
        <v>79</v>
      </c>
      <c r="S72" s="6">
        <f t="shared" si="19"/>
        <v>1.0533333333333332</v>
      </c>
      <c r="T72" s="36" t="str">
        <f t="shared" si="22"/>
        <v>Desempenho Bom</v>
      </c>
      <c r="U72" s="6">
        <f t="shared" si="17"/>
        <v>0.91825333306001944</v>
      </c>
      <c r="V72" s="6">
        <f t="shared" si="17"/>
        <v>1.402047931898428</v>
      </c>
      <c r="W72" s="6">
        <f t="shared" si="17"/>
        <v>0.43445873422161085</v>
      </c>
      <c r="X72" s="6">
        <f t="shared" si="17"/>
        <v>0.43445873422161085</v>
      </c>
      <c r="Y72" s="6">
        <f t="shared" si="17"/>
        <v>0.48379459883840858</v>
      </c>
    </row>
    <row r="73" spans="1:25" x14ac:dyDescent="0.25">
      <c r="A73" s="7" t="s">
        <v>42</v>
      </c>
      <c r="B73" s="7" t="s">
        <v>169</v>
      </c>
      <c r="C73" s="74">
        <v>75</v>
      </c>
      <c r="D73" s="74">
        <v>100</v>
      </c>
      <c r="E73" s="71">
        <f t="shared" si="18"/>
        <v>1.3333333333333333</v>
      </c>
      <c r="F73" s="65" t="str">
        <f t="shared" si="20"/>
        <v>Desempenho Bom</v>
      </c>
      <c r="G73" s="71">
        <f t="shared" si="9"/>
        <v>1.0016849877757958</v>
      </c>
      <c r="H73" s="71">
        <f t="shared" si="9"/>
        <v>1.521489991464148</v>
      </c>
      <c r="I73" s="71">
        <f t="shared" si="9"/>
        <v>0.48187998408744359</v>
      </c>
      <c r="J73" s="75">
        <v>70000</v>
      </c>
      <c r="K73" s="75">
        <v>11295</v>
      </c>
      <c r="L73" s="6">
        <f>(SUM(K62:K73))/J72</f>
        <v>1.0019857142857143</v>
      </c>
      <c r="M73" s="36" t="str">
        <f t="shared" si="21"/>
        <v>Desempenho Bom</v>
      </c>
      <c r="N73" s="6">
        <f t="shared" si="23"/>
        <v>0.82421983567812696</v>
      </c>
      <c r="O73" s="6">
        <f t="shared" si="23"/>
        <v>1.3730394926064369</v>
      </c>
      <c r="P73" s="6">
        <f t="shared" si="23"/>
        <v>0.27540017874981693</v>
      </c>
      <c r="Q73" s="75">
        <v>75</v>
      </c>
      <c r="R73" s="76">
        <v>79</v>
      </c>
      <c r="S73" s="6">
        <f t="shared" si="19"/>
        <v>1.0533333333333332</v>
      </c>
      <c r="T73" s="36" t="str">
        <f t="shared" si="22"/>
        <v>Desempenho Bom</v>
      </c>
      <c r="U73" s="6">
        <f t="shared" si="17"/>
        <v>0.91825333306001944</v>
      </c>
      <c r="V73" s="6">
        <f t="shared" si="17"/>
        <v>1.402047931898428</v>
      </c>
      <c r="W73" s="6">
        <f t="shared" si="17"/>
        <v>0.43445873422161085</v>
      </c>
      <c r="X73" s="6">
        <f t="shared" si="17"/>
        <v>0.43445873422161085</v>
      </c>
      <c r="Y73" s="6">
        <f t="shared" si="17"/>
        <v>0.48379459883840858</v>
      </c>
    </row>
    <row r="74" spans="1:25" x14ac:dyDescent="0.25">
      <c r="A74" s="7" t="s">
        <v>63</v>
      </c>
      <c r="B74" s="7" t="s">
        <v>158</v>
      </c>
      <c r="C74" s="74">
        <v>0</v>
      </c>
      <c r="D74" s="74">
        <v>0</v>
      </c>
      <c r="E74" s="71" t="e">
        <f t="shared" si="18"/>
        <v>#DIV/0!</v>
      </c>
      <c r="F74" s="65" t="e">
        <f t="shared" si="20"/>
        <v>#DIV/0!</v>
      </c>
      <c r="G74" s="71">
        <f t="shared" si="9"/>
        <v>0.11573204891712785</v>
      </c>
      <c r="H74" s="71">
        <f t="shared" si="9"/>
        <v>0.30218524997148988</v>
      </c>
      <c r="I74" s="71">
        <f t="shared" si="9"/>
        <v>-7.0721152137234206E-2</v>
      </c>
      <c r="J74" s="75">
        <v>0</v>
      </c>
      <c r="K74" s="75">
        <v>0</v>
      </c>
      <c r="L74" s="6" t="e">
        <f>K74/J74</f>
        <v>#DIV/0!</v>
      </c>
      <c r="M74" s="36" t="e">
        <f t="shared" si="21"/>
        <v>#DIV/0!</v>
      </c>
      <c r="N74" s="6">
        <f t="shared" si="23"/>
        <v>0.11129468122233216</v>
      </c>
      <c r="O74" s="6">
        <f t="shared" si="23"/>
        <v>0.54990456699293522</v>
      </c>
      <c r="P74" s="6">
        <f t="shared" si="23"/>
        <v>-0.32731520454827095</v>
      </c>
      <c r="Q74" s="75">
        <v>0</v>
      </c>
      <c r="R74" s="76">
        <v>0</v>
      </c>
      <c r="S74" s="6" t="e">
        <f t="shared" si="19"/>
        <v>#DIV/0!</v>
      </c>
      <c r="T74" s="36" t="e">
        <f t="shared" si="22"/>
        <v>#DIV/0!</v>
      </c>
      <c r="U74" s="6">
        <f t="shared" si="17"/>
        <v>6.5053670194766225E-2</v>
      </c>
      <c r="V74" s="6">
        <f t="shared" si="17"/>
        <v>0.16010348962314203</v>
      </c>
      <c r="W74" s="6">
        <f t="shared" si="17"/>
        <v>-2.9996149233609562E-2</v>
      </c>
      <c r="X74" s="6">
        <f t="shared" si="17"/>
        <v>1.7528760480578331E-2</v>
      </c>
      <c r="Y74" s="6">
        <f t="shared" si="17"/>
        <v>9.5049819428375787E-2</v>
      </c>
    </row>
    <row r="75" spans="1:25" x14ac:dyDescent="0.25">
      <c r="A75" s="7" t="s">
        <v>63</v>
      </c>
      <c r="B75" s="7" t="s">
        <v>159</v>
      </c>
      <c r="C75" s="74">
        <v>0</v>
      </c>
      <c r="D75" s="74">
        <v>0</v>
      </c>
      <c r="E75" s="71" t="e">
        <f t="shared" si="18"/>
        <v>#DIV/0!</v>
      </c>
      <c r="F75" s="65" t="e">
        <f t="shared" si="20"/>
        <v>#DIV/0!</v>
      </c>
      <c r="G75" s="71">
        <f t="shared" si="9"/>
        <v>0.22598075676513599</v>
      </c>
      <c r="H75" s="71">
        <f t="shared" si="9"/>
        <v>0.51894873552035481</v>
      </c>
      <c r="I75" s="71">
        <f t="shared" si="9"/>
        <v>-6.6987221990082807E-2</v>
      </c>
      <c r="J75" s="75">
        <v>0</v>
      </c>
      <c r="K75" s="75">
        <v>0</v>
      </c>
      <c r="L75" s="6" t="e">
        <f>(SUM(K74:K75))/J74</f>
        <v>#DIV/0!</v>
      </c>
      <c r="M75" s="36" t="e">
        <f t="shared" si="21"/>
        <v>#DIV/0!</v>
      </c>
      <c r="N75" s="6">
        <f t="shared" si="23"/>
        <v>0.14992070801509372</v>
      </c>
      <c r="O75" s="6">
        <f t="shared" si="23"/>
        <v>0.58968599072326611</v>
      </c>
      <c r="P75" s="6">
        <f t="shared" si="23"/>
        <v>-0.28984457469307867</v>
      </c>
      <c r="Q75" s="75">
        <v>0</v>
      </c>
      <c r="R75" s="76">
        <v>0</v>
      </c>
      <c r="S75" s="6" t="e">
        <f t="shared" si="19"/>
        <v>#DIV/0!</v>
      </c>
      <c r="T75" s="36" t="e">
        <f t="shared" si="22"/>
        <v>#DIV/0!</v>
      </c>
      <c r="U75" s="6">
        <f t="shared" si="17"/>
        <v>6.5053670194766225E-2</v>
      </c>
      <c r="V75" s="6">
        <f t="shared" si="17"/>
        <v>0.16010348962314203</v>
      </c>
      <c r="W75" s="6">
        <f t="shared" si="17"/>
        <v>-2.9996149233609562E-2</v>
      </c>
      <c r="X75" s="6">
        <f t="shared" si="17"/>
        <v>1.7528760480578331E-2</v>
      </c>
      <c r="Y75" s="6">
        <f t="shared" si="17"/>
        <v>9.5049819428375787E-2</v>
      </c>
    </row>
    <row r="76" spans="1:25" x14ac:dyDescent="0.25">
      <c r="A76" s="7" t="s">
        <v>63</v>
      </c>
      <c r="B76" s="7" t="s">
        <v>160</v>
      </c>
      <c r="C76" s="74">
        <v>0</v>
      </c>
      <c r="D76" s="74">
        <v>19</v>
      </c>
      <c r="E76" s="71" t="e">
        <f t="shared" si="18"/>
        <v>#DIV/0!</v>
      </c>
      <c r="F76" s="65" t="e">
        <f t="shared" si="20"/>
        <v>#DIV/0!</v>
      </c>
      <c r="G76" s="71">
        <f t="shared" si="9"/>
        <v>0.2827891266215985</v>
      </c>
      <c r="H76" s="71">
        <f t="shared" si="9"/>
        <v>0.59134445337262298</v>
      </c>
      <c r="I76" s="71">
        <f t="shared" si="9"/>
        <v>-2.5766200129425987E-2</v>
      </c>
      <c r="J76" s="75">
        <v>0</v>
      </c>
      <c r="K76" s="75">
        <v>0</v>
      </c>
      <c r="L76" s="6" t="e">
        <f>(SUM(K74:K76))/J75</f>
        <v>#DIV/0!</v>
      </c>
      <c r="M76" s="36" t="e">
        <f t="shared" si="21"/>
        <v>#DIV/0!</v>
      </c>
      <c r="N76" s="6">
        <f t="shared" si="23"/>
        <v>0.17723994755342617</v>
      </c>
      <c r="O76" s="6">
        <f t="shared" si="23"/>
        <v>0.61473682715667155</v>
      </c>
      <c r="P76" s="6">
        <f t="shared" si="23"/>
        <v>-0.26025693204981915</v>
      </c>
      <c r="Q76" s="75">
        <v>0</v>
      </c>
      <c r="R76" s="76">
        <v>0</v>
      </c>
      <c r="S76" s="6" t="e">
        <f t="shared" si="19"/>
        <v>#DIV/0!</v>
      </c>
      <c r="T76" s="36" t="e">
        <f t="shared" si="22"/>
        <v>#DIV/0!</v>
      </c>
      <c r="U76" s="6">
        <f t="shared" si="17"/>
        <v>0.18401218302179842</v>
      </c>
      <c r="V76" s="6">
        <f t="shared" si="17"/>
        <v>0.37883088095577799</v>
      </c>
      <c r="W76" s="6">
        <f t="shared" si="17"/>
        <v>-1.0806514912181153E-2</v>
      </c>
      <c r="X76" s="6">
        <f t="shared" si="17"/>
        <v>8.6602834054808633E-2</v>
      </c>
      <c r="Y76" s="6">
        <f t="shared" si="17"/>
        <v>0.19481869793397957</v>
      </c>
    </row>
    <row r="77" spans="1:25" x14ac:dyDescent="0.25">
      <c r="A77" s="7" t="s">
        <v>63</v>
      </c>
      <c r="B77" s="7" t="s">
        <v>161</v>
      </c>
      <c r="C77" s="74">
        <v>0</v>
      </c>
      <c r="D77" s="74">
        <v>19</v>
      </c>
      <c r="E77" s="71" t="e">
        <f t="shared" si="18"/>
        <v>#DIV/0!</v>
      </c>
      <c r="F77" s="65" t="e">
        <f t="shared" si="20"/>
        <v>#DIV/0!</v>
      </c>
      <c r="G77" s="71">
        <f t="shared" si="9"/>
        <v>0.36222496935690102</v>
      </c>
      <c r="H77" s="71">
        <f t="shared" si="9"/>
        <v>0.67917151968337719</v>
      </c>
      <c r="I77" s="71">
        <f t="shared" si="9"/>
        <v>4.5278419030424844E-2</v>
      </c>
      <c r="J77" s="75">
        <v>0</v>
      </c>
      <c r="K77" s="75">
        <v>0</v>
      </c>
      <c r="L77" s="6" t="e">
        <f>(SUM(K74:K77))/J76</f>
        <v>#DIV/0!</v>
      </c>
      <c r="M77" s="36" t="e">
        <f t="shared" si="21"/>
        <v>#DIV/0!</v>
      </c>
      <c r="N77" s="6">
        <f t="shared" si="23"/>
        <v>0.2271654986777647</v>
      </c>
      <c r="O77" s="6">
        <f t="shared" si="23"/>
        <v>0.71582389712396544</v>
      </c>
      <c r="P77" s="6">
        <f t="shared" si="23"/>
        <v>-0.26149289976843598</v>
      </c>
      <c r="Q77" s="75">
        <v>0</v>
      </c>
      <c r="R77" s="76">
        <v>0</v>
      </c>
      <c r="S77" s="6" t="e">
        <f t="shared" si="19"/>
        <v>#DIV/0!</v>
      </c>
      <c r="T77" s="36" t="e">
        <f t="shared" si="22"/>
        <v>#DIV/0!</v>
      </c>
      <c r="U77" s="6">
        <f t="shared" si="17"/>
        <v>0.18401218302179842</v>
      </c>
      <c r="V77" s="6">
        <f t="shared" si="17"/>
        <v>0.37883088095577799</v>
      </c>
      <c r="W77" s="6">
        <f t="shared" si="17"/>
        <v>-1.0806514912181153E-2</v>
      </c>
      <c r="X77" s="6">
        <f t="shared" si="17"/>
        <v>8.6602834054808633E-2</v>
      </c>
      <c r="Y77" s="6">
        <f t="shared" si="17"/>
        <v>0.19481869793397957</v>
      </c>
    </row>
    <row r="78" spans="1:25" x14ac:dyDescent="0.25">
      <c r="A78" s="7" t="s">
        <v>63</v>
      </c>
      <c r="B78" s="7" t="s">
        <v>162</v>
      </c>
      <c r="C78" s="74">
        <v>0</v>
      </c>
      <c r="D78" s="74">
        <v>19</v>
      </c>
      <c r="E78" s="71" t="e">
        <f t="shared" si="18"/>
        <v>#DIV/0!</v>
      </c>
      <c r="F78" s="65" t="e">
        <f t="shared" si="20"/>
        <v>#DIV/0!</v>
      </c>
      <c r="G78" s="71">
        <f t="shared" si="9"/>
        <v>0.44825178806664662</v>
      </c>
      <c r="H78" s="71">
        <f t="shared" si="9"/>
        <v>0.78548221403733831</v>
      </c>
      <c r="I78" s="71">
        <f t="shared" si="9"/>
        <v>0.11102136209595498</v>
      </c>
      <c r="J78" s="75">
        <v>0</v>
      </c>
      <c r="K78" s="75">
        <v>0</v>
      </c>
      <c r="L78" s="6" t="e">
        <f>(SUM(K74:K78))/J77</f>
        <v>#DIV/0!</v>
      </c>
      <c r="M78" s="36" t="e">
        <f t="shared" si="21"/>
        <v>#DIV/0!</v>
      </c>
      <c r="N78" s="6">
        <f t="shared" si="23"/>
        <v>0.27284258705105507</v>
      </c>
      <c r="O78" s="6">
        <f t="shared" si="23"/>
        <v>0.75981161093062477</v>
      </c>
      <c r="P78" s="6">
        <f t="shared" si="23"/>
        <v>-0.21412643682851468</v>
      </c>
      <c r="Q78" s="75">
        <v>0</v>
      </c>
      <c r="R78" s="76">
        <v>13</v>
      </c>
      <c r="S78" s="6" t="e">
        <f t="shared" si="19"/>
        <v>#DIV/0!</v>
      </c>
      <c r="T78" s="36" t="e">
        <f t="shared" si="22"/>
        <v>#DIV/0!</v>
      </c>
      <c r="U78" s="6">
        <f t="shared" si="17"/>
        <v>0.23278475191631845</v>
      </c>
      <c r="V78" s="6">
        <f t="shared" si="17"/>
        <v>0.51017789992422413</v>
      </c>
      <c r="W78" s="6">
        <f t="shared" si="17"/>
        <v>-4.460839609158726E-2</v>
      </c>
      <c r="X78" s="6">
        <f t="shared" si="17"/>
        <v>9.4088177912365595E-2</v>
      </c>
      <c r="Y78" s="6">
        <f t="shared" si="17"/>
        <v>0.27739314800790571</v>
      </c>
    </row>
    <row r="79" spans="1:25" x14ac:dyDescent="0.25">
      <c r="A79" s="7" t="s">
        <v>63</v>
      </c>
      <c r="B79" s="7" t="s">
        <v>163</v>
      </c>
      <c r="C79" s="74">
        <v>0</v>
      </c>
      <c r="D79" s="74">
        <v>38</v>
      </c>
      <c r="E79" s="71" t="e">
        <f t="shared" si="18"/>
        <v>#DIV/0!</v>
      </c>
      <c r="F79" s="65" t="e">
        <f t="shared" si="20"/>
        <v>#DIV/0!</v>
      </c>
      <c r="G79" s="71">
        <f t="shared" ref="G79:I142" si="24">G67</f>
        <v>0.54231176602906361</v>
      </c>
      <c r="H79" s="71">
        <f t="shared" si="24"/>
        <v>0.92735502699565786</v>
      </c>
      <c r="I79" s="71">
        <f t="shared" si="24"/>
        <v>0.15726850506246942</v>
      </c>
      <c r="J79" s="75">
        <v>0</v>
      </c>
      <c r="K79" s="75">
        <v>1578.8</v>
      </c>
      <c r="L79" s="6" t="e">
        <f>(SUM(K74:K79))/J78</f>
        <v>#DIV/0!</v>
      </c>
      <c r="M79" s="36" t="e">
        <f t="shared" si="21"/>
        <v>#DIV/0!</v>
      </c>
      <c r="N79" s="6">
        <f t="shared" si="23"/>
        <v>0.31451673641638933</v>
      </c>
      <c r="O79" s="6">
        <f t="shared" si="23"/>
        <v>0.80702132782766356</v>
      </c>
      <c r="P79" s="6">
        <f t="shared" si="23"/>
        <v>-0.1779878549948849</v>
      </c>
      <c r="Q79" s="75">
        <v>0</v>
      </c>
      <c r="R79" s="76">
        <v>13</v>
      </c>
      <c r="S79" s="6" t="e">
        <f t="shared" si="19"/>
        <v>#DIV/0!</v>
      </c>
      <c r="T79" s="36" t="e">
        <f t="shared" si="22"/>
        <v>#DIV/0!</v>
      </c>
      <c r="U79" s="6">
        <f t="shared" ref="U79:Y94" si="25">U67</f>
        <v>0.46105014853915682</v>
      </c>
      <c r="V79" s="6">
        <f t="shared" si="25"/>
        <v>0.84756736419379908</v>
      </c>
      <c r="W79" s="6">
        <f t="shared" si="25"/>
        <v>7.4532932884514569E-2</v>
      </c>
      <c r="X79" s="6">
        <f t="shared" si="25"/>
        <v>7.4532932884514569E-2</v>
      </c>
      <c r="Y79" s="6">
        <f t="shared" si="25"/>
        <v>0.38651721565464225</v>
      </c>
    </row>
    <row r="80" spans="1:25" x14ac:dyDescent="0.25">
      <c r="A80" s="7" t="s">
        <v>63</v>
      </c>
      <c r="B80" s="7" t="s">
        <v>164</v>
      </c>
      <c r="C80" s="74">
        <v>0</v>
      </c>
      <c r="D80" s="74">
        <v>38</v>
      </c>
      <c r="E80" s="71" t="e">
        <f t="shared" si="18"/>
        <v>#DIV/0!</v>
      </c>
      <c r="F80" s="65" t="e">
        <f t="shared" si="20"/>
        <v>#DIV/0!</v>
      </c>
      <c r="G80" s="71">
        <f t="shared" si="24"/>
        <v>0.63634637719050002</v>
      </c>
      <c r="H80" s="71">
        <f t="shared" si="24"/>
        <v>1.0512878703900039</v>
      </c>
      <c r="I80" s="71">
        <f t="shared" si="24"/>
        <v>0.22140488399099606</v>
      </c>
      <c r="J80" s="75">
        <v>0</v>
      </c>
      <c r="K80" s="75">
        <v>0</v>
      </c>
      <c r="L80" s="6" t="e">
        <f>(SUM(K74:K80))/J79</f>
        <v>#DIV/0!</v>
      </c>
      <c r="M80" s="36" t="e">
        <f t="shared" si="21"/>
        <v>#DIV/0!</v>
      </c>
      <c r="N80" s="6">
        <f t="shared" si="23"/>
        <v>0.38334713342809434</v>
      </c>
      <c r="O80" s="6">
        <f t="shared" si="23"/>
        <v>0.88375935483946089</v>
      </c>
      <c r="P80" s="6">
        <f t="shared" si="23"/>
        <v>-0.1170650879832722</v>
      </c>
      <c r="Q80" s="75">
        <v>0</v>
      </c>
      <c r="R80" s="76">
        <v>13</v>
      </c>
      <c r="S80" s="6" t="e">
        <f t="shared" si="19"/>
        <v>#DIV/0!</v>
      </c>
      <c r="T80" s="36" t="e">
        <f t="shared" si="22"/>
        <v>#DIV/0!</v>
      </c>
      <c r="U80" s="6">
        <f t="shared" si="25"/>
        <v>0.46105014853915682</v>
      </c>
      <c r="V80" s="6">
        <f t="shared" si="25"/>
        <v>0.84756736419379908</v>
      </c>
      <c r="W80" s="6">
        <f t="shared" si="25"/>
        <v>7.4532932884514569E-2</v>
      </c>
      <c r="X80" s="6">
        <f t="shared" si="25"/>
        <v>7.4532932884514569E-2</v>
      </c>
      <c r="Y80" s="6">
        <f t="shared" si="25"/>
        <v>0.38651721565464225</v>
      </c>
    </row>
    <row r="81" spans="1:25" x14ac:dyDescent="0.25">
      <c r="A81" s="7" t="s">
        <v>63</v>
      </c>
      <c r="B81" s="7" t="s">
        <v>165</v>
      </c>
      <c r="C81" s="74">
        <v>0</v>
      </c>
      <c r="D81" s="74">
        <v>38</v>
      </c>
      <c r="E81" s="71" t="e">
        <f t="shared" si="18"/>
        <v>#DIV/0!</v>
      </c>
      <c r="F81" s="65" t="e">
        <f t="shared" si="20"/>
        <v>#DIV/0!</v>
      </c>
      <c r="G81" s="71">
        <f t="shared" si="24"/>
        <v>0.70660866675940681</v>
      </c>
      <c r="H81" s="71">
        <f t="shared" si="24"/>
        <v>1.1341225514190425</v>
      </c>
      <c r="I81" s="71">
        <f t="shared" si="24"/>
        <v>0.27909478209977112</v>
      </c>
      <c r="J81" s="75">
        <v>0</v>
      </c>
      <c r="K81" s="75">
        <v>0</v>
      </c>
      <c r="L81" s="6" t="e">
        <f>(SUM(K74:K81))/J80</f>
        <v>#DIV/0!</v>
      </c>
      <c r="M81" s="36" t="e">
        <f t="shared" si="21"/>
        <v>#DIV/0!</v>
      </c>
      <c r="N81" s="6">
        <f t="shared" si="23"/>
        <v>0.45719521320533213</v>
      </c>
      <c r="O81" s="6">
        <f t="shared" si="23"/>
        <v>0.97356755068321044</v>
      </c>
      <c r="P81" s="6">
        <f t="shared" si="23"/>
        <v>-5.9177124272546122E-2</v>
      </c>
      <c r="Q81" s="75">
        <v>0</v>
      </c>
      <c r="R81" s="76">
        <v>13</v>
      </c>
      <c r="S81" s="6" t="e">
        <f t="shared" si="19"/>
        <v>#DIV/0!</v>
      </c>
      <c r="T81" s="36" t="e">
        <f t="shared" si="22"/>
        <v>#DIV/0!</v>
      </c>
      <c r="U81" s="6">
        <f t="shared" si="25"/>
        <v>0.46105014853915682</v>
      </c>
      <c r="V81" s="6">
        <f t="shared" si="25"/>
        <v>0.84756736419379908</v>
      </c>
      <c r="W81" s="6">
        <f t="shared" si="25"/>
        <v>7.4532932884514569E-2</v>
      </c>
      <c r="X81" s="6">
        <f t="shared" si="25"/>
        <v>7.4532932884514569E-2</v>
      </c>
      <c r="Y81" s="6">
        <f t="shared" si="25"/>
        <v>0.38651721565464225</v>
      </c>
    </row>
    <row r="82" spans="1:25" x14ac:dyDescent="0.25">
      <c r="A82" s="7" t="s">
        <v>63</v>
      </c>
      <c r="B82" s="7" t="s">
        <v>166</v>
      </c>
      <c r="C82" s="74">
        <v>0</v>
      </c>
      <c r="D82" s="74">
        <v>38</v>
      </c>
      <c r="E82" s="71" t="e">
        <f t="shared" si="18"/>
        <v>#DIV/0!</v>
      </c>
      <c r="F82" s="65" t="e">
        <f t="shared" si="20"/>
        <v>#DIV/0!</v>
      </c>
      <c r="G82" s="71">
        <f t="shared" si="24"/>
        <v>0.73663014244586189</v>
      </c>
      <c r="H82" s="71">
        <f t="shared" si="24"/>
        <v>1.1737360935948695</v>
      </c>
      <c r="I82" s="71">
        <f t="shared" si="24"/>
        <v>0.29952419129685426</v>
      </c>
      <c r="J82" s="75">
        <v>0</v>
      </c>
      <c r="K82" s="75">
        <v>0</v>
      </c>
      <c r="L82" s="6" t="e">
        <f>(SUM(K74:K82))/J81</f>
        <v>#DIV/0!</v>
      </c>
      <c r="M82" s="36" t="e">
        <f t="shared" si="21"/>
        <v>#DIV/0!</v>
      </c>
      <c r="N82" s="6">
        <f t="shared" si="23"/>
        <v>0.50336729135060976</v>
      </c>
      <c r="O82" s="6">
        <f t="shared" si="23"/>
        <v>1.0150591886201059</v>
      </c>
      <c r="P82" s="6">
        <f t="shared" si="23"/>
        <v>-8.3246059188863963E-3</v>
      </c>
      <c r="Q82" s="75">
        <v>0</v>
      </c>
      <c r="R82" s="76">
        <v>25</v>
      </c>
      <c r="S82" s="6" t="e">
        <f t="shared" si="19"/>
        <v>#DIV/0!</v>
      </c>
      <c r="T82" s="36" t="e">
        <f t="shared" si="22"/>
        <v>#DIV/0!</v>
      </c>
      <c r="U82" s="6">
        <f t="shared" si="25"/>
        <v>0.74232771533595698</v>
      </c>
      <c r="V82" s="6">
        <f t="shared" si="25"/>
        <v>1.1540802341555996</v>
      </c>
      <c r="W82" s="6">
        <f t="shared" si="25"/>
        <v>0.33057519651631434</v>
      </c>
      <c r="X82" s="6">
        <f t="shared" si="25"/>
        <v>0.33057519651631434</v>
      </c>
      <c r="Y82" s="6">
        <f t="shared" si="25"/>
        <v>0.41175251881964264</v>
      </c>
    </row>
    <row r="83" spans="1:25" x14ac:dyDescent="0.25">
      <c r="A83" s="7" t="s">
        <v>63</v>
      </c>
      <c r="B83" s="7" t="s">
        <v>167</v>
      </c>
      <c r="C83" s="74">
        <v>0</v>
      </c>
      <c r="D83" s="74">
        <v>38</v>
      </c>
      <c r="E83" s="71" t="e">
        <f t="shared" si="18"/>
        <v>#DIV/0!</v>
      </c>
      <c r="F83" s="65" t="e">
        <f t="shared" si="20"/>
        <v>#DIV/0!</v>
      </c>
      <c r="G83" s="71">
        <f t="shared" si="24"/>
        <v>0.82061442726694189</v>
      </c>
      <c r="H83" s="71">
        <f t="shared" si="24"/>
        <v>1.2607833515834532</v>
      </c>
      <c r="I83" s="71">
        <f t="shared" si="24"/>
        <v>0.38044550295043061</v>
      </c>
      <c r="J83" s="75">
        <v>0</v>
      </c>
      <c r="K83" s="75">
        <v>0</v>
      </c>
      <c r="L83" s="6" t="e">
        <f>(SUM(K74:K83))/J82</f>
        <v>#DIV/0!</v>
      </c>
      <c r="M83" s="36" t="e">
        <f t="shared" si="21"/>
        <v>#DIV/0!</v>
      </c>
      <c r="N83" s="6">
        <f t="shared" si="23"/>
        <v>0.58006775555216661</v>
      </c>
      <c r="O83" s="6">
        <f t="shared" si="23"/>
        <v>1.099948635873619</v>
      </c>
      <c r="P83" s="6">
        <f t="shared" si="23"/>
        <v>6.0186875230714088E-2</v>
      </c>
      <c r="Q83" s="75">
        <v>0</v>
      </c>
      <c r="R83" s="76">
        <v>25</v>
      </c>
      <c r="S83" s="6" t="e">
        <f t="shared" si="19"/>
        <v>#DIV/0!</v>
      </c>
      <c r="T83" s="36" t="e">
        <f t="shared" si="22"/>
        <v>#DIV/0!</v>
      </c>
      <c r="U83" s="6">
        <f t="shared" si="25"/>
        <v>0.82347447721763523</v>
      </c>
      <c r="V83" s="6">
        <f t="shared" si="25"/>
        <v>1.2398542522675045</v>
      </c>
      <c r="W83" s="6">
        <f t="shared" si="25"/>
        <v>0.40709470216776611</v>
      </c>
      <c r="X83" s="6">
        <f t="shared" si="25"/>
        <v>0.40709470216776611</v>
      </c>
      <c r="Y83" s="6">
        <f t="shared" si="25"/>
        <v>0.41637977504986912</v>
      </c>
    </row>
    <row r="84" spans="1:25" x14ac:dyDescent="0.25">
      <c r="A84" s="7" t="s">
        <v>63</v>
      </c>
      <c r="B84" s="7" t="s">
        <v>168</v>
      </c>
      <c r="C84" s="74">
        <v>0</v>
      </c>
      <c r="D84" s="74">
        <v>38</v>
      </c>
      <c r="E84" s="71" t="e">
        <f t="shared" si="18"/>
        <v>#DIV/0!</v>
      </c>
      <c r="F84" s="65" t="e">
        <f t="shared" si="20"/>
        <v>#DIV/0!</v>
      </c>
      <c r="G84" s="71">
        <f t="shared" si="24"/>
        <v>0.94582556715526966</v>
      </c>
      <c r="H84" s="71">
        <f t="shared" si="24"/>
        <v>1.4311117173682604</v>
      </c>
      <c r="I84" s="71">
        <f t="shared" si="24"/>
        <v>0.46053941694227907</v>
      </c>
      <c r="J84" s="75">
        <v>0</v>
      </c>
      <c r="K84" s="75">
        <v>0</v>
      </c>
      <c r="L84" s="6" t="e">
        <f>(SUM(K74:K84))/J83</f>
        <v>#DIV/0!</v>
      </c>
      <c r="M84" s="36" t="e">
        <f t="shared" si="21"/>
        <v>#DIV/0!</v>
      </c>
      <c r="N84" s="6">
        <f t="shared" si="23"/>
        <v>0.72282137340514951</v>
      </c>
      <c r="O84" s="6">
        <f t="shared" si="23"/>
        <v>1.2463651595014014</v>
      </c>
      <c r="P84" s="6">
        <f t="shared" si="23"/>
        <v>0.19927758730889755</v>
      </c>
      <c r="Q84" s="75">
        <v>0</v>
      </c>
      <c r="R84" s="76">
        <v>25</v>
      </c>
      <c r="S84" s="6" t="e">
        <f t="shared" si="19"/>
        <v>#DIV/0!</v>
      </c>
      <c r="T84" s="36" t="e">
        <f t="shared" si="22"/>
        <v>#DIV/0!</v>
      </c>
      <c r="U84" s="6">
        <f t="shared" si="25"/>
        <v>0.91825333306001944</v>
      </c>
      <c r="V84" s="6">
        <f t="shared" si="25"/>
        <v>1.402047931898428</v>
      </c>
      <c r="W84" s="6">
        <f t="shared" si="25"/>
        <v>0.43445873422161085</v>
      </c>
      <c r="X84" s="6">
        <f t="shared" si="25"/>
        <v>0.43445873422161085</v>
      </c>
      <c r="Y84" s="6">
        <f t="shared" si="25"/>
        <v>0.48379459883840858</v>
      </c>
    </row>
    <row r="85" spans="1:25" x14ac:dyDescent="0.25">
      <c r="A85" s="7" t="s">
        <v>63</v>
      </c>
      <c r="B85" s="7" t="s">
        <v>169</v>
      </c>
      <c r="C85" s="74">
        <v>0</v>
      </c>
      <c r="D85" s="74">
        <v>38</v>
      </c>
      <c r="E85" s="71" t="e">
        <f t="shared" si="18"/>
        <v>#DIV/0!</v>
      </c>
      <c r="F85" s="65" t="e">
        <f t="shared" si="20"/>
        <v>#DIV/0!</v>
      </c>
      <c r="G85" s="71">
        <f t="shared" si="24"/>
        <v>1.0016849877757958</v>
      </c>
      <c r="H85" s="71">
        <f t="shared" si="24"/>
        <v>1.521489991464148</v>
      </c>
      <c r="I85" s="71">
        <f t="shared" si="24"/>
        <v>0.48187998408744359</v>
      </c>
      <c r="J85" s="75">
        <v>0</v>
      </c>
      <c r="K85" s="75">
        <v>0</v>
      </c>
      <c r="L85" s="6" t="e">
        <f>(SUM(K74:K85))/J84</f>
        <v>#DIV/0!</v>
      </c>
      <c r="M85" s="36" t="e">
        <f t="shared" si="21"/>
        <v>#DIV/0!</v>
      </c>
      <c r="N85" s="6">
        <f t="shared" si="23"/>
        <v>0.82421983567812696</v>
      </c>
      <c r="O85" s="6">
        <f t="shared" si="23"/>
        <v>1.3730394926064369</v>
      </c>
      <c r="P85" s="6">
        <f t="shared" si="23"/>
        <v>0.27540017874981693</v>
      </c>
      <c r="Q85" s="75">
        <v>0</v>
      </c>
      <c r="R85" s="76">
        <v>25</v>
      </c>
      <c r="S85" s="6" t="e">
        <f t="shared" si="19"/>
        <v>#DIV/0!</v>
      </c>
      <c r="T85" s="36" t="e">
        <f t="shared" si="22"/>
        <v>#DIV/0!</v>
      </c>
      <c r="U85" s="6">
        <f t="shared" si="25"/>
        <v>0.91825333306001944</v>
      </c>
      <c r="V85" s="6">
        <f t="shared" si="25"/>
        <v>1.402047931898428</v>
      </c>
      <c r="W85" s="6">
        <f t="shared" si="25"/>
        <v>0.43445873422161085</v>
      </c>
      <c r="X85" s="6">
        <f t="shared" si="25"/>
        <v>0.43445873422161085</v>
      </c>
      <c r="Y85" s="6">
        <f t="shared" si="25"/>
        <v>0.48379459883840858</v>
      </c>
    </row>
    <row r="86" spans="1:25" x14ac:dyDescent="0.25">
      <c r="A86" s="7" t="s">
        <v>120</v>
      </c>
      <c r="B86" s="7" t="s">
        <v>158</v>
      </c>
      <c r="C86" s="74">
        <v>75</v>
      </c>
      <c r="D86" s="74">
        <v>0</v>
      </c>
      <c r="E86" s="71">
        <f t="shared" si="18"/>
        <v>0</v>
      </c>
      <c r="F86" s="65" t="str">
        <f t="shared" si="20"/>
        <v>Desempenho Médio</v>
      </c>
      <c r="G86" s="71">
        <f t="shared" si="24"/>
        <v>0.11573204891712785</v>
      </c>
      <c r="H86" s="71">
        <f t="shared" si="24"/>
        <v>0.30218524997148988</v>
      </c>
      <c r="I86" s="71">
        <f t="shared" si="24"/>
        <v>-7.0721152137234206E-2</v>
      </c>
      <c r="J86" s="75">
        <v>83119.850000000006</v>
      </c>
      <c r="K86" s="75">
        <v>5349.9</v>
      </c>
      <c r="L86" s="6">
        <f>K86/J86</f>
        <v>6.4363686893082694E-2</v>
      </c>
      <c r="M86" s="36" t="str">
        <f t="shared" si="21"/>
        <v>Desempenho Médio</v>
      </c>
      <c r="N86" s="6">
        <f t="shared" ref="N86:P101" si="26">N74</f>
        <v>0.11129468122233216</v>
      </c>
      <c r="O86" s="6">
        <f t="shared" si="26"/>
        <v>0.54990456699293522</v>
      </c>
      <c r="P86" s="6">
        <f t="shared" si="26"/>
        <v>-0.32731520454827095</v>
      </c>
      <c r="Q86" s="75">
        <v>77</v>
      </c>
      <c r="R86" s="76">
        <v>0</v>
      </c>
      <c r="S86" s="6">
        <f t="shared" si="19"/>
        <v>0</v>
      </c>
      <c r="T86" s="36" t="str">
        <f t="shared" si="22"/>
        <v>Desempenho Médio</v>
      </c>
      <c r="U86" s="6">
        <f t="shared" si="25"/>
        <v>6.5053670194766225E-2</v>
      </c>
      <c r="V86" s="6">
        <f t="shared" si="25"/>
        <v>0.16010348962314203</v>
      </c>
      <c r="W86" s="6">
        <f t="shared" si="25"/>
        <v>-2.9996149233609562E-2</v>
      </c>
      <c r="X86" s="6">
        <f t="shared" si="25"/>
        <v>1.7528760480578331E-2</v>
      </c>
      <c r="Y86" s="6">
        <f t="shared" si="25"/>
        <v>9.5049819428375787E-2</v>
      </c>
    </row>
    <row r="87" spans="1:25" x14ac:dyDescent="0.25">
      <c r="A87" s="7" t="s">
        <v>120</v>
      </c>
      <c r="B87" s="7" t="s">
        <v>159</v>
      </c>
      <c r="C87" s="74">
        <v>75</v>
      </c>
      <c r="D87" s="74">
        <v>0</v>
      </c>
      <c r="E87" s="71">
        <f t="shared" si="18"/>
        <v>0</v>
      </c>
      <c r="F87" s="65" t="str">
        <f t="shared" si="20"/>
        <v>Desempenho Médio</v>
      </c>
      <c r="G87" s="71">
        <f t="shared" si="24"/>
        <v>0.22598075676513599</v>
      </c>
      <c r="H87" s="71">
        <f t="shared" si="24"/>
        <v>0.51894873552035481</v>
      </c>
      <c r="I87" s="71">
        <f t="shared" si="24"/>
        <v>-6.6987221990082807E-2</v>
      </c>
      <c r="J87" s="75">
        <v>83119.850000000006</v>
      </c>
      <c r="K87" s="75">
        <v>0</v>
      </c>
      <c r="L87" s="6">
        <f>(SUM(K86:K87))/J86</f>
        <v>6.4363686893082694E-2</v>
      </c>
      <c r="M87" s="36" t="str">
        <f t="shared" si="21"/>
        <v>Desempenho Médio</v>
      </c>
      <c r="N87" s="6">
        <f t="shared" si="26"/>
        <v>0.14992070801509372</v>
      </c>
      <c r="O87" s="6">
        <f t="shared" si="26"/>
        <v>0.58968599072326611</v>
      </c>
      <c r="P87" s="6">
        <f t="shared" si="26"/>
        <v>-0.28984457469307867</v>
      </c>
      <c r="Q87" s="75">
        <v>77</v>
      </c>
      <c r="R87" s="76">
        <v>0</v>
      </c>
      <c r="S87" s="6">
        <f t="shared" si="19"/>
        <v>0</v>
      </c>
      <c r="T87" s="36" t="str">
        <f t="shared" si="22"/>
        <v>Desempenho Médio</v>
      </c>
      <c r="U87" s="6">
        <f t="shared" si="25"/>
        <v>6.5053670194766225E-2</v>
      </c>
      <c r="V87" s="6">
        <f t="shared" si="25"/>
        <v>0.16010348962314203</v>
      </c>
      <c r="W87" s="6">
        <f t="shared" si="25"/>
        <v>-2.9996149233609562E-2</v>
      </c>
      <c r="X87" s="6">
        <f t="shared" si="25"/>
        <v>1.7528760480578331E-2</v>
      </c>
      <c r="Y87" s="6">
        <f t="shared" si="25"/>
        <v>9.5049819428375787E-2</v>
      </c>
    </row>
    <row r="88" spans="1:25" x14ac:dyDescent="0.25">
      <c r="A88" s="7" t="s">
        <v>120</v>
      </c>
      <c r="B88" s="7" t="s">
        <v>160</v>
      </c>
      <c r="C88" s="74">
        <v>75</v>
      </c>
      <c r="D88" s="74">
        <v>0</v>
      </c>
      <c r="E88" s="71">
        <f t="shared" si="18"/>
        <v>0</v>
      </c>
      <c r="F88" s="65" t="str">
        <f t="shared" si="20"/>
        <v>Desempenho Médio</v>
      </c>
      <c r="G88" s="71">
        <f t="shared" si="24"/>
        <v>0.2827891266215985</v>
      </c>
      <c r="H88" s="71">
        <f t="shared" si="24"/>
        <v>0.59134445337262298</v>
      </c>
      <c r="I88" s="71">
        <f t="shared" si="24"/>
        <v>-2.5766200129425987E-2</v>
      </c>
      <c r="J88" s="75">
        <v>83119.850000000006</v>
      </c>
      <c r="K88" s="75">
        <v>4662.68</v>
      </c>
      <c r="L88" s="6">
        <f>(SUM(K86:K88))/J87</f>
        <v>0.12045955328360192</v>
      </c>
      <c r="M88" s="36" t="str">
        <f t="shared" si="21"/>
        <v>Desempenho Médio</v>
      </c>
      <c r="N88" s="6">
        <f t="shared" si="26"/>
        <v>0.17723994755342617</v>
      </c>
      <c r="O88" s="6">
        <f t="shared" si="26"/>
        <v>0.61473682715667155</v>
      </c>
      <c r="P88" s="6">
        <f t="shared" si="26"/>
        <v>-0.26025693204981915</v>
      </c>
      <c r="Q88" s="75">
        <v>77</v>
      </c>
      <c r="R88" s="76">
        <v>0</v>
      </c>
      <c r="S88" s="6">
        <f t="shared" si="19"/>
        <v>0</v>
      </c>
      <c r="T88" s="36" t="str">
        <f t="shared" si="22"/>
        <v>Desempenho Médio</v>
      </c>
      <c r="U88" s="6">
        <f t="shared" si="25"/>
        <v>0.18401218302179842</v>
      </c>
      <c r="V88" s="6">
        <f t="shared" si="25"/>
        <v>0.37883088095577799</v>
      </c>
      <c r="W88" s="6">
        <f t="shared" si="25"/>
        <v>-1.0806514912181153E-2</v>
      </c>
      <c r="X88" s="6">
        <f t="shared" si="25"/>
        <v>8.6602834054808633E-2</v>
      </c>
      <c r="Y88" s="6">
        <f t="shared" si="25"/>
        <v>0.19481869793397957</v>
      </c>
    </row>
    <row r="89" spans="1:25" x14ac:dyDescent="0.25">
      <c r="A89" s="7" t="s">
        <v>120</v>
      </c>
      <c r="B89" s="7" t="s">
        <v>161</v>
      </c>
      <c r="C89" s="74">
        <v>75</v>
      </c>
      <c r="D89" s="74">
        <v>0</v>
      </c>
      <c r="E89" s="71">
        <f t="shared" si="18"/>
        <v>0</v>
      </c>
      <c r="F89" s="65" t="str">
        <f t="shared" si="20"/>
        <v>Desempenho Deficitário</v>
      </c>
      <c r="G89" s="71">
        <f t="shared" si="24"/>
        <v>0.36222496935690102</v>
      </c>
      <c r="H89" s="71">
        <f t="shared" si="24"/>
        <v>0.67917151968337719</v>
      </c>
      <c r="I89" s="71">
        <f t="shared" si="24"/>
        <v>4.5278419030424844E-2</v>
      </c>
      <c r="J89" s="75">
        <v>83119.850000000006</v>
      </c>
      <c r="K89" s="75">
        <v>9979.84</v>
      </c>
      <c r="L89" s="6">
        <f>(SUM(K86:K89))/J88</f>
        <v>0.2405252175021971</v>
      </c>
      <c r="M89" s="36" t="str">
        <f t="shared" si="21"/>
        <v>Desempenho Bom</v>
      </c>
      <c r="N89" s="6">
        <f t="shared" si="26"/>
        <v>0.2271654986777647</v>
      </c>
      <c r="O89" s="6">
        <f t="shared" si="26"/>
        <v>0.71582389712396544</v>
      </c>
      <c r="P89" s="6">
        <f t="shared" si="26"/>
        <v>-0.26149289976843598</v>
      </c>
      <c r="Q89" s="75">
        <v>77</v>
      </c>
      <c r="R89" s="76">
        <v>0</v>
      </c>
      <c r="S89" s="6">
        <f t="shared" si="19"/>
        <v>0</v>
      </c>
      <c r="T89" s="36" t="str">
        <f t="shared" si="22"/>
        <v>Desempenho Médio</v>
      </c>
      <c r="U89" s="6">
        <f t="shared" si="25"/>
        <v>0.18401218302179842</v>
      </c>
      <c r="V89" s="6">
        <f t="shared" si="25"/>
        <v>0.37883088095577799</v>
      </c>
      <c r="W89" s="6">
        <f t="shared" si="25"/>
        <v>-1.0806514912181153E-2</v>
      </c>
      <c r="X89" s="6">
        <f t="shared" si="25"/>
        <v>8.6602834054808633E-2</v>
      </c>
      <c r="Y89" s="6">
        <f t="shared" si="25"/>
        <v>0.19481869793397957</v>
      </c>
    </row>
    <row r="90" spans="1:25" x14ac:dyDescent="0.25">
      <c r="A90" s="7" t="s">
        <v>120</v>
      </c>
      <c r="B90" s="7" t="s">
        <v>162</v>
      </c>
      <c r="C90" s="74">
        <v>75</v>
      </c>
      <c r="D90" s="74">
        <v>0</v>
      </c>
      <c r="E90" s="71">
        <f t="shared" si="18"/>
        <v>0</v>
      </c>
      <c r="F90" s="65" t="str">
        <f t="shared" si="20"/>
        <v>Desempenho Deficitário</v>
      </c>
      <c r="G90" s="71">
        <f t="shared" si="24"/>
        <v>0.44825178806664662</v>
      </c>
      <c r="H90" s="71">
        <f t="shared" si="24"/>
        <v>0.78548221403733831</v>
      </c>
      <c r="I90" s="71">
        <f t="shared" si="24"/>
        <v>0.11102136209595498</v>
      </c>
      <c r="J90" s="75">
        <v>83119.850000000006</v>
      </c>
      <c r="K90" s="75">
        <v>0</v>
      </c>
      <c r="L90" s="6">
        <f>(SUM(K86:K90))/J89</f>
        <v>0.2405252175021971</v>
      </c>
      <c r="M90" s="36" t="str">
        <f t="shared" si="21"/>
        <v>Desempenho Médio</v>
      </c>
      <c r="N90" s="6">
        <f t="shared" si="26"/>
        <v>0.27284258705105507</v>
      </c>
      <c r="O90" s="6">
        <f t="shared" si="26"/>
        <v>0.75981161093062477</v>
      </c>
      <c r="P90" s="6">
        <f t="shared" si="26"/>
        <v>-0.21412643682851468</v>
      </c>
      <c r="Q90" s="75">
        <v>77</v>
      </c>
      <c r="R90" s="76">
        <v>0</v>
      </c>
      <c r="S90" s="6">
        <f t="shared" si="19"/>
        <v>0</v>
      </c>
      <c r="T90" s="36" t="str">
        <f t="shared" si="22"/>
        <v>Desempenho Médio</v>
      </c>
      <c r="U90" s="6">
        <f t="shared" si="25"/>
        <v>0.23278475191631845</v>
      </c>
      <c r="V90" s="6">
        <f t="shared" si="25"/>
        <v>0.51017789992422413</v>
      </c>
      <c r="W90" s="6">
        <f t="shared" si="25"/>
        <v>-4.460839609158726E-2</v>
      </c>
      <c r="X90" s="6">
        <f t="shared" si="25"/>
        <v>9.4088177912365595E-2</v>
      </c>
      <c r="Y90" s="6">
        <f t="shared" si="25"/>
        <v>0.27739314800790571</v>
      </c>
    </row>
    <row r="91" spans="1:25" x14ac:dyDescent="0.25">
      <c r="A91" s="7" t="s">
        <v>120</v>
      </c>
      <c r="B91" s="7" t="s">
        <v>163</v>
      </c>
      <c r="C91" s="74">
        <v>75</v>
      </c>
      <c r="D91" s="74">
        <v>0</v>
      </c>
      <c r="E91" s="71">
        <f t="shared" si="18"/>
        <v>0</v>
      </c>
      <c r="F91" s="65" t="str">
        <f t="shared" si="20"/>
        <v>Desempenho Deficitário</v>
      </c>
      <c r="G91" s="71">
        <f t="shared" si="24"/>
        <v>0.54231176602906361</v>
      </c>
      <c r="H91" s="71">
        <f t="shared" si="24"/>
        <v>0.92735502699565786</v>
      </c>
      <c r="I91" s="71">
        <f t="shared" si="24"/>
        <v>0.15726850506246942</v>
      </c>
      <c r="J91" s="75">
        <v>83119.850000000006</v>
      </c>
      <c r="K91" s="75">
        <v>2280</v>
      </c>
      <c r="L91" s="6">
        <f>(SUM(K86:K91))/J90</f>
        <v>0.26795548837010652</v>
      </c>
      <c r="M91" s="36" t="str">
        <f t="shared" si="21"/>
        <v>Desempenho Médio</v>
      </c>
      <c r="N91" s="6">
        <f t="shared" si="26"/>
        <v>0.31451673641638933</v>
      </c>
      <c r="O91" s="6">
        <f t="shared" si="26"/>
        <v>0.80702132782766356</v>
      </c>
      <c r="P91" s="6">
        <f t="shared" si="26"/>
        <v>-0.1779878549948849</v>
      </c>
      <c r="Q91" s="75">
        <v>77</v>
      </c>
      <c r="R91" s="76">
        <v>0</v>
      </c>
      <c r="S91" s="6">
        <f t="shared" si="19"/>
        <v>0</v>
      </c>
      <c r="T91" s="36" t="str">
        <f t="shared" si="22"/>
        <v>Desempenho Deficitário</v>
      </c>
      <c r="U91" s="6">
        <f t="shared" si="25"/>
        <v>0.46105014853915682</v>
      </c>
      <c r="V91" s="6">
        <f t="shared" si="25"/>
        <v>0.84756736419379908</v>
      </c>
      <c r="W91" s="6">
        <f t="shared" si="25"/>
        <v>7.4532932884514569E-2</v>
      </c>
      <c r="X91" s="6">
        <f t="shared" si="25"/>
        <v>7.4532932884514569E-2</v>
      </c>
      <c r="Y91" s="6">
        <f t="shared" si="25"/>
        <v>0.38651721565464225</v>
      </c>
    </row>
    <row r="92" spans="1:25" x14ac:dyDescent="0.25">
      <c r="A92" s="7" t="s">
        <v>120</v>
      </c>
      <c r="B92" s="7" t="s">
        <v>164</v>
      </c>
      <c r="C92" s="74">
        <v>75</v>
      </c>
      <c r="D92" s="74">
        <v>0</v>
      </c>
      <c r="E92" s="71">
        <f t="shared" si="18"/>
        <v>0</v>
      </c>
      <c r="F92" s="65" t="str">
        <f t="shared" si="20"/>
        <v>Desempenho Deficitário</v>
      </c>
      <c r="G92" s="71">
        <f t="shared" si="24"/>
        <v>0.63634637719050002</v>
      </c>
      <c r="H92" s="71">
        <f t="shared" si="24"/>
        <v>1.0512878703900039</v>
      </c>
      <c r="I92" s="71">
        <f t="shared" si="24"/>
        <v>0.22140488399099606</v>
      </c>
      <c r="J92" s="75">
        <v>83119.850000000006</v>
      </c>
      <c r="K92" s="75">
        <v>0</v>
      </c>
      <c r="L92" s="6">
        <f>(SUM(K86:K92))/J91</f>
        <v>0.26795548837010652</v>
      </c>
      <c r="M92" s="36" t="str">
        <f t="shared" si="21"/>
        <v>Desempenho Médio</v>
      </c>
      <c r="N92" s="6">
        <f t="shared" si="26"/>
        <v>0.38334713342809434</v>
      </c>
      <c r="O92" s="6">
        <f t="shared" si="26"/>
        <v>0.88375935483946089</v>
      </c>
      <c r="P92" s="6">
        <f t="shared" si="26"/>
        <v>-0.1170650879832722</v>
      </c>
      <c r="Q92" s="75">
        <v>77</v>
      </c>
      <c r="R92" s="76">
        <v>0</v>
      </c>
      <c r="S92" s="6">
        <f t="shared" si="19"/>
        <v>0</v>
      </c>
      <c r="T92" s="36" t="str">
        <f t="shared" si="22"/>
        <v>Desempenho Deficitário</v>
      </c>
      <c r="U92" s="6">
        <f t="shared" si="25"/>
        <v>0.46105014853915682</v>
      </c>
      <c r="V92" s="6">
        <f t="shared" si="25"/>
        <v>0.84756736419379908</v>
      </c>
      <c r="W92" s="6">
        <f t="shared" si="25"/>
        <v>7.4532932884514569E-2</v>
      </c>
      <c r="X92" s="6">
        <f t="shared" si="25"/>
        <v>7.4532932884514569E-2</v>
      </c>
      <c r="Y92" s="6">
        <f t="shared" si="25"/>
        <v>0.38651721565464225</v>
      </c>
    </row>
    <row r="93" spans="1:25" x14ac:dyDescent="0.25">
      <c r="A93" s="7" t="s">
        <v>120</v>
      </c>
      <c r="B93" s="7" t="s">
        <v>165</v>
      </c>
      <c r="C93" s="74">
        <v>75</v>
      </c>
      <c r="D93" s="74">
        <v>0</v>
      </c>
      <c r="E93" s="71">
        <f t="shared" si="18"/>
        <v>0</v>
      </c>
      <c r="F93" s="65" t="str">
        <f t="shared" si="20"/>
        <v>Desempenho Deficitário</v>
      </c>
      <c r="G93" s="71">
        <f t="shared" si="24"/>
        <v>0.70660866675940681</v>
      </c>
      <c r="H93" s="71">
        <f t="shared" si="24"/>
        <v>1.1341225514190425</v>
      </c>
      <c r="I93" s="71">
        <f t="shared" si="24"/>
        <v>0.27909478209977112</v>
      </c>
      <c r="J93" s="75">
        <v>83119.850000000006</v>
      </c>
      <c r="K93" s="75">
        <v>975</v>
      </c>
      <c r="L93" s="6">
        <f>(SUM(K86:K93))/J92</f>
        <v>0.27968553841230459</v>
      </c>
      <c r="M93" s="36" t="str">
        <f t="shared" si="21"/>
        <v>Desempenho Médio</v>
      </c>
      <c r="N93" s="6">
        <f t="shared" si="26"/>
        <v>0.45719521320533213</v>
      </c>
      <c r="O93" s="6">
        <f t="shared" si="26"/>
        <v>0.97356755068321044</v>
      </c>
      <c r="P93" s="6">
        <f t="shared" si="26"/>
        <v>-5.9177124272546122E-2</v>
      </c>
      <c r="Q93" s="75">
        <v>77</v>
      </c>
      <c r="R93" s="76">
        <v>0</v>
      </c>
      <c r="S93" s="6">
        <f t="shared" si="19"/>
        <v>0</v>
      </c>
      <c r="T93" s="36" t="str">
        <f t="shared" si="22"/>
        <v>Desempenho Deficitário</v>
      </c>
      <c r="U93" s="6">
        <f t="shared" si="25"/>
        <v>0.46105014853915682</v>
      </c>
      <c r="V93" s="6">
        <f t="shared" si="25"/>
        <v>0.84756736419379908</v>
      </c>
      <c r="W93" s="6">
        <f t="shared" si="25"/>
        <v>7.4532932884514569E-2</v>
      </c>
      <c r="X93" s="6">
        <f t="shared" si="25"/>
        <v>7.4532932884514569E-2</v>
      </c>
      <c r="Y93" s="6">
        <f t="shared" si="25"/>
        <v>0.38651721565464225</v>
      </c>
    </row>
    <row r="94" spans="1:25" x14ac:dyDescent="0.25">
      <c r="A94" s="7" t="s">
        <v>120</v>
      </c>
      <c r="B94" s="7" t="s">
        <v>166</v>
      </c>
      <c r="C94" s="74">
        <v>75</v>
      </c>
      <c r="D94" s="74">
        <v>0</v>
      </c>
      <c r="E94" s="71">
        <f t="shared" si="18"/>
        <v>0</v>
      </c>
      <c r="F94" s="65" t="str">
        <f t="shared" si="20"/>
        <v>Desempenho Deficitário</v>
      </c>
      <c r="G94" s="71">
        <f t="shared" si="24"/>
        <v>0.73663014244586189</v>
      </c>
      <c r="H94" s="71">
        <f t="shared" si="24"/>
        <v>1.1737360935948695</v>
      </c>
      <c r="I94" s="71">
        <f t="shared" si="24"/>
        <v>0.29952419129685426</v>
      </c>
      <c r="J94" s="75">
        <v>83119.850000000006</v>
      </c>
      <c r="K94" s="75">
        <v>8291</v>
      </c>
      <c r="L94" s="6">
        <f>(SUM(K86:K94))/J93</f>
        <v>0.37943307164293483</v>
      </c>
      <c r="M94" s="36" t="str">
        <f t="shared" si="21"/>
        <v>Desempenho Médio</v>
      </c>
      <c r="N94" s="6">
        <f t="shared" si="26"/>
        <v>0.50336729135060976</v>
      </c>
      <c r="O94" s="6">
        <f t="shared" si="26"/>
        <v>1.0150591886201059</v>
      </c>
      <c r="P94" s="6">
        <f t="shared" si="26"/>
        <v>-8.3246059188863963E-3</v>
      </c>
      <c r="Q94" s="75">
        <v>77</v>
      </c>
      <c r="R94" s="76">
        <v>0</v>
      </c>
      <c r="S94" s="6">
        <f t="shared" si="19"/>
        <v>0</v>
      </c>
      <c r="T94" s="36" t="str">
        <f t="shared" si="22"/>
        <v>Desempenho Deficitário</v>
      </c>
      <c r="U94" s="6">
        <f t="shared" si="25"/>
        <v>0.74232771533595698</v>
      </c>
      <c r="V94" s="6">
        <f t="shared" si="25"/>
        <v>1.1540802341555996</v>
      </c>
      <c r="W94" s="6">
        <f t="shared" si="25"/>
        <v>0.33057519651631434</v>
      </c>
      <c r="X94" s="6">
        <f t="shared" si="25"/>
        <v>0.33057519651631434</v>
      </c>
      <c r="Y94" s="6">
        <f t="shared" si="25"/>
        <v>0.41175251881964264</v>
      </c>
    </row>
    <row r="95" spans="1:25" x14ac:dyDescent="0.25">
      <c r="A95" s="7" t="s">
        <v>120</v>
      </c>
      <c r="B95" s="7" t="s">
        <v>167</v>
      </c>
      <c r="C95" s="74">
        <v>75</v>
      </c>
      <c r="D95" s="74">
        <v>0</v>
      </c>
      <c r="E95" s="71">
        <f t="shared" si="18"/>
        <v>0</v>
      </c>
      <c r="F95" s="65" t="str">
        <f t="shared" si="20"/>
        <v>Desempenho Deficitário</v>
      </c>
      <c r="G95" s="71">
        <f t="shared" si="24"/>
        <v>0.82061442726694189</v>
      </c>
      <c r="H95" s="71">
        <f t="shared" si="24"/>
        <v>1.2607833515834532</v>
      </c>
      <c r="I95" s="71">
        <f t="shared" si="24"/>
        <v>0.38044550295043061</v>
      </c>
      <c r="J95" s="75">
        <v>83119.850000000006</v>
      </c>
      <c r="K95" s="75">
        <v>45760.18</v>
      </c>
      <c r="L95" s="6">
        <f>(SUM(K86:K95))/J94</f>
        <v>0.92996558583779931</v>
      </c>
      <c r="M95" s="36" t="str">
        <f t="shared" si="21"/>
        <v>Desempenho Bom</v>
      </c>
      <c r="N95" s="6">
        <f t="shared" si="26"/>
        <v>0.58006775555216661</v>
      </c>
      <c r="O95" s="6">
        <f t="shared" si="26"/>
        <v>1.099948635873619</v>
      </c>
      <c r="P95" s="6">
        <f t="shared" si="26"/>
        <v>6.0186875230714088E-2</v>
      </c>
      <c r="Q95" s="75">
        <v>77</v>
      </c>
      <c r="R95" s="76">
        <v>0</v>
      </c>
      <c r="S95" s="6">
        <f t="shared" si="19"/>
        <v>0</v>
      </c>
      <c r="T95" s="36" t="str">
        <f t="shared" si="22"/>
        <v>Desempenho Deficitário</v>
      </c>
      <c r="U95" s="6">
        <f t="shared" ref="U95:Y110" si="27">U83</f>
        <v>0.82347447721763523</v>
      </c>
      <c r="V95" s="6">
        <f t="shared" si="27"/>
        <v>1.2398542522675045</v>
      </c>
      <c r="W95" s="6">
        <f t="shared" si="27"/>
        <v>0.40709470216776611</v>
      </c>
      <c r="X95" s="6">
        <f t="shared" si="27"/>
        <v>0.40709470216776611</v>
      </c>
      <c r="Y95" s="6">
        <f t="shared" si="27"/>
        <v>0.41637977504986912</v>
      </c>
    </row>
    <row r="96" spans="1:25" x14ac:dyDescent="0.25">
      <c r="A96" s="7" t="s">
        <v>120</v>
      </c>
      <c r="B96" s="7" t="s">
        <v>168</v>
      </c>
      <c r="C96" s="74">
        <v>75</v>
      </c>
      <c r="D96" s="74">
        <v>0</v>
      </c>
      <c r="E96" s="71">
        <f t="shared" si="18"/>
        <v>0</v>
      </c>
      <c r="F96" s="65" t="str">
        <f t="shared" si="20"/>
        <v>Desempenho Deficitário</v>
      </c>
      <c r="G96" s="71">
        <f t="shared" si="24"/>
        <v>0.94582556715526966</v>
      </c>
      <c r="H96" s="71">
        <f t="shared" si="24"/>
        <v>1.4311117173682604</v>
      </c>
      <c r="I96" s="71">
        <f t="shared" si="24"/>
        <v>0.46053941694227907</v>
      </c>
      <c r="J96" s="75">
        <v>83119.850000000006</v>
      </c>
      <c r="K96" s="75">
        <v>13026</v>
      </c>
      <c r="L96" s="6">
        <f>(SUM(K86:K96))/J95</f>
        <v>1.0866790544015659</v>
      </c>
      <c r="M96" s="36" t="str">
        <f t="shared" si="21"/>
        <v>Desempenho Bom</v>
      </c>
      <c r="N96" s="6">
        <f t="shared" si="26"/>
        <v>0.72282137340514951</v>
      </c>
      <c r="O96" s="6">
        <f t="shared" si="26"/>
        <v>1.2463651595014014</v>
      </c>
      <c r="P96" s="6">
        <f t="shared" si="26"/>
        <v>0.19927758730889755</v>
      </c>
      <c r="Q96" s="75">
        <v>77</v>
      </c>
      <c r="R96" s="76">
        <v>0</v>
      </c>
      <c r="S96" s="6">
        <f t="shared" si="19"/>
        <v>0</v>
      </c>
      <c r="T96" s="36" t="str">
        <f t="shared" si="22"/>
        <v>Desempenho Deficitário</v>
      </c>
      <c r="U96" s="6">
        <f t="shared" si="27"/>
        <v>0.91825333306001944</v>
      </c>
      <c r="V96" s="6">
        <f t="shared" si="27"/>
        <v>1.402047931898428</v>
      </c>
      <c r="W96" s="6">
        <f t="shared" si="27"/>
        <v>0.43445873422161085</v>
      </c>
      <c r="X96" s="6">
        <f t="shared" si="27"/>
        <v>0.43445873422161085</v>
      </c>
      <c r="Y96" s="6">
        <f t="shared" si="27"/>
        <v>0.48379459883840858</v>
      </c>
    </row>
    <row r="97" spans="1:25" x14ac:dyDescent="0.25">
      <c r="A97" s="7" t="s">
        <v>120</v>
      </c>
      <c r="B97" s="7" t="s">
        <v>169</v>
      </c>
      <c r="C97" s="74">
        <v>75</v>
      </c>
      <c r="D97" s="74">
        <v>0</v>
      </c>
      <c r="E97" s="71">
        <f t="shared" si="18"/>
        <v>0</v>
      </c>
      <c r="F97" s="65" t="str">
        <f t="shared" si="20"/>
        <v>Desempenho Deficitário</v>
      </c>
      <c r="G97" s="71">
        <f t="shared" si="24"/>
        <v>1.0016849877757958</v>
      </c>
      <c r="H97" s="71">
        <f t="shared" si="24"/>
        <v>1.521489991464148</v>
      </c>
      <c r="I97" s="71">
        <f t="shared" si="24"/>
        <v>0.48187998408744359</v>
      </c>
      <c r="J97" s="75">
        <v>83119.850000000006</v>
      </c>
      <c r="K97" s="75">
        <v>0</v>
      </c>
      <c r="L97" s="6">
        <f>(SUM(K86:K97))/J96</f>
        <v>1.0866790544015659</v>
      </c>
      <c r="M97" s="36" t="str">
        <f t="shared" si="21"/>
        <v>Desempenho Bom</v>
      </c>
      <c r="N97" s="6">
        <f t="shared" si="26"/>
        <v>0.82421983567812696</v>
      </c>
      <c r="O97" s="6">
        <f t="shared" si="26"/>
        <v>1.3730394926064369</v>
      </c>
      <c r="P97" s="6">
        <f t="shared" si="26"/>
        <v>0.27540017874981693</v>
      </c>
      <c r="Q97" s="75">
        <v>77</v>
      </c>
      <c r="R97" s="76">
        <v>0</v>
      </c>
      <c r="S97" s="6">
        <f t="shared" si="19"/>
        <v>0</v>
      </c>
      <c r="T97" s="36" t="str">
        <f t="shared" si="22"/>
        <v>Desempenho Deficitário</v>
      </c>
      <c r="U97" s="6">
        <f t="shared" si="27"/>
        <v>0.91825333306001944</v>
      </c>
      <c r="V97" s="6">
        <f t="shared" si="27"/>
        <v>1.402047931898428</v>
      </c>
      <c r="W97" s="6">
        <f t="shared" si="27"/>
        <v>0.43445873422161085</v>
      </c>
      <c r="X97" s="6">
        <f t="shared" si="27"/>
        <v>0.43445873422161085</v>
      </c>
      <c r="Y97" s="6">
        <f t="shared" si="27"/>
        <v>0.48379459883840858</v>
      </c>
    </row>
    <row r="98" spans="1:25" x14ac:dyDescent="0.25">
      <c r="A98" s="7" t="s">
        <v>48</v>
      </c>
      <c r="B98" s="7" t="s">
        <v>158</v>
      </c>
      <c r="C98" s="74">
        <v>75</v>
      </c>
      <c r="D98" s="74">
        <v>47</v>
      </c>
      <c r="E98" s="71">
        <f t="shared" si="18"/>
        <v>0.62666666666666671</v>
      </c>
      <c r="F98" s="65" t="str">
        <f t="shared" si="20"/>
        <v>Desempenho Ótimo</v>
      </c>
      <c r="G98" s="71">
        <f t="shared" si="24"/>
        <v>0.11573204891712785</v>
      </c>
      <c r="H98" s="71">
        <f t="shared" si="24"/>
        <v>0.30218524997148988</v>
      </c>
      <c r="I98" s="71">
        <f t="shared" si="24"/>
        <v>-7.0721152137234206E-2</v>
      </c>
      <c r="J98" s="75">
        <v>39127.86</v>
      </c>
      <c r="K98" s="75">
        <v>7080</v>
      </c>
      <c r="L98" s="6">
        <f>K98/J98</f>
        <v>0.18094523953009442</v>
      </c>
      <c r="M98" s="36" t="str">
        <f t="shared" si="21"/>
        <v>Desempenho Bom</v>
      </c>
      <c r="N98" s="6">
        <f t="shared" si="26"/>
        <v>0.11129468122233216</v>
      </c>
      <c r="O98" s="6">
        <f t="shared" si="26"/>
        <v>0.54990456699293522</v>
      </c>
      <c r="P98" s="6">
        <f t="shared" si="26"/>
        <v>-0.32731520454827095</v>
      </c>
      <c r="Q98" s="75">
        <v>76</v>
      </c>
      <c r="R98" s="76">
        <v>13</v>
      </c>
      <c r="S98" s="6">
        <f t="shared" si="19"/>
        <v>0.17105263157894737</v>
      </c>
      <c r="T98" s="36" t="str">
        <f t="shared" si="22"/>
        <v>Desempenho Ótimo</v>
      </c>
      <c r="U98" s="6">
        <f t="shared" si="27"/>
        <v>6.5053670194766225E-2</v>
      </c>
      <c r="V98" s="6">
        <f t="shared" si="27"/>
        <v>0.16010348962314203</v>
      </c>
      <c r="W98" s="6">
        <f t="shared" si="27"/>
        <v>-2.9996149233609562E-2</v>
      </c>
      <c r="X98" s="6">
        <f t="shared" si="27"/>
        <v>1.7528760480578331E-2</v>
      </c>
      <c r="Y98" s="6">
        <f t="shared" si="27"/>
        <v>9.5049819428375787E-2</v>
      </c>
    </row>
    <row r="99" spans="1:25" x14ac:dyDescent="0.25">
      <c r="A99" s="7" t="s">
        <v>48</v>
      </c>
      <c r="B99" s="7" t="s">
        <v>159</v>
      </c>
      <c r="C99" s="74">
        <v>75</v>
      </c>
      <c r="D99" s="74">
        <v>56</v>
      </c>
      <c r="E99" s="71">
        <f t="shared" si="18"/>
        <v>0.7466666666666667</v>
      </c>
      <c r="F99" s="65" t="str">
        <f t="shared" si="20"/>
        <v>Desempenho Ótimo</v>
      </c>
      <c r="G99" s="71">
        <f t="shared" si="24"/>
        <v>0.22598075676513599</v>
      </c>
      <c r="H99" s="71">
        <f t="shared" si="24"/>
        <v>0.51894873552035481</v>
      </c>
      <c r="I99" s="71">
        <f t="shared" si="24"/>
        <v>-6.6987221990082807E-2</v>
      </c>
      <c r="J99" s="75">
        <v>39127.86</v>
      </c>
      <c r="K99" s="75">
        <v>680</v>
      </c>
      <c r="L99" s="6">
        <f>(SUM(K98:K99))/J98</f>
        <v>0.19832416084089444</v>
      </c>
      <c r="M99" s="36" t="str">
        <f t="shared" si="21"/>
        <v>Desempenho Bom</v>
      </c>
      <c r="N99" s="6">
        <f t="shared" si="26"/>
        <v>0.14992070801509372</v>
      </c>
      <c r="O99" s="6">
        <f t="shared" si="26"/>
        <v>0.58968599072326611</v>
      </c>
      <c r="P99" s="6">
        <f t="shared" si="26"/>
        <v>-0.28984457469307867</v>
      </c>
      <c r="Q99" s="75">
        <v>76</v>
      </c>
      <c r="R99" s="76">
        <v>13</v>
      </c>
      <c r="S99" s="6">
        <f t="shared" si="19"/>
        <v>0.17105263157894737</v>
      </c>
      <c r="T99" s="36" t="str">
        <f t="shared" si="22"/>
        <v>Desempenho Ótimo</v>
      </c>
      <c r="U99" s="6">
        <f t="shared" si="27"/>
        <v>6.5053670194766225E-2</v>
      </c>
      <c r="V99" s="6">
        <f t="shared" si="27"/>
        <v>0.16010348962314203</v>
      </c>
      <c r="W99" s="6">
        <f t="shared" si="27"/>
        <v>-2.9996149233609562E-2</v>
      </c>
      <c r="X99" s="6">
        <f t="shared" si="27"/>
        <v>1.7528760480578331E-2</v>
      </c>
      <c r="Y99" s="6">
        <f t="shared" si="27"/>
        <v>9.5049819428375787E-2</v>
      </c>
    </row>
    <row r="100" spans="1:25" x14ac:dyDescent="0.25">
      <c r="A100" s="7" t="s">
        <v>48</v>
      </c>
      <c r="B100" s="7" t="s">
        <v>160</v>
      </c>
      <c r="C100" s="74">
        <v>75</v>
      </c>
      <c r="D100" s="74">
        <v>56</v>
      </c>
      <c r="E100" s="71">
        <f t="shared" si="18"/>
        <v>0.7466666666666667</v>
      </c>
      <c r="F100" s="65" t="str">
        <f t="shared" si="20"/>
        <v>Desempenho Ótimo</v>
      </c>
      <c r="G100" s="71">
        <f t="shared" si="24"/>
        <v>0.2827891266215985</v>
      </c>
      <c r="H100" s="71">
        <f t="shared" si="24"/>
        <v>0.59134445337262298</v>
      </c>
      <c r="I100" s="71">
        <f t="shared" si="24"/>
        <v>-2.5766200129425987E-2</v>
      </c>
      <c r="J100" s="75">
        <v>39127.86</v>
      </c>
      <c r="K100" s="75">
        <v>3370</v>
      </c>
      <c r="L100" s="6">
        <f>(SUM(K98:K100))/J99</f>
        <v>0.28445205027824166</v>
      </c>
      <c r="M100" s="36" t="str">
        <f t="shared" si="21"/>
        <v>Desempenho Bom</v>
      </c>
      <c r="N100" s="6">
        <f t="shared" si="26"/>
        <v>0.17723994755342617</v>
      </c>
      <c r="O100" s="6">
        <f t="shared" si="26"/>
        <v>0.61473682715667155</v>
      </c>
      <c r="P100" s="6">
        <f t="shared" si="26"/>
        <v>-0.26025693204981915</v>
      </c>
      <c r="Q100" s="75">
        <v>76</v>
      </c>
      <c r="R100" s="76">
        <v>17</v>
      </c>
      <c r="S100" s="6">
        <f t="shared" si="19"/>
        <v>0.22368421052631579</v>
      </c>
      <c r="T100" s="36" t="str">
        <f t="shared" si="22"/>
        <v>Desempenho Bom</v>
      </c>
      <c r="U100" s="6">
        <f t="shared" si="27"/>
        <v>0.18401218302179842</v>
      </c>
      <c r="V100" s="6">
        <f t="shared" si="27"/>
        <v>0.37883088095577799</v>
      </c>
      <c r="W100" s="6">
        <f t="shared" si="27"/>
        <v>-1.0806514912181153E-2</v>
      </c>
      <c r="X100" s="6">
        <f t="shared" si="27"/>
        <v>8.6602834054808633E-2</v>
      </c>
      <c r="Y100" s="6">
        <f t="shared" si="27"/>
        <v>0.19481869793397957</v>
      </c>
    </row>
    <row r="101" spans="1:25" x14ac:dyDescent="0.25">
      <c r="A101" s="7" t="s">
        <v>48</v>
      </c>
      <c r="B101" s="7" t="s">
        <v>161</v>
      </c>
      <c r="C101" s="74">
        <v>75</v>
      </c>
      <c r="D101" s="74">
        <v>56</v>
      </c>
      <c r="E101" s="71">
        <f t="shared" si="18"/>
        <v>0.7466666666666667</v>
      </c>
      <c r="F101" s="65" t="str">
        <f t="shared" si="20"/>
        <v>Desempenho Ótimo</v>
      </c>
      <c r="G101" s="71">
        <f t="shared" si="24"/>
        <v>0.36222496935690102</v>
      </c>
      <c r="H101" s="71">
        <f t="shared" si="24"/>
        <v>0.67917151968337719</v>
      </c>
      <c r="I101" s="71">
        <f t="shared" si="24"/>
        <v>4.5278419030424844E-2</v>
      </c>
      <c r="J101" s="75">
        <v>39127.86</v>
      </c>
      <c r="K101" s="75">
        <v>1303</v>
      </c>
      <c r="L101" s="6">
        <f>(SUM(K98:K101))/J100</f>
        <v>0.31775313037820108</v>
      </c>
      <c r="M101" s="36" t="str">
        <f t="shared" si="21"/>
        <v>Desempenho Bom</v>
      </c>
      <c r="N101" s="6">
        <f t="shared" si="26"/>
        <v>0.2271654986777647</v>
      </c>
      <c r="O101" s="6">
        <f t="shared" si="26"/>
        <v>0.71582389712396544</v>
      </c>
      <c r="P101" s="6">
        <f t="shared" si="26"/>
        <v>-0.26149289976843598</v>
      </c>
      <c r="Q101" s="75">
        <v>76</v>
      </c>
      <c r="R101" s="76">
        <v>17</v>
      </c>
      <c r="S101" s="6">
        <f t="shared" si="19"/>
        <v>0.22368421052631579</v>
      </c>
      <c r="T101" s="36" t="str">
        <f t="shared" si="22"/>
        <v>Desempenho Bom</v>
      </c>
      <c r="U101" s="6">
        <f t="shared" si="27"/>
        <v>0.18401218302179842</v>
      </c>
      <c r="V101" s="6">
        <f t="shared" si="27"/>
        <v>0.37883088095577799</v>
      </c>
      <c r="W101" s="6">
        <f t="shared" si="27"/>
        <v>-1.0806514912181153E-2</v>
      </c>
      <c r="X101" s="6">
        <f t="shared" si="27"/>
        <v>8.6602834054808633E-2</v>
      </c>
      <c r="Y101" s="6">
        <f t="shared" si="27"/>
        <v>0.19481869793397957</v>
      </c>
    </row>
    <row r="102" spans="1:25" x14ac:dyDescent="0.25">
      <c r="A102" s="7" t="s">
        <v>48</v>
      </c>
      <c r="B102" s="7" t="s">
        <v>162</v>
      </c>
      <c r="C102" s="74">
        <v>75</v>
      </c>
      <c r="D102" s="74">
        <v>56</v>
      </c>
      <c r="E102" s="71">
        <f t="shared" si="18"/>
        <v>0.7466666666666667</v>
      </c>
      <c r="F102" s="65" t="str">
        <f t="shared" si="20"/>
        <v>Desempenho Bom</v>
      </c>
      <c r="G102" s="71">
        <f t="shared" si="24"/>
        <v>0.44825178806664662</v>
      </c>
      <c r="H102" s="71">
        <f t="shared" si="24"/>
        <v>0.78548221403733831</v>
      </c>
      <c r="I102" s="71">
        <f t="shared" si="24"/>
        <v>0.11102136209595498</v>
      </c>
      <c r="J102" s="75">
        <v>39127.86</v>
      </c>
      <c r="K102" s="75">
        <v>390</v>
      </c>
      <c r="L102" s="6">
        <f>(SUM(K98:K102))/J101</f>
        <v>0.32772045289468937</v>
      </c>
      <c r="M102" s="36" t="str">
        <f t="shared" si="21"/>
        <v>Desempenho Bom</v>
      </c>
      <c r="N102" s="6">
        <f t="shared" ref="N102:P117" si="28">N90</f>
        <v>0.27284258705105507</v>
      </c>
      <c r="O102" s="6">
        <f t="shared" si="28"/>
        <v>0.75981161093062477</v>
      </c>
      <c r="P102" s="6">
        <f t="shared" si="28"/>
        <v>-0.21412643682851468</v>
      </c>
      <c r="Q102" s="75">
        <v>76</v>
      </c>
      <c r="R102" s="76">
        <v>17</v>
      </c>
      <c r="S102" s="6">
        <f t="shared" si="19"/>
        <v>0.22368421052631579</v>
      </c>
      <c r="T102" s="36" t="str">
        <f t="shared" si="22"/>
        <v>Desempenho Médio</v>
      </c>
      <c r="U102" s="6">
        <f t="shared" si="27"/>
        <v>0.23278475191631845</v>
      </c>
      <c r="V102" s="6">
        <f t="shared" si="27"/>
        <v>0.51017789992422413</v>
      </c>
      <c r="W102" s="6">
        <f t="shared" si="27"/>
        <v>-4.460839609158726E-2</v>
      </c>
      <c r="X102" s="6">
        <f t="shared" si="27"/>
        <v>9.4088177912365595E-2</v>
      </c>
      <c r="Y102" s="6">
        <f t="shared" si="27"/>
        <v>0.27739314800790571</v>
      </c>
    </row>
    <row r="103" spans="1:25" x14ac:dyDescent="0.25">
      <c r="A103" s="7" t="s">
        <v>48</v>
      </c>
      <c r="B103" s="7" t="s">
        <v>163</v>
      </c>
      <c r="C103" s="74">
        <v>75</v>
      </c>
      <c r="D103" s="74">
        <v>70</v>
      </c>
      <c r="E103" s="71">
        <f t="shared" si="18"/>
        <v>0.93333333333333335</v>
      </c>
      <c r="F103" s="65" t="str">
        <f t="shared" si="20"/>
        <v>Desempenho Ótimo</v>
      </c>
      <c r="G103" s="71">
        <f t="shared" si="24"/>
        <v>0.54231176602906361</v>
      </c>
      <c r="H103" s="71">
        <f t="shared" si="24"/>
        <v>0.92735502699565786</v>
      </c>
      <c r="I103" s="71">
        <f t="shared" si="24"/>
        <v>0.15726850506246942</v>
      </c>
      <c r="J103" s="75">
        <v>39127.86</v>
      </c>
      <c r="K103" s="75">
        <v>1298</v>
      </c>
      <c r="L103" s="6">
        <f>(SUM(K98:K103))/J102</f>
        <v>0.36089374680853997</v>
      </c>
      <c r="M103" s="36" t="str">
        <f t="shared" si="21"/>
        <v>Desempenho Bom</v>
      </c>
      <c r="N103" s="6">
        <f t="shared" si="28"/>
        <v>0.31451673641638933</v>
      </c>
      <c r="O103" s="6">
        <f t="shared" si="28"/>
        <v>0.80702132782766356</v>
      </c>
      <c r="P103" s="6">
        <f t="shared" si="28"/>
        <v>-0.1779878549948849</v>
      </c>
      <c r="Q103" s="75">
        <v>76</v>
      </c>
      <c r="R103" s="76">
        <v>47</v>
      </c>
      <c r="S103" s="6">
        <f t="shared" si="19"/>
        <v>0.61842105263157898</v>
      </c>
      <c r="T103" s="36" t="str">
        <f t="shared" si="22"/>
        <v>Desempenho Bom</v>
      </c>
      <c r="U103" s="6">
        <f t="shared" si="27"/>
        <v>0.46105014853915682</v>
      </c>
      <c r="V103" s="6">
        <f t="shared" si="27"/>
        <v>0.84756736419379908</v>
      </c>
      <c r="W103" s="6">
        <f t="shared" si="27"/>
        <v>7.4532932884514569E-2</v>
      </c>
      <c r="X103" s="6">
        <f t="shared" si="27"/>
        <v>7.4532932884514569E-2</v>
      </c>
      <c r="Y103" s="6">
        <f t="shared" si="27"/>
        <v>0.38651721565464225</v>
      </c>
    </row>
    <row r="104" spans="1:25" x14ac:dyDescent="0.25">
      <c r="A104" s="7" t="s">
        <v>48</v>
      </c>
      <c r="B104" s="7" t="s">
        <v>164</v>
      </c>
      <c r="C104" s="74">
        <v>75</v>
      </c>
      <c r="D104" s="74">
        <v>87</v>
      </c>
      <c r="E104" s="71">
        <f t="shared" si="18"/>
        <v>1.1599999999999999</v>
      </c>
      <c r="F104" s="65" t="str">
        <f t="shared" si="20"/>
        <v>Desempenho Ótimo</v>
      </c>
      <c r="G104" s="71">
        <f t="shared" si="24"/>
        <v>0.63634637719050002</v>
      </c>
      <c r="H104" s="71">
        <f t="shared" si="24"/>
        <v>1.0512878703900039</v>
      </c>
      <c r="I104" s="71">
        <f t="shared" si="24"/>
        <v>0.22140488399099606</v>
      </c>
      <c r="J104" s="75">
        <v>39127.86</v>
      </c>
      <c r="K104" s="75">
        <v>1080</v>
      </c>
      <c r="L104" s="6">
        <f>(SUM(K98:K104))/J103</f>
        <v>0.38849556300804594</v>
      </c>
      <c r="M104" s="36" t="str">
        <f t="shared" si="21"/>
        <v>Desempenho Bom</v>
      </c>
      <c r="N104" s="6">
        <f t="shared" si="28"/>
        <v>0.38334713342809434</v>
      </c>
      <c r="O104" s="6">
        <f t="shared" si="28"/>
        <v>0.88375935483946089</v>
      </c>
      <c r="P104" s="6">
        <f t="shared" si="28"/>
        <v>-0.1170650879832722</v>
      </c>
      <c r="Q104" s="75">
        <v>76</v>
      </c>
      <c r="R104" s="76">
        <v>47</v>
      </c>
      <c r="S104" s="6">
        <f t="shared" si="19"/>
        <v>0.61842105263157898</v>
      </c>
      <c r="T104" s="36" t="str">
        <f t="shared" si="22"/>
        <v>Desempenho Bom</v>
      </c>
      <c r="U104" s="6">
        <f t="shared" si="27"/>
        <v>0.46105014853915682</v>
      </c>
      <c r="V104" s="6">
        <f t="shared" si="27"/>
        <v>0.84756736419379908</v>
      </c>
      <c r="W104" s="6">
        <f t="shared" si="27"/>
        <v>7.4532932884514569E-2</v>
      </c>
      <c r="X104" s="6">
        <f t="shared" si="27"/>
        <v>7.4532932884514569E-2</v>
      </c>
      <c r="Y104" s="6">
        <f t="shared" si="27"/>
        <v>0.38651721565464225</v>
      </c>
    </row>
    <row r="105" spans="1:25" x14ac:dyDescent="0.25">
      <c r="A105" s="7" t="s">
        <v>48</v>
      </c>
      <c r="B105" s="7" t="s">
        <v>165</v>
      </c>
      <c r="C105" s="74">
        <v>75</v>
      </c>
      <c r="D105" s="74">
        <v>100</v>
      </c>
      <c r="E105" s="71">
        <f t="shared" si="18"/>
        <v>1.3333333333333333</v>
      </c>
      <c r="F105" s="65" t="str">
        <f t="shared" si="20"/>
        <v>Desempenho Ótimo</v>
      </c>
      <c r="G105" s="71">
        <f t="shared" si="24"/>
        <v>0.70660866675940681</v>
      </c>
      <c r="H105" s="71">
        <f t="shared" si="24"/>
        <v>1.1341225514190425</v>
      </c>
      <c r="I105" s="71">
        <f t="shared" si="24"/>
        <v>0.27909478209977112</v>
      </c>
      <c r="J105" s="75">
        <v>39127.86</v>
      </c>
      <c r="K105" s="75">
        <v>6286</v>
      </c>
      <c r="L105" s="6">
        <f>(SUM(K98:K105))/J104</f>
        <v>0.54914835618405911</v>
      </c>
      <c r="M105" s="36" t="str">
        <f t="shared" si="21"/>
        <v>Desempenho Bom</v>
      </c>
      <c r="N105" s="6">
        <f t="shared" si="28"/>
        <v>0.45719521320533213</v>
      </c>
      <c r="O105" s="6">
        <f t="shared" si="28"/>
        <v>0.97356755068321044</v>
      </c>
      <c r="P105" s="6">
        <f t="shared" si="28"/>
        <v>-5.9177124272546122E-2</v>
      </c>
      <c r="Q105" s="75">
        <v>76</v>
      </c>
      <c r="R105" s="76">
        <v>47</v>
      </c>
      <c r="S105" s="6">
        <f t="shared" si="19"/>
        <v>0.61842105263157898</v>
      </c>
      <c r="T105" s="36" t="str">
        <f t="shared" si="22"/>
        <v>Desempenho Bom</v>
      </c>
      <c r="U105" s="6">
        <f t="shared" si="27"/>
        <v>0.46105014853915682</v>
      </c>
      <c r="V105" s="6">
        <f t="shared" si="27"/>
        <v>0.84756736419379908</v>
      </c>
      <c r="W105" s="6">
        <f t="shared" si="27"/>
        <v>7.4532932884514569E-2</v>
      </c>
      <c r="X105" s="6">
        <f t="shared" si="27"/>
        <v>7.4532932884514569E-2</v>
      </c>
      <c r="Y105" s="6">
        <f t="shared" si="27"/>
        <v>0.38651721565464225</v>
      </c>
    </row>
    <row r="106" spans="1:25" x14ac:dyDescent="0.25">
      <c r="A106" s="7" t="s">
        <v>48</v>
      </c>
      <c r="B106" s="7" t="s">
        <v>166</v>
      </c>
      <c r="C106" s="74">
        <v>75</v>
      </c>
      <c r="D106" s="74">
        <v>100</v>
      </c>
      <c r="E106" s="71">
        <f t="shared" si="18"/>
        <v>1.3333333333333333</v>
      </c>
      <c r="F106" s="65" t="str">
        <f t="shared" si="20"/>
        <v>Desempenho Ótimo</v>
      </c>
      <c r="G106" s="71">
        <f t="shared" si="24"/>
        <v>0.73663014244586189</v>
      </c>
      <c r="H106" s="71">
        <f t="shared" si="24"/>
        <v>1.1737360935948695</v>
      </c>
      <c r="I106" s="71">
        <f t="shared" si="24"/>
        <v>0.29952419129685426</v>
      </c>
      <c r="J106" s="75">
        <v>39127.86</v>
      </c>
      <c r="K106" s="75">
        <v>6400</v>
      </c>
      <c r="L106" s="6">
        <f>(SUM(K98:K106))/J105</f>
        <v>0.71271467440335345</v>
      </c>
      <c r="M106" s="36" t="str">
        <f t="shared" si="21"/>
        <v>Desempenho Bom</v>
      </c>
      <c r="N106" s="6">
        <f t="shared" si="28"/>
        <v>0.50336729135060976</v>
      </c>
      <c r="O106" s="6">
        <f t="shared" si="28"/>
        <v>1.0150591886201059</v>
      </c>
      <c r="P106" s="6">
        <f t="shared" si="28"/>
        <v>-8.3246059188863963E-3</v>
      </c>
      <c r="Q106" s="75">
        <v>76</v>
      </c>
      <c r="R106" s="76">
        <v>50</v>
      </c>
      <c r="S106" s="6">
        <f t="shared" si="19"/>
        <v>0.65789473684210531</v>
      </c>
      <c r="T106" s="36" t="str">
        <f t="shared" si="22"/>
        <v>Desempenho Médio</v>
      </c>
      <c r="U106" s="6">
        <f t="shared" si="27"/>
        <v>0.74232771533595698</v>
      </c>
      <c r="V106" s="6">
        <f t="shared" si="27"/>
        <v>1.1540802341555996</v>
      </c>
      <c r="W106" s="6">
        <f t="shared" si="27"/>
        <v>0.33057519651631434</v>
      </c>
      <c r="X106" s="6">
        <f t="shared" si="27"/>
        <v>0.33057519651631434</v>
      </c>
      <c r="Y106" s="6">
        <f t="shared" si="27"/>
        <v>0.41175251881964264</v>
      </c>
    </row>
    <row r="107" spans="1:25" x14ac:dyDescent="0.25">
      <c r="A107" s="7" t="s">
        <v>48</v>
      </c>
      <c r="B107" s="7" t="s">
        <v>167</v>
      </c>
      <c r="C107" s="74">
        <v>75</v>
      </c>
      <c r="D107" s="74">
        <v>100</v>
      </c>
      <c r="E107" s="71">
        <f t="shared" si="18"/>
        <v>1.3333333333333333</v>
      </c>
      <c r="F107" s="65" t="str">
        <f t="shared" si="20"/>
        <v>Desempenho Ótimo</v>
      </c>
      <c r="G107" s="71">
        <f t="shared" si="24"/>
        <v>0.82061442726694189</v>
      </c>
      <c r="H107" s="71">
        <f t="shared" si="24"/>
        <v>1.2607833515834532</v>
      </c>
      <c r="I107" s="71">
        <f t="shared" si="24"/>
        <v>0.38044550295043061</v>
      </c>
      <c r="J107" s="75">
        <v>39127.86</v>
      </c>
      <c r="K107" s="75">
        <v>5190</v>
      </c>
      <c r="L107" s="6">
        <f>(SUM(K98:K107))/J106</f>
        <v>0.84535673558431257</v>
      </c>
      <c r="M107" s="36" t="str">
        <f t="shared" si="21"/>
        <v>Desempenho Bom</v>
      </c>
      <c r="N107" s="6">
        <f t="shared" si="28"/>
        <v>0.58006775555216661</v>
      </c>
      <c r="O107" s="6">
        <f t="shared" si="28"/>
        <v>1.099948635873619</v>
      </c>
      <c r="P107" s="6">
        <f t="shared" si="28"/>
        <v>6.0186875230714088E-2</v>
      </c>
      <c r="Q107" s="75">
        <v>76</v>
      </c>
      <c r="R107" s="76">
        <v>77</v>
      </c>
      <c r="S107" s="6">
        <f t="shared" si="19"/>
        <v>1.013157894736842</v>
      </c>
      <c r="T107" s="36" t="str">
        <f t="shared" si="22"/>
        <v>Desempenho Bom</v>
      </c>
      <c r="U107" s="6">
        <f t="shared" si="27"/>
        <v>0.82347447721763523</v>
      </c>
      <c r="V107" s="6">
        <f t="shared" si="27"/>
        <v>1.2398542522675045</v>
      </c>
      <c r="W107" s="6">
        <f t="shared" si="27"/>
        <v>0.40709470216776611</v>
      </c>
      <c r="X107" s="6">
        <f t="shared" si="27"/>
        <v>0.40709470216776611</v>
      </c>
      <c r="Y107" s="6">
        <f t="shared" si="27"/>
        <v>0.41637977504986912</v>
      </c>
    </row>
    <row r="108" spans="1:25" x14ac:dyDescent="0.25">
      <c r="A108" s="7" t="s">
        <v>48</v>
      </c>
      <c r="B108" s="7" t="s">
        <v>168</v>
      </c>
      <c r="C108" s="74">
        <v>75</v>
      </c>
      <c r="D108" s="74">
        <v>100</v>
      </c>
      <c r="E108" s="71">
        <f t="shared" si="18"/>
        <v>1.3333333333333333</v>
      </c>
      <c r="F108" s="65" t="str">
        <f t="shared" si="20"/>
        <v>Desempenho Bom</v>
      </c>
      <c r="G108" s="71">
        <f t="shared" si="24"/>
        <v>0.94582556715526966</v>
      </c>
      <c r="H108" s="71">
        <f t="shared" si="24"/>
        <v>1.4311117173682604</v>
      </c>
      <c r="I108" s="71">
        <f t="shared" si="24"/>
        <v>0.46053941694227907</v>
      </c>
      <c r="J108" s="75">
        <v>39127.86</v>
      </c>
      <c r="K108" s="75">
        <v>6215</v>
      </c>
      <c r="L108" s="6">
        <f>(SUM(K98:K108))/J107</f>
        <v>1.0041949649175805</v>
      </c>
      <c r="M108" s="36" t="str">
        <f t="shared" si="21"/>
        <v>Desempenho Bom</v>
      </c>
      <c r="N108" s="6">
        <f t="shared" si="28"/>
        <v>0.72282137340514951</v>
      </c>
      <c r="O108" s="6">
        <f t="shared" si="28"/>
        <v>1.2463651595014014</v>
      </c>
      <c r="P108" s="6">
        <f t="shared" si="28"/>
        <v>0.19927758730889755</v>
      </c>
      <c r="Q108" s="75">
        <v>76</v>
      </c>
      <c r="R108" s="76">
        <v>77</v>
      </c>
      <c r="S108" s="6">
        <f t="shared" si="19"/>
        <v>1.013157894736842</v>
      </c>
      <c r="T108" s="36" t="str">
        <f t="shared" si="22"/>
        <v>Desempenho Bom</v>
      </c>
      <c r="U108" s="6">
        <f t="shared" si="27"/>
        <v>0.91825333306001944</v>
      </c>
      <c r="V108" s="6">
        <f t="shared" si="27"/>
        <v>1.402047931898428</v>
      </c>
      <c r="W108" s="6">
        <f t="shared" si="27"/>
        <v>0.43445873422161085</v>
      </c>
      <c r="X108" s="6">
        <f t="shared" si="27"/>
        <v>0.43445873422161085</v>
      </c>
      <c r="Y108" s="6">
        <f t="shared" si="27"/>
        <v>0.48379459883840858</v>
      </c>
    </row>
    <row r="109" spans="1:25" x14ac:dyDescent="0.25">
      <c r="A109" s="7" t="s">
        <v>48</v>
      </c>
      <c r="B109" s="7" t="s">
        <v>169</v>
      </c>
      <c r="C109" s="74">
        <v>75</v>
      </c>
      <c r="D109" s="74">
        <v>100</v>
      </c>
      <c r="E109" s="71">
        <f t="shared" si="18"/>
        <v>1.3333333333333333</v>
      </c>
      <c r="F109" s="65" t="str">
        <f t="shared" si="20"/>
        <v>Desempenho Bom</v>
      </c>
      <c r="G109" s="71">
        <f t="shared" si="24"/>
        <v>1.0016849877757958</v>
      </c>
      <c r="H109" s="71">
        <f t="shared" si="24"/>
        <v>1.521489991464148</v>
      </c>
      <c r="I109" s="71">
        <f t="shared" si="24"/>
        <v>0.48187998408744359</v>
      </c>
      <c r="J109" s="75">
        <v>39127.86</v>
      </c>
      <c r="K109" s="75">
        <v>1160</v>
      </c>
      <c r="L109" s="6">
        <f>(SUM(K98:K109))/J108</f>
        <v>1.0338413600948275</v>
      </c>
      <c r="M109" s="36" t="str">
        <f t="shared" si="21"/>
        <v>Desempenho Bom</v>
      </c>
      <c r="N109" s="6">
        <f t="shared" si="28"/>
        <v>0.82421983567812696</v>
      </c>
      <c r="O109" s="6">
        <f t="shared" si="28"/>
        <v>1.3730394926064369</v>
      </c>
      <c r="P109" s="6">
        <f t="shared" si="28"/>
        <v>0.27540017874981693</v>
      </c>
      <c r="Q109" s="75">
        <v>76</v>
      </c>
      <c r="R109" s="76">
        <v>77</v>
      </c>
      <c r="S109" s="6">
        <f t="shared" si="19"/>
        <v>1.013157894736842</v>
      </c>
      <c r="T109" s="36" t="str">
        <f t="shared" si="22"/>
        <v>Desempenho Bom</v>
      </c>
      <c r="U109" s="6">
        <f t="shared" si="27"/>
        <v>0.91825333306001944</v>
      </c>
      <c r="V109" s="6">
        <f t="shared" si="27"/>
        <v>1.402047931898428</v>
      </c>
      <c r="W109" s="6">
        <f t="shared" si="27"/>
        <v>0.43445873422161085</v>
      </c>
      <c r="X109" s="6">
        <f t="shared" si="27"/>
        <v>0.43445873422161085</v>
      </c>
      <c r="Y109" s="6">
        <f t="shared" si="27"/>
        <v>0.48379459883840858</v>
      </c>
    </row>
    <row r="110" spans="1:25" x14ac:dyDescent="0.25">
      <c r="A110" s="7" t="s">
        <v>93</v>
      </c>
      <c r="B110" s="7" t="s">
        <v>158</v>
      </c>
      <c r="C110" s="74">
        <v>75</v>
      </c>
      <c r="D110" s="74">
        <v>9</v>
      </c>
      <c r="E110" s="71">
        <f t="shared" si="18"/>
        <v>0.12</v>
      </c>
      <c r="F110" s="65" t="str">
        <f t="shared" si="20"/>
        <v>Desempenho Bom</v>
      </c>
      <c r="G110" s="71">
        <f t="shared" si="24"/>
        <v>0.11573204891712785</v>
      </c>
      <c r="H110" s="71">
        <f t="shared" si="24"/>
        <v>0.30218524997148988</v>
      </c>
      <c r="I110" s="71">
        <f t="shared" si="24"/>
        <v>-7.0721152137234206E-2</v>
      </c>
      <c r="J110" s="75">
        <v>36000</v>
      </c>
      <c r="K110" s="75">
        <v>1200</v>
      </c>
      <c r="L110" s="6">
        <f>K110/J110</f>
        <v>3.3333333333333333E-2</v>
      </c>
      <c r="M110" s="36" t="str">
        <f t="shared" si="21"/>
        <v>Desempenho Médio</v>
      </c>
      <c r="N110" s="6">
        <f t="shared" si="28"/>
        <v>0.11129468122233216</v>
      </c>
      <c r="O110" s="6">
        <f t="shared" si="28"/>
        <v>0.54990456699293522</v>
      </c>
      <c r="P110" s="6">
        <f t="shared" si="28"/>
        <v>-0.32731520454827095</v>
      </c>
      <c r="Q110" s="75">
        <v>80</v>
      </c>
      <c r="R110" s="76">
        <v>18</v>
      </c>
      <c r="S110" s="6">
        <f t="shared" si="19"/>
        <v>0.22500000000000001</v>
      </c>
      <c r="T110" s="36" t="str">
        <f t="shared" si="22"/>
        <v>Desempenho Ótimo</v>
      </c>
      <c r="U110" s="6">
        <f t="shared" si="27"/>
        <v>6.5053670194766225E-2</v>
      </c>
      <c r="V110" s="6">
        <f t="shared" si="27"/>
        <v>0.16010348962314203</v>
      </c>
      <c r="W110" s="6">
        <f t="shared" si="27"/>
        <v>-2.9996149233609562E-2</v>
      </c>
      <c r="X110" s="6">
        <f t="shared" si="27"/>
        <v>1.7528760480578331E-2</v>
      </c>
      <c r="Y110" s="6">
        <f t="shared" si="27"/>
        <v>9.5049819428375787E-2</v>
      </c>
    </row>
    <row r="111" spans="1:25" x14ac:dyDescent="0.25">
      <c r="A111" s="7" t="s">
        <v>93</v>
      </c>
      <c r="B111" s="7" t="s">
        <v>159</v>
      </c>
      <c r="C111" s="74">
        <v>75</v>
      </c>
      <c r="D111" s="74">
        <v>15</v>
      </c>
      <c r="E111" s="71">
        <f t="shared" si="18"/>
        <v>0.2</v>
      </c>
      <c r="F111" s="65" t="str">
        <f t="shared" si="20"/>
        <v>Desempenho Médio</v>
      </c>
      <c r="G111" s="71">
        <f t="shared" si="24"/>
        <v>0.22598075676513599</v>
      </c>
      <c r="H111" s="71">
        <f t="shared" si="24"/>
        <v>0.51894873552035481</v>
      </c>
      <c r="I111" s="71">
        <f t="shared" si="24"/>
        <v>-6.6987221990082807E-2</v>
      </c>
      <c r="J111" s="75">
        <v>36000</v>
      </c>
      <c r="K111" s="75">
        <v>1610</v>
      </c>
      <c r="L111" s="6">
        <f>(SUM(K110:K111))/J110</f>
        <v>7.8055555555555559E-2</v>
      </c>
      <c r="M111" s="36" t="str">
        <f t="shared" si="21"/>
        <v>Desempenho Médio</v>
      </c>
      <c r="N111" s="6">
        <f t="shared" si="28"/>
        <v>0.14992070801509372</v>
      </c>
      <c r="O111" s="6">
        <f t="shared" si="28"/>
        <v>0.58968599072326611</v>
      </c>
      <c r="P111" s="6">
        <f t="shared" si="28"/>
        <v>-0.28984457469307867</v>
      </c>
      <c r="Q111" s="75">
        <v>80</v>
      </c>
      <c r="R111" s="76">
        <v>18</v>
      </c>
      <c r="S111" s="6">
        <f t="shared" si="19"/>
        <v>0.22500000000000001</v>
      </c>
      <c r="T111" s="36" t="str">
        <f t="shared" si="22"/>
        <v>Desempenho Ótimo</v>
      </c>
      <c r="U111" s="6">
        <f t="shared" ref="U111:Y126" si="29">U99</f>
        <v>6.5053670194766225E-2</v>
      </c>
      <c r="V111" s="6">
        <f t="shared" si="29"/>
        <v>0.16010348962314203</v>
      </c>
      <c r="W111" s="6">
        <f t="shared" si="29"/>
        <v>-2.9996149233609562E-2</v>
      </c>
      <c r="X111" s="6">
        <f t="shared" si="29"/>
        <v>1.7528760480578331E-2</v>
      </c>
      <c r="Y111" s="6">
        <f t="shared" si="29"/>
        <v>9.5049819428375787E-2</v>
      </c>
    </row>
    <row r="112" spans="1:25" x14ac:dyDescent="0.25">
      <c r="A112" s="7" t="s">
        <v>93</v>
      </c>
      <c r="B112" s="7" t="s">
        <v>160</v>
      </c>
      <c r="C112" s="74">
        <v>75</v>
      </c>
      <c r="D112" s="74">
        <v>21</v>
      </c>
      <c r="E112" s="71">
        <f t="shared" si="18"/>
        <v>0.28000000000000003</v>
      </c>
      <c r="F112" s="65" t="str">
        <f t="shared" si="20"/>
        <v>Desempenho Médio</v>
      </c>
      <c r="G112" s="71">
        <f t="shared" si="24"/>
        <v>0.2827891266215985</v>
      </c>
      <c r="H112" s="71">
        <f t="shared" si="24"/>
        <v>0.59134445337262298</v>
      </c>
      <c r="I112" s="71">
        <f t="shared" si="24"/>
        <v>-2.5766200129425987E-2</v>
      </c>
      <c r="J112" s="75">
        <v>36000</v>
      </c>
      <c r="K112" s="75">
        <v>1650</v>
      </c>
      <c r="L112" s="6">
        <f>(SUM(K110:K112))/J111</f>
        <v>0.1238888888888889</v>
      </c>
      <c r="M112" s="36" t="str">
        <f t="shared" si="21"/>
        <v>Desempenho Médio</v>
      </c>
      <c r="N112" s="6">
        <f t="shared" si="28"/>
        <v>0.17723994755342617</v>
      </c>
      <c r="O112" s="6">
        <f t="shared" si="28"/>
        <v>0.61473682715667155</v>
      </c>
      <c r="P112" s="6">
        <f t="shared" si="28"/>
        <v>-0.26025693204981915</v>
      </c>
      <c r="Q112" s="75">
        <v>80</v>
      </c>
      <c r="R112" s="76">
        <v>21</v>
      </c>
      <c r="S112" s="6">
        <f t="shared" si="19"/>
        <v>0.26250000000000001</v>
      </c>
      <c r="T112" s="36" t="str">
        <f t="shared" si="22"/>
        <v>Desempenho Bom</v>
      </c>
      <c r="U112" s="6">
        <f t="shared" si="29"/>
        <v>0.18401218302179842</v>
      </c>
      <c r="V112" s="6">
        <f t="shared" si="29"/>
        <v>0.37883088095577799</v>
      </c>
      <c r="W112" s="6">
        <f t="shared" si="29"/>
        <v>-1.0806514912181153E-2</v>
      </c>
      <c r="X112" s="6">
        <f t="shared" si="29"/>
        <v>8.6602834054808633E-2</v>
      </c>
      <c r="Y112" s="6">
        <f t="shared" si="29"/>
        <v>0.19481869793397957</v>
      </c>
    </row>
    <row r="113" spans="1:25" x14ac:dyDescent="0.25">
      <c r="A113" s="7" t="s">
        <v>93</v>
      </c>
      <c r="B113" s="7" t="s">
        <v>161</v>
      </c>
      <c r="C113" s="74">
        <v>75</v>
      </c>
      <c r="D113" s="74">
        <v>26</v>
      </c>
      <c r="E113" s="71">
        <f t="shared" si="18"/>
        <v>0.34666666666666668</v>
      </c>
      <c r="F113" s="65" t="str">
        <f t="shared" si="20"/>
        <v>Desempenho Médio</v>
      </c>
      <c r="G113" s="71">
        <f t="shared" si="24"/>
        <v>0.36222496935690102</v>
      </c>
      <c r="H113" s="71">
        <f t="shared" si="24"/>
        <v>0.67917151968337719</v>
      </c>
      <c r="I113" s="71">
        <f t="shared" si="24"/>
        <v>4.5278419030424844E-2</v>
      </c>
      <c r="J113" s="75">
        <v>36000</v>
      </c>
      <c r="K113" s="75">
        <v>1380</v>
      </c>
      <c r="L113" s="6">
        <f>(SUM(K110:K113))/J112</f>
        <v>0.16222222222222221</v>
      </c>
      <c r="M113" s="36" t="str">
        <f t="shared" si="21"/>
        <v>Desempenho Médio</v>
      </c>
      <c r="N113" s="6">
        <f t="shared" si="28"/>
        <v>0.2271654986777647</v>
      </c>
      <c r="O113" s="6">
        <f t="shared" si="28"/>
        <v>0.71582389712396544</v>
      </c>
      <c r="P113" s="6">
        <f t="shared" si="28"/>
        <v>-0.26149289976843598</v>
      </c>
      <c r="Q113" s="75">
        <v>80</v>
      </c>
      <c r="R113" s="76">
        <v>21</v>
      </c>
      <c r="S113" s="6">
        <f t="shared" si="19"/>
        <v>0.26250000000000001</v>
      </c>
      <c r="T113" s="36" t="str">
        <f t="shared" si="22"/>
        <v>Desempenho Bom</v>
      </c>
      <c r="U113" s="6">
        <f t="shared" si="29"/>
        <v>0.18401218302179842</v>
      </c>
      <c r="V113" s="6">
        <f t="shared" si="29"/>
        <v>0.37883088095577799</v>
      </c>
      <c r="W113" s="6">
        <f t="shared" si="29"/>
        <v>-1.0806514912181153E-2</v>
      </c>
      <c r="X113" s="6">
        <f t="shared" si="29"/>
        <v>8.6602834054808633E-2</v>
      </c>
      <c r="Y113" s="6">
        <f t="shared" si="29"/>
        <v>0.19481869793397957</v>
      </c>
    </row>
    <row r="114" spans="1:25" x14ac:dyDescent="0.25">
      <c r="A114" s="7" t="s">
        <v>93</v>
      </c>
      <c r="B114" s="7" t="s">
        <v>162</v>
      </c>
      <c r="C114" s="74">
        <v>75</v>
      </c>
      <c r="D114" s="74">
        <v>47</v>
      </c>
      <c r="E114" s="71">
        <f t="shared" si="18"/>
        <v>0.62666666666666671</v>
      </c>
      <c r="F114" s="65" t="str">
        <f t="shared" si="20"/>
        <v>Desempenho Bom</v>
      </c>
      <c r="G114" s="71">
        <f t="shared" si="24"/>
        <v>0.44825178806664662</v>
      </c>
      <c r="H114" s="71">
        <f t="shared" si="24"/>
        <v>0.78548221403733831</v>
      </c>
      <c r="I114" s="71">
        <f t="shared" si="24"/>
        <v>0.11102136209595498</v>
      </c>
      <c r="J114" s="75">
        <v>36000</v>
      </c>
      <c r="K114" s="75">
        <v>3810</v>
      </c>
      <c r="L114" s="6">
        <f>(SUM(K110:K114))/J113</f>
        <v>0.26805555555555555</v>
      </c>
      <c r="M114" s="36" t="str">
        <f t="shared" si="21"/>
        <v>Desempenho Médio</v>
      </c>
      <c r="N114" s="6">
        <f t="shared" si="28"/>
        <v>0.27284258705105507</v>
      </c>
      <c r="O114" s="6">
        <f t="shared" si="28"/>
        <v>0.75981161093062477</v>
      </c>
      <c r="P114" s="6">
        <f t="shared" si="28"/>
        <v>-0.21412643682851468</v>
      </c>
      <c r="Q114" s="75">
        <v>80</v>
      </c>
      <c r="R114" s="76">
        <v>21</v>
      </c>
      <c r="S114" s="6">
        <f t="shared" si="19"/>
        <v>0.26250000000000001</v>
      </c>
      <c r="T114" s="36" t="str">
        <f t="shared" si="22"/>
        <v>Desempenho Bom</v>
      </c>
      <c r="U114" s="6">
        <f t="shared" si="29"/>
        <v>0.23278475191631845</v>
      </c>
      <c r="V114" s="6">
        <f t="shared" si="29"/>
        <v>0.51017789992422413</v>
      </c>
      <c r="W114" s="6">
        <f t="shared" si="29"/>
        <v>-4.460839609158726E-2</v>
      </c>
      <c r="X114" s="6">
        <f t="shared" si="29"/>
        <v>9.4088177912365595E-2</v>
      </c>
      <c r="Y114" s="6">
        <f t="shared" si="29"/>
        <v>0.27739314800790571</v>
      </c>
    </row>
    <row r="115" spans="1:25" x14ac:dyDescent="0.25">
      <c r="A115" s="7" t="s">
        <v>93</v>
      </c>
      <c r="B115" s="7" t="s">
        <v>163</v>
      </c>
      <c r="C115" s="74">
        <v>75</v>
      </c>
      <c r="D115" s="74">
        <v>47</v>
      </c>
      <c r="E115" s="71">
        <f t="shared" si="18"/>
        <v>0.62666666666666671</v>
      </c>
      <c r="F115" s="65" t="str">
        <f t="shared" si="20"/>
        <v>Desempenho Bom</v>
      </c>
      <c r="G115" s="71">
        <f t="shared" si="24"/>
        <v>0.54231176602906361</v>
      </c>
      <c r="H115" s="71">
        <f t="shared" si="24"/>
        <v>0.92735502699565786</v>
      </c>
      <c r="I115" s="71">
        <f t="shared" si="24"/>
        <v>0.15726850506246942</v>
      </c>
      <c r="J115" s="75">
        <v>36000</v>
      </c>
      <c r="K115" s="75">
        <v>0</v>
      </c>
      <c r="L115" s="6">
        <f>(SUM(K110:K115))/J114</f>
        <v>0.26805555555555555</v>
      </c>
      <c r="M115" s="36" t="str">
        <f t="shared" si="21"/>
        <v>Desempenho Médio</v>
      </c>
      <c r="N115" s="6">
        <f t="shared" si="28"/>
        <v>0.31451673641638933</v>
      </c>
      <c r="O115" s="6">
        <f t="shared" si="28"/>
        <v>0.80702132782766356</v>
      </c>
      <c r="P115" s="6">
        <f t="shared" si="28"/>
        <v>-0.1779878549948849</v>
      </c>
      <c r="Q115" s="75">
        <v>80</v>
      </c>
      <c r="R115" s="76">
        <v>41</v>
      </c>
      <c r="S115" s="6">
        <f t="shared" si="19"/>
        <v>0.51249999999999996</v>
      </c>
      <c r="T115" s="36" t="str">
        <f t="shared" si="22"/>
        <v>Desempenho Bom</v>
      </c>
      <c r="U115" s="6">
        <f t="shared" si="29"/>
        <v>0.46105014853915682</v>
      </c>
      <c r="V115" s="6">
        <f t="shared" si="29"/>
        <v>0.84756736419379908</v>
      </c>
      <c r="W115" s="6">
        <f t="shared" si="29"/>
        <v>7.4532932884514569E-2</v>
      </c>
      <c r="X115" s="6">
        <f t="shared" si="29"/>
        <v>7.4532932884514569E-2</v>
      </c>
      <c r="Y115" s="6">
        <f t="shared" si="29"/>
        <v>0.38651721565464225</v>
      </c>
    </row>
    <row r="116" spans="1:25" x14ac:dyDescent="0.25">
      <c r="A116" s="7" t="s">
        <v>93</v>
      </c>
      <c r="B116" s="7" t="s">
        <v>164</v>
      </c>
      <c r="C116" s="74">
        <v>75</v>
      </c>
      <c r="D116" s="74">
        <v>56</v>
      </c>
      <c r="E116" s="71">
        <f t="shared" si="18"/>
        <v>0.7466666666666667</v>
      </c>
      <c r="F116" s="65" t="str">
        <f t="shared" si="20"/>
        <v>Desempenho Bom</v>
      </c>
      <c r="G116" s="71">
        <f t="shared" si="24"/>
        <v>0.63634637719050002</v>
      </c>
      <c r="H116" s="71">
        <f t="shared" si="24"/>
        <v>1.0512878703900039</v>
      </c>
      <c r="I116" s="71">
        <f t="shared" si="24"/>
        <v>0.22140488399099606</v>
      </c>
      <c r="J116" s="75">
        <v>36000</v>
      </c>
      <c r="K116" s="75">
        <v>1200</v>
      </c>
      <c r="L116" s="6">
        <f>(SUM(K110:K116))/J115</f>
        <v>0.30138888888888887</v>
      </c>
      <c r="M116" s="36" t="str">
        <f t="shared" si="21"/>
        <v>Desempenho Médio</v>
      </c>
      <c r="N116" s="6">
        <f t="shared" si="28"/>
        <v>0.38334713342809434</v>
      </c>
      <c r="O116" s="6">
        <f t="shared" si="28"/>
        <v>0.88375935483946089</v>
      </c>
      <c r="P116" s="6">
        <f t="shared" si="28"/>
        <v>-0.1170650879832722</v>
      </c>
      <c r="Q116" s="75">
        <v>80</v>
      </c>
      <c r="R116" s="76">
        <v>41</v>
      </c>
      <c r="S116" s="6">
        <f t="shared" si="19"/>
        <v>0.51249999999999996</v>
      </c>
      <c r="T116" s="36" t="str">
        <f t="shared" si="22"/>
        <v>Desempenho Bom</v>
      </c>
      <c r="U116" s="6">
        <f t="shared" si="29"/>
        <v>0.46105014853915682</v>
      </c>
      <c r="V116" s="6">
        <f t="shared" si="29"/>
        <v>0.84756736419379908</v>
      </c>
      <c r="W116" s="6">
        <f t="shared" si="29"/>
        <v>7.4532932884514569E-2</v>
      </c>
      <c r="X116" s="6">
        <f t="shared" si="29"/>
        <v>7.4532932884514569E-2</v>
      </c>
      <c r="Y116" s="6">
        <f t="shared" si="29"/>
        <v>0.38651721565464225</v>
      </c>
    </row>
    <row r="117" spans="1:25" x14ac:dyDescent="0.25">
      <c r="A117" s="7" t="s">
        <v>93</v>
      </c>
      <c r="B117" s="7" t="s">
        <v>165</v>
      </c>
      <c r="C117" s="74">
        <v>75</v>
      </c>
      <c r="D117" s="74">
        <v>56</v>
      </c>
      <c r="E117" s="71">
        <f t="shared" si="18"/>
        <v>0.7466666666666667</v>
      </c>
      <c r="F117" s="65" t="str">
        <f t="shared" si="20"/>
        <v>Desempenho Bom</v>
      </c>
      <c r="G117" s="71">
        <f t="shared" si="24"/>
        <v>0.70660866675940681</v>
      </c>
      <c r="H117" s="71">
        <f t="shared" si="24"/>
        <v>1.1341225514190425</v>
      </c>
      <c r="I117" s="71">
        <f t="shared" si="24"/>
        <v>0.27909478209977112</v>
      </c>
      <c r="J117" s="75">
        <v>36000</v>
      </c>
      <c r="K117" s="75">
        <v>17140</v>
      </c>
      <c r="L117" s="6">
        <f>(SUM(K110:K117))/J116</f>
        <v>0.77749999999999997</v>
      </c>
      <c r="M117" s="36" t="str">
        <f t="shared" si="21"/>
        <v>Desempenho Bom</v>
      </c>
      <c r="N117" s="6">
        <f t="shared" si="28"/>
        <v>0.45719521320533213</v>
      </c>
      <c r="O117" s="6">
        <f t="shared" si="28"/>
        <v>0.97356755068321044</v>
      </c>
      <c r="P117" s="6">
        <f t="shared" si="28"/>
        <v>-5.9177124272546122E-2</v>
      </c>
      <c r="Q117" s="75">
        <v>80</v>
      </c>
      <c r="R117" s="76">
        <v>41</v>
      </c>
      <c r="S117" s="6">
        <f t="shared" si="19"/>
        <v>0.51249999999999996</v>
      </c>
      <c r="T117" s="36" t="str">
        <f t="shared" si="22"/>
        <v>Desempenho Bom</v>
      </c>
      <c r="U117" s="6">
        <f t="shared" si="29"/>
        <v>0.46105014853915682</v>
      </c>
      <c r="V117" s="6">
        <f t="shared" si="29"/>
        <v>0.84756736419379908</v>
      </c>
      <c r="W117" s="6">
        <f t="shared" si="29"/>
        <v>7.4532932884514569E-2</v>
      </c>
      <c r="X117" s="6">
        <f t="shared" si="29"/>
        <v>7.4532932884514569E-2</v>
      </c>
      <c r="Y117" s="6">
        <f t="shared" si="29"/>
        <v>0.38651721565464225</v>
      </c>
    </row>
    <row r="118" spans="1:25" x14ac:dyDescent="0.25">
      <c r="A118" s="7" t="s">
        <v>93</v>
      </c>
      <c r="B118" s="7" t="s">
        <v>166</v>
      </c>
      <c r="C118" s="74">
        <v>75</v>
      </c>
      <c r="D118" s="74">
        <v>56</v>
      </c>
      <c r="E118" s="71">
        <f t="shared" si="18"/>
        <v>0.7466666666666667</v>
      </c>
      <c r="F118" s="65" t="str">
        <f t="shared" si="20"/>
        <v>Desempenho Bom</v>
      </c>
      <c r="G118" s="71">
        <f t="shared" si="24"/>
        <v>0.73663014244586189</v>
      </c>
      <c r="H118" s="71">
        <f t="shared" si="24"/>
        <v>1.1737360935948695</v>
      </c>
      <c r="I118" s="71">
        <f t="shared" si="24"/>
        <v>0.29952419129685426</v>
      </c>
      <c r="J118" s="75">
        <v>36000</v>
      </c>
      <c r="K118" s="75">
        <v>0</v>
      </c>
      <c r="L118" s="6">
        <f>(SUM(K110:K118))/J117</f>
        <v>0.77749999999999997</v>
      </c>
      <c r="M118" s="36" t="str">
        <f t="shared" si="21"/>
        <v>Desempenho Bom</v>
      </c>
      <c r="N118" s="6">
        <f t="shared" ref="N118:P133" si="30">N106</f>
        <v>0.50336729135060976</v>
      </c>
      <c r="O118" s="6">
        <f t="shared" si="30"/>
        <v>1.0150591886201059</v>
      </c>
      <c r="P118" s="6">
        <f t="shared" si="30"/>
        <v>-8.3246059188863963E-3</v>
      </c>
      <c r="Q118" s="75">
        <v>80</v>
      </c>
      <c r="R118" s="76">
        <v>53</v>
      </c>
      <c r="S118" s="6">
        <f t="shared" si="19"/>
        <v>0.66249999999999998</v>
      </c>
      <c r="T118" s="36" t="str">
        <f t="shared" si="22"/>
        <v>Desempenho Médio</v>
      </c>
      <c r="U118" s="6">
        <f t="shared" si="29"/>
        <v>0.74232771533595698</v>
      </c>
      <c r="V118" s="6">
        <f t="shared" si="29"/>
        <v>1.1540802341555996</v>
      </c>
      <c r="W118" s="6">
        <f t="shared" si="29"/>
        <v>0.33057519651631434</v>
      </c>
      <c r="X118" s="6">
        <f t="shared" si="29"/>
        <v>0.33057519651631434</v>
      </c>
      <c r="Y118" s="6">
        <f t="shared" si="29"/>
        <v>0.41175251881964264</v>
      </c>
    </row>
    <row r="119" spans="1:25" x14ac:dyDescent="0.25">
      <c r="A119" s="7" t="s">
        <v>93</v>
      </c>
      <c r="B119" s="7" t="s">
        <v>167</v>
      </c>
      <c r="C119" s="74">
        <v>75</v>
      </c>
      <c r="D119" s="74">
        <v>62</v>
      </c>
      <c r="E119" s="71">
        <f t="shared" si="18"/>
        <v>0.82666666666666666</v>
      </c>
      <c r="F119" s="65" t="str">
        <f t="shared" si="20"/>
        <v>Desempenho Bom</v>
      </c>
      <c r="G119" s="71">
        <f t="shared" si="24"/>
        <v>0.82061442726694189</v>
      </c>
      <c r="H119" s="71">
        <f t="shared" si="24"/>
        <v>1.2607833515834532</v>
      </c>
      <c r="I119" s="71">
        <f t="shared" si="24"/>
        <v>0.38044550295043061</v>
      </c>
      <c r="J119" s="75">
        <v>36000</v>
      </c>
      <c r="K119" s="75">
        <v>790</v>
      </c>
      <c r="L119" s="6">
        <f>(SUM(K110:K119))/J118</f>
        <v>0.7994444444444444</v>
      </c>
      <c r="M119" s="36" t="str">
        <f t="shared" si="21"/>
        <v>Desempenho Bom</v>
      </c>
      <c r="N119" s="6">
        <f t="shared" si="30"/>
        <v>0.58006775555216661</v>
      </c>
      <c r="O119" s="6">
        <f t="shared" si="30"/>
        <v>1.099948635873619</v>
      </c>
      <c r="P119" s="6">
        <f t="shared" si="30"/>
        <v>6.0186875230714088E-2</v>
      </c>
      <c r="Q119" s="75">
        <v>80</v>
      </c>
      <c r="R119" s="76">
        <v>53</v>
      </c>
      <c r="S119" s="6">
        <f t="shared" si="19"/>
        <v>0.66249999999999998</v>
      </c>
      <c r="T119" s="36" t="str">
        <f t="shared" si="22"/>
        <v>Desempenho Médio</v>
      </c>
      <c r="U119" s="6">
        <f t="shared" si="29"/>
        <v>0.82347447721763523</v>
      </c>
      <c r="V119" s="6">
        <f t="shared" si="29"/>
        <v>1.2398542522675045</v>
      </c>
      <c r="W119" s="6">
        <f t="shared" si="29"/>
        <v>0.40709470216776611</v>
      </c>
      <c r="X119" s="6">
        <f t="shared" si="29"/>
        <v>0.40709470216776611</v>
      </c>
      <c r="Y119" s="6">
        <f t="shared" si="29"/>
        <v>0.41637977504986912</v>
      </c>
    </row>
    <row r="120" spans="1:25" x14ac:dyDescent="0.25">
      <c r="A120" s="7" t="s">
        <v>93</v>
      </c>
      <c r="B120" s="7" t="s">
        <v>168</v>
      </c>
      <c r="C120" s="74">
        <v>75</v>
      </c>
      <c r="D120" s="74">
        <v>74</v>
      </c>
      <c r="E120" s="71">
        <f t="shared" si="18"/>
        <v>0.98666666666666669</v>
      </c>
      <c r="F120" s="65" t="str">
        <f t="shared" si="20"/>
        <v>Desempenho Bom</v>
      </c>
      <c r="G120" s="71">
        <f t="shared" si="24"/>
        <v>0.94582556715526966</v>
      </c>
      <c r="H120" s="71">
        <f t="shared" si="24"/>
        <v>1.4311117173682604</v>
      </c>
      <c r="I120" s="71">
        <f t="shared" si="24"/>
        <v>0.46053941694227907</v>
      </c>
      <c r="J120" s="75">
        <v>36000</v>
      </c>
      <c r="K120" s="75">
        <v>1189</v>
      </c>
      <c r="L120" s="6">
        <f>(SUM(K110:K120))/J119</f>
        <v>0.83247222222222217</v>
      </c>
      <c r="M120" s="36" t="str">
        <f t="shared" si="21"/>
        <v>Desempenho Bom</v>
      </c>
      <c r="N120" s="6">
        <f t="shared" si="30"/>
        <v>0.72282137340514951</v>
      </c>
      <c r="O120" s="6">
        <f t="shared" si="30"/>
        <v>1.2463651595014014</v>
      </c>
      <c r="P120" s="6">
        <f t="shared" si="30"/>
        <v>0.19927758730889755</v>
      </c>
      <c r="Q120" s="75">
        <v>80</v>
      </c>
      <c r="R120" s="76">
        <v>65</v>
      </c>
      <c r="S120" s="6">
        <f t="shared" si="19"/>
        <v>0.8125</v>
      </c>
      <c r="T120" s="36" t="str">
        <f t="shared" si="22"/>
        <v>Desempenho Médio</v>
      </c>
      <c r="U120" s="6">
        <f t="shared" si="29"/>
        <v>0.91825333306001944</v>
      </c>
      <c r="V120" s="6">
        <f t="shared" si="29"/>
        <v>1.402047931898428</v>
      </c>
      <c r="W120" s="6">
        <f t="shared" si="29"/>
        <v>0.43445873422161085</v>
      </c>
      <c r="X120" s="6">
        <f t="shared" si="29"/>
        <v>0.43445873422161085</v>
      </c>
      <c r="Y120" s="6">
        <f t="shared" si="29"/>
        <v>0.48379459883840858</v>
      </c>
    </row>
    <row r="121" spans="1:25" x14ac:dyDescent="0.25">
      <c r="A121" s="7" t="s">
        <v>93</v>
      </c>
      <c r="B121" s="7" t="s">
        <v>169</v>
      </c>
      <c r="C121" s="74">
        <v>75</v>
      </c>
      <c r="D121" s="74">
        <v>82</v>
      </c>
      <c r="E121" s="71">
        <f t="shared" si="18"/>
        <v>1.0933333333333333</v>
      </c>
      <c r="F121" s="65" t="str">
        <f t="shared" si="20"/>
        <v>Desempenho Bom</v>
      </c>
      <c r="G121" s="71">
        <f t="shared" si="24"/>
        <v>1.0016849877757958</v>
      </c>
      <c r="H121" s="71">
        <f t="shared" si="24"/>
        <v>1.521489991464148</v>
      </c>
      <c r="I121" s="71">
        <f t="shared" si="24"/>
        <v>0.48187998408744359</v>
      </c>
      <c r="J121" s="75">
        <v>36000</v>
      </c>
      <c r="K121" s="75">
        <v>11210</v>
      </c>
      <c r="L121" s="6">
        <f>(SUM(K110:K121))/J120</f>
        <v>1.1438611111111112</v>
      </c>
      <c r="M121" s="36" t="str">
        <f t="shared" si="21"/>
        <v>Desempenho Bom</v>
      </c>
      <c r="N121" s="6">
        <f t="shared" si="30"/>
        <v>0.82421983567812696</v>
      </c>
      <c r="O121" s="6">
        <f t="shared" si="30"/>
        <v>1.3730394926064369</v>
      </c>
      <c r="P121" s="6">
        <f t="shared" si="30"/>
        <v>0.27540017874981693</v>
      </c>
      <c r="Q121" s="75">
        <v>80</v>
      </c>
      <c r="R121" s="76">
        <v>65</v>
      </c>
      <c r="S121" s="6">
        <f t="shared" si="19"/>
        <v>0.8125</v>
      </c>
      <c r="T121" s="36" t="str">
        <f t="shared" si="22"/>
        <v>Desempenho Médio</v>
      </c>
      <c r="U121" s="6">
        <f t="shared" si="29"/>
        <v>0.91825333306001944</v>
      </c>
      <c r="V121" s="6">
        <f t="shared" si="29"/>
        <v>1.402047931898428</v>
      </c>
      <c r="W121" s="6">
        <f t="shared" si="29"/>
        <v>0.43445873422161085</v>
      </c>
      <c r="X121" s="6">
        <f t="shared" si="29"/>
        <v>0.43445873422161085</v>
      </c>
      <c r="Y121" s="6">
        <f t="shared" si="29"/>
        <v>0.48379459883840858</v>
      </c>
    </row>
    <row r="122" spans="1:25" x14ac:dyDescent="0.25">
      <c r="A122" s="7" t="s">
        <v>119</v>
      </c>
      <c r="B122" s="7" t="s">
        <v>158</v>
      </c>
      <c r="C122" s="74">
        <v>53</v>
      </c>
      <c r="D122" s="74">
        <v>0</v>
      </c>
      <c r="E122" s="71">
        <f t="shared" si="18"/>
        <v>0</v>
      </c>
      <c r="F122" s="65" t="str">
        <f t="shared" si="20"/>
        <v>Desempenho Médio</v>
      </c>
      <c r="G122" s="71">
        <f t="shared" si="24"/>
        <v>0.11573204891712785</v>
      </c>
      <c r="H122" s="71">
        <f t="shared" si="24"/>
        <v>0.30218524997148988</v>
      </c>
      <c r="I122" s="71">
        <f t="shared" si="24"/>
        <v>-7.0721152137234206E-2</v>
      </c>
      <c r="J122" s="75">
        <v>3600</v>
      </c>
      <c r="K122" s="75">
        <v>0</v>
      </c>
      <c r="L122" s="6">
        <f>K122/J122</f>
        <v>0</v>
      </c>
      <c r="M122" s="36" t="str">
        <f t="shared" si="21"/>
        <v>Desempenho Médio</v>
      </c>
      <c r="N122" s="6">
        <f t="shared" si="30"/>
        <v>0.11129468122233216</v>
      </c>
      <c r="O122" s="6">
        <f t="shared" si="30"/>
        <v>0.54990456699293522</v>
      </c>
      <c r="P122" s="6">
        <f t="shared" si="30"/>
        <v>-0.32731520454827095</v>
      </c>
      <c r="Q122" s="75">
        <v>33</v>
      </c>
      <c r="R122" s="76">
        <v>0</v>
      </c>
      <c r="S122" s="6">
        <f t="shared" si="19"/>
        <v>0</v>
      </c>
      <c r="T122" s="36" t="str">
        <f t="shared" si="22"/>
        <v>Desempenho Médio</v>
      </c>
      <c r="U122" s="6">
        <f t="shared" si="29"/>
        <v>6.5053670194766225E-2</v>
      </c>
      <c r="V122" s="6">
        <f t="shared" si="29"/>
        <v>0.16010348962314203</v>
      </c>
      <c r="W122" s="6">
        <f t="shared" si="29"/>
        <v>-2.9996149233609562E-2</v>
      </c>
      <c r="X122" s="6">
        <f t="shared" si="29"/>
        <v>1.7528760480578331E-2</v>
      </c>
      <c r="Y122" s="6">
        <f t="shared" si="29"/>
        <v>9.5049819428375787E-2</v>
      </c>
    </row>
    <row r="123" spans="1:25" x14ac:dyDescent="0.25">
      <c r="A123" s="7" t="s">
        <v>119</v>
      </c>
      <c r="B123" s="7" t="s">
        <v>159</v>
      </c>
      <c r="C123" s="74">
        <v>53</v>
      </c>
      <c r="D123" s="74">
        <v>0</v>
      </c>
      <c r="E123" s="71">
        <f t="shared" si="18"/>
        <v>0</v>
      </c>
      <c r="F123" s="65" t="str">
        <f t="shared" si="20"/>
        <v>Desempenho Médio</v>
      </c>
      <c r="G123" s="71">
        <f t="shared" si="24"/>
        <v>0.22598075676513599</v>
      </c>
      <c r="H123" s="71">
        <f t="shared" si="24"/>
        <v>0.51894873552035481</v>
      </c>
      <c r="I123" s="71">
        <f t="shared" si="24"/>
        <v>-6.6987221990082807E-2</v>
      </c>
      <c r="J123" s="75">
        <v>3600</v>
      </c>
      <c r="K123" s="75">
        <v>0</v>
      </c>
      <c r="L123" s="6">
        <f>(SUM(K122:K123))/J122</f>
        <v>0</v>
      </c>
      <c r="M123" s="36" t="str">
        <f t="shared" si="21"/>
        <v>Desempenho Médio</v>
      </c>
      <c r="N123" s="6">
        <f t="shared" si="30"/>
        <v>0.14992070801509372</v>
      </c>
      <c r="O123" s="6">
        <f t="shared" si="30"/>
        <v>0.58968599072326611</v>
      </c>
      <c r="P123" s="6">
        <f t="shared" si="30"/>
        <v>-0.28984457469307867</v>
      </c>
      <c r="Q123" s="75">
        <v>33</v>
      </c>
      <c r="R123" s="76">
        <v>0</v>
      </c>
      <c r="S123" s="6">
        <f t="shared" si="19"/>
        <v>0</v>
      </c>
      <c r="T123" s="36" t="str">
        <f t="shared" si="22"/>
        <v>Desempenho Médio</v>
      </c>
      <c r="U123" s="6">
        <f t="shared" si="29"/>
        <v>6.5053670194766225E-2</v>
      </c>
      <c r="V123" s="6">
        <f t="shared" si="29"/>
        <v>0.16010348962314203</v>
      </c>
      <c r="W123" s="6">
        <f t="shared" si="29"/>
        <v>-2.9996149233609562E-2</v>
      </c>
      <c r="X123" s="6">
        <f t="shared" si="29"/>
        <v>1.7528760480578331E-2</v>
      </c>
      <c r="Y123" s="6">
        <f t="shared" si="29"/>
        <v>9.5049819428375787E-2</v>
      </c>
    </row>
    <row r="124" spans="1:25" x14ac:dyDescent="0.25">
      <c r="A124" s="7" t="s">
        <v>119</v>
      </c>
      <c r="B124" s="7" t="s">
        <v>160</v>
      </c>
      <c r="C124" s="74">
        <v>53</v>
      </c>
      <c r="D124" s="74">
        <v>0</v>
      </c>
      <c r="E124" s="71">
        <f t="shared" si="18"/>
        <v>0</v>
      </c>
      <c r="F124" s="65" t="str">
        <f t="shared" si="20"/>
        <v>Desempenho Médio</v>
      </c>
      <c r="G124" s="71">
        <f t="shared" si="24"/>
        <v>0.2827891266215985</v>
      </c>
      <c r="H124" s="71">
        <f t="shared" si="24"/>
        <v>0.59134445337262298</v>
      </c>
      <c r="I124" s="71">
        <f t="shared" si="24"/>
        <v>-2.5766200129425987E-2</v>
      </c>
      <c r="J124" s="75">
        <v>3600</v>
      </c>
      <c r="K124" s="75">
        <v>0</v>
      </c>
      <c r="L124" s="6">
        <f>(SUM(K122:K124))/J123</f>
        <v>0</v>
      </c>
      <c r="M124" s="36" t="str">
        <f t="shared" si="21"/>
        <v>Desempenho Médio</v>
      </c>
      <c r="N124" s="6">
        <f t="shared" si="30"/>
        <v>0.17723994755342617</v>
      </c>
      <c r="O124" s="6">
        <f t="shared" si="30"/>
        <v>0.61473682715667155</v>
      </c>
      <c r="P124" s="6">
        <f t="shared" si="30"/>
        <v>-0.26025693204981915</v>
      </c>
      <c r="Q124" s="75">
        <v>33</v>
      </c>
      <c r="R124" s="76">
        <v>11</v>
      </c>
      <c r="S124" s="6">
        <f t="shared" si="19"/>
        <v>0.33333333333333331</v>
      </c>
      <c r="T124" s="36" t="str">
        <f t="shared" si="22"/>
        <v>Desempenho Bom</v>
      </c>
      <c r="U124" s="6">
        <f t="shared" si="29"/>
        <v>0.18401218302179842</v>
      </c>
      <c r="V124" s="6">
        <f t="shared" si="29"/>
        <v>0.37883088095577799</v>
      </c>
      <c r="W124" s="6">
        <f t="shared" si="29"/>
        <v>-1.0806514912181153E-2</v>
      </c>
      <c r="X124" s="6">
        <f t="shared" si="29"/>
        <v>8.6602834054808633E-2</v>
      </c>
      <c r="Y124" s="6">
        <f t="shared" si="29"/>
        <v>0.19481869793397957</v>
      </c>
    </row>
    <row r="125" spans="1:25" x14ac:dyDescent="0.25">
      <c r="A125" s="7" t="s">
        <v>119</v>
      </c>
      <c r="B125" s="7" t="s">
        <v>161</v>
      </c>
      <c r="C125" s="74">
        <v>53</v>
      </c>
      <c r="D125" s="74">
        <v>11</v>
      </c>
      <c r="E125" s="71">
        <f t="shared" si="18"/>
        <v>0.20754716981132076</v>
      </c>
      <c r="F125" s="65" t="str">
        <f t="shared" si="20"/>
        <v>Desempenho Médio</v>
      </c>
      <c r="G125" s="71">
        <f t="shared" si="24"/>
        <v>0.36222496935690102</v>
      </c>
      <c r="H125" s="71">
        <f t="shared" si="24"/>
        <v>0.67917151968337719</v>
      </c>
      <c r="I125" s="71">
        <f t="shared" si="24"/>
        <v>4.5278419030424844E-2</v>
      </c>
      <c r="J125" s="75">
        <v>3600</v>
      </c>
      <c r="K125" s="75">
        <v>285</v>
      </c>
      <c r="L125" s="6">
        <f>(SUM(K122:K125))/J124</f>
        <v>7.9166666666666663E-2</v>
      </c>
      <c r="M125" s="36" t="str">
        <f t="shared" si="21"/>
        <v>Desempenho Médio</v>
      </c>
      <c r="N125" s="6">
        <f t="shared" si="30"/>
        <v>0.2271654986777647</v>
      </c>
      <c r="O125" s="6">
        <f t="shared" si="30"/>
        <v>0.71582389712396544</v>
      </c>
      <c r="P125" s="6">
        <f t="shared" si="30"/>
        <v>-0.26149289976843598</v>
      </c>
      <c r="Q125" s="75">
        <v>33</v>
      </c>
      <c r="R125" s="76">
        <v>11</v>
      </c>
      <c r="S125" s="6">
        <f t="shared" si="19"/>
        <v>0.33333333333333331</v>
      </c>
      <c r="T125" s="36" t="str">
        <f t="shared" si="22"/>
        <v>Desempenho Bom</v>
      </c>
      <c r="U125" s="6">
        <f t="shared" si="29"/>
        <v>0.18401218302179842</v>
      </c>
      <c r="V125" s="6">
        <f t="shared" si="29"/>
        <v>0.37883088095577799</v>
      </c>
      <c r="W125" s="6">
        <f t="shared" si="29"/>
        <v>-1.0806514912181153E-2</v>
      </c>
      <c r="X125" s="6">
        <f t="shared" si="29"/>
        <v>8.6602834054808633E-2</v>
      </c>
      <c r="Y125" s="6">
        <f t="shared" si="29"/>
        <v>0.19481869793397957</v>
      </c>
    </row>
    <row r="126" spans="1:25" x14ac:dyDescent="0.25">
      <c r="A126" s="7" t="s">
        <v>119</v>
      </c>
      <c r="B126" s="7" t="s">
        <v>162</v>
      </c>
      <c r="C126" s="74">
        <v>53</v>
      </c>
      <c r="D126" s="74">
        <v>11</v>
      </c>
      <c r="E126" s="71">
        <f t="shared" si="18"/>
        <v>0.20754716981132076</v>
      </c>
      <c r="F126" s="65" t="str">
        <f t="shared" si="20"/>
        <v>Desempenho Médio</v>
      </c>
      <c r="G126" s="71">
        <f t="shared" si="24"/>
        <v>0.44825178806664662</v>
      </c>
      <c r="H126" s="71">
        <f t="shared" si="24"/>
        <v>0.78548221403733831</v>
      </c>
      <c r="I126" s="71">
        <f t="shared" si="24"/>
        <v>0.11102136209595498</v>
      </c>
      <c r="J126" s="75">
        <v>3600</v>
      </c>
      <c r="K126" s="75">
        <v>0</v>
      </c>
      <c r="L126" s="6">
        <f>(SUM(K122:K126))/J125</f>
        <v>7.9166666666666663E-2</v>
      </c>
      <c r="M126" s="36" t="str">
        <f t="shared" si="21"/>
        <v>Desempenho Médio</v>
      </c>
      <c r="N126" s="6">
        <f t="shared" si="30"/>
        <v>0.27284258705105507</v>
      </c>
      <c r="O126" s="6">
        <f t="shared" si="30"/>
        <v>0.75981161093062477</v>
      </c>
      <c r="P126" s="6">
        <f t="shared" si="30"/>
        <v>-0.21412643682851468</v>
      </c>
      <c r="Q126" s="75">
        <v>33</v>
      </c>
      <c r="R126" s="76">
        <v>39</v>
      </c>
      <c r="S126" s="6">
        <f t="shared" si="19"/>
        <v>1.1818181818181819</v>
      </c>
      <c r="T126" s="36" t="str">
        <f t="shared" si="22"/>
        <v>Desempenho Ótimo</v>
      </c>
      <c r="U126" s="6">
        <f t="shared" si="29"/>
        <v>0.23278475191631845</v>
      </c>
      <c r="V126" s="6">
        <f t="shared" si="29"/>
        <v>0.51017789992422413</v>
      </c>
      <c r="W126" s="6">
        <f t="shared" si="29"/>
        <v>-4.460839609158726E-2</v>
      </c>
      <c r="X126" s="6">
        <f t="shared" si="29"/>
        <v>9.4088177912365595E-2</v>
      </c>
      <c r="Y126" s="6">
        <f t="shared" si="29"/>
        <v>0.27739314800790571</v>
      </c>
    </row>
    <row r="127" spans="1:25" x14ac:dyDescent="0.25">
      <c r="A127" s="7" t="s">
        <v>119</v>
      </c>
      <c r="B127" s="7" t="s">
        <v>163</v>
      </c>
      <c r="C127" s="74">
        <v>53</v>
      </c>
      <c r="D127" s="74">
        <v>11</v>
      </c>
      <c r="E127" s="71">
        <f t="shared" si="18"/>
        <v>0.20754716981132076</v>
      </c>
      <c r="F127" s="65" t="str">
        <f t="shared" si="20"/>
        <v>Desempenho Médio</v>
      </c>
      <c r="G127" s="71">
        <f t="shared" si="24"/>
        <v>0.54231176602906361</v>
      </c>
      <c r="H127" s="71">
        <f t="shared" si="24"/>
        <v>0.92735502699565786</v>
      </c>
      <c r="I127" s="71">
        <f t="shared" si="24"/>
        <v>0.15726850506246942</v>
      </c>
      <c r="J127" s="75">
        <v>3600</v>
      </c>
      <c r="K127" s="75">
        <v>0</v>
      </c>
      <c r="L127" s="6">
        <f>(SUM(K122:K127))/J126</f>
        <v>7.9166666666666663E-2</v>
      </c>
      <c r="M127" s="36" t="str">
        <f t="shared" si="21"/>
        <v>Desempenho Médio</v>
      </c>
      <c r="N127" s="6">
        <f t="shared" si="30"/>
        <v>0.31451673641638933</v>
      </c>
      <c r="O127" s="6">
        <f t="shared" si="30"/>
        <v>0.80702132782766356</v>
      </c>
      <c r="P127" s="6">
        <f t="shared" si="30"/>
        <v>-0.1779878549948849</v>
      </c>
      <c r="Q127" s="75">
        <v>33</v>
      </c>
      <c r="R127" s="76">
        <v>39</v>
      </c>
      <c r="S127" s="6">
        <f t="shared" si="19"/>
        <v>1.1818181818181819</v>
      </c>
      <c r="T127" s="36" t="str">
        <f t="shared" si="22"/>
        <v>Desempenho Ótimo</v>
      </c>
      <c r="U127" s="6">
        <f t="shared" ref="U127:Y142" si="31">U115</f>
        <v>0.46105014853915682</v>
      </c>
      <c r="V127" s="6">
        <f t="shared" si="31"/>
        <v>0.84756736419379908</v>
      </c>
      <c r="W127" s="6">
        <f t="shared" si="31"/>
        <v>7.4532932884514569E-2</v>
      </c>
      <c r="X127" s="6">
        <f t="shared" si="31"/>
        <v>7.4532932884514569E-2</v>
      </c>
      <c r="Y127" s="6">
        <f t="shared" si="31"/>
        <v>0.38651721565464225</v>
      </c>
    </row>
    <row r="128" spans="1:25" x14ac:dyDescent="0.25">
      <c r="A128" s="7" t="s">
        <v>119</v>
      </c>
      <c r="B128" s="7" t="s">
        <v>164</v>
      </c>
      <c r="C128" s="74">
        <v>53</v>
      </c>
      <c r="D128" s="74">
        <v>11</v>
      </c>
      <c r="E128" s="71">
        <f t="shared" si="18"/>
        <v>0.20754716981132076</v>
      </c>
      <c r="F128" s="65" t="str">
        <f t="shared" si="20"/>
        <v>Desempenho Deficitário</v>
      </c>
      <c r="G128" s="71">
        <f t="shared" si="24"/>
        <v>0.63634637719050002</v>
      </c>
      <c r="H128" s="71">
        <f t="shared" si="24"/>
        <v>1.0512878703900039</v>
      </c>
      <c r="I128" s="71">
        <f t="shared" si="24"/>
        <v>0.22140488399099606</v>
      </c>
      <c r="J128" s="75">
        <v>3600</v>
      </c>
      <c r="K128" s="75">
        <v>0</v>
      </c>
      <c r="L128" s="6">
        <f>(SUM(K122:K128))/J127</f>
        <v>7.9166666666666663E-2</v>
      </c>
      <c r="M128" s="36" t="str">
        <f t="shared" si="21"/>
        <v>Desempenho Médio</v>
      </c>
      <c r="N128" s="6">
        <f t="shared" si="30"/>
        <v>0.38334713342809434</v>
      </c>
      <c r="O128" s="6">
        <f t="shared" si="30"/>
        <v>0.88375935483946089</v>
      </c>
      <c r="P128" s="6">
        <f t="shared" si="30"/>
        <v>-0.1170650879832722</v>
      </c>
      <c r="Q128" s="75">
        <v>33</v>
      </c>
      <c r="R128" s="76">
        <v>39</v>
      </c>
      <c r="S128" s="6">
        <f t="shared" si="19"/>
        <v>1.1818181818181819</v>
      </c>
      <c r="T128" s="36" t="str">
        <f t="shared" si="22"/>
        <v>Desempenho Ótimo</v>
      </c>
      <c r="U128" s="6">
        <f t="shared" si="31"/>
        <v>0.46105014853915682</v>
      </c>
      <c r="V128" s="6">
        <f t="shared" si="31"/>
        <v>0.84756736419379908</v>
      </c>
      <c r="W128" s="6">
        <f t="shared" si="31"/>
        <v>7.4532932884514569E-2</v>
      </c>
      <c r="X128" s="6">
        <f t="shared" si="31"/>
        <v>7.4532932884514569E-2</v>
      </c>
      <c r="Y128" s="6">
        <f t="shared" si="31"/>
        <v>0.38651721565464225</v>
      </c>
    </row>
    <row r="129" spans="1:25" x14ac:dyDescent="0.25">
      <c r="A129" s="7" t="s">
        <v>119</v>
      </c>
      <c r="B129" s="7" t="s">
        <v>165</v>
      </c>
      <c r="C129" s="74">
        <v>53</v>
      </c>
      <c r="D129" s="74">
        <v>11</v>
      </c>
      <c r="E129" s="71">
        <f t="shared" si="18"/>
        <v>0.20754716981132076</v>
      </c>
      <c r="F129" s="65" t="str">
        <f t="shared" si="20"/>
        <v>Desempenho Deficitário</v>
      </c>
      <c r="G129" s="71">
        <f t="shared" si="24"/>
        <v>0.70660866675940681</v>
      </c>
      <c r="H129" s="71">
        <f t="shared" si="24"/>
        <v>1.1341225514190425</v>
      </c>
      <c r="I129" s="71">
        <f t="shared" si="24"/>
        <v>0.27909478209977112</v>
      </c>
      <c r="J129" s="75">
        <v>3600</v>
      </c>
      <c r="K129" s="75">
        <v>0</v>
      </c>
      <c r="L129" s="6">
        <f>(SUM(K122:K129))/J128</f>
        <v>7.9166666666666663E-2</v>
      </c>
      <c r="M129" s="36" t="str">
        <f t="shared" si="21"/>
        <v>Desempenho Médio</v>
      </c>
      <c r="N129" s="6">
        <f t="shared" si="30"/>
        <v>0.45719521320533213</v>
      </c>
      <c r="O129" s="6">
        <f t="shared" si="30"/>
        <v>0.97356755068321044</v>
      </c>
      <c r="P129" s="6">
        <f t="shared" si="30"/>
        <v>-5.9177124272546122E-2</v>
      </c>
      <c r="Q129" s="75">
        <v>33</v>
      </c>
      <c r="R129" s="76">
        <v>39</v>
      </c>
      <c r="S129" s="6">
        <f t="shared" si="19"/>
        <v>1.1818181818181819</v>
      </c>
      <c r="T129" s="36" t="str">
        <f t="shared" si="22"/>
        <v>Desempenho Ótimo</v>
      </c>
      <c r="U129" s="6">
        <f t="shared" si="31"/>
        <v>0.46105014853915682</v>
      </c>
      <c r="V129" s="6">
        <f t="shared" si="31"/>
        <v>0.84756736419379908</v>
      </c>
      <c r="W129" s="6">
        <f t="shared" si="31"/>
        <v>7.4532932884514569E-2</v>
      </c>
      <c r="X129" s="6">
        <f t="shared" si="31"/>
        <v>7.4532932884514569E-2</v>
      </c>
      <c r="Y129" s="6">
        <f t="shared" si="31"/>
        <v>0.38651721565464225</v>
      </c>
    </row>
    <row r="130" spans="1:25" x14ac:dyDescent="0.25">
      <c r="A130" s="7" t="s">
        <v>119</v>
      </c>
      <c r="B130" s="7" t="s">
        <v>166</v>
      </c>
      <c r="C130" s="74">
        <v>53</v>
      </c>
      <c r="D130" s="74">
        <v>22</v>
      </c>
      <c r="E130" s="71">
        <f t="shared" ref="E130:E193" si="32">D130/C130</f>
        <v>0.41509433962264153</v>
      </c>
      <c r="F130" s="65" t="str">
        <f t="shared" si="20"/>
        <v>Desempenho Médio</v>
      </c>
      <c r="G130" s="71">
        <f t="shared" si="24"/>
        <v>0.73663014244586189</v>
      </c>
      <c r="H130" s="71">
        <f t="shared" si="24"/>
        <v>1.1737360935948695</v>
      </c>
      <c r="I130" s="71">
        <f t="shared" si="24"/>
        <v>0.29952419129685426</v>
      </c>
      <c r="J130" s="75">
        <v>3600</v>
      </c>
      <c r="K130" s="75">
        <v>550</v>
      </c>
      <c r="L130" s="6">
        <f>(SUM(K122:K130))/J129</f>
        <v>0.23194444444444445</v>
      </c>
      <c r="M130" s="36" t="str">
        <f t="shared" si="21"/>
        <v>Desempenho Médio</v>
      </c>
      <c r="N130" s="6">
        <f t="shared" si="30"/>
        <v>0.50336729135060976</v>
      </c>
      <c r="O130" s="6">
        <f t="shared" si="30"/>
        <v>1.0150591886201059</v>
      </c>
      <c r="P130" s="6">
        <f t="shared" si="30"/>
        <v>-8.3246059188863963E-3</v>
      </c>
      <c r="Q130" s="75">
        <v>33</v>
      </c>
      <c r="R130" s="76">
        <v>39</v>
      </c>
      <c r="S130" s="6">
        <f t="shared" ref="S130:S193" si="33">R130/Q130</f>
        <v>1.1818181818181819</v>
      </c>
      <c r="T130" s="36" t="str">
        <f t="shared" si="22"/>
        <v>Desempenho Ótimo</v>
      </c>
      <c r="U130" s="6">
        <f t="shared" si="31"/>
        <v>0.74232771533595698</v>
      </c>
      <c r="V130" s="6">
        <f t="shared" si="31"/>
        <v>1.1540802341555996</v>
      </c>
      <c r="W130" s="6">
        <f t="shared" si="31"/>
        <v>0.33057519651631434</v>
      </c>
      <c r="X130" s="6">
        <f t="shared" si="31"/>
        <v>0.33057519651631434</v>
      </c>
      <c r="Y130" s="6">
        <f t="shared" si="31"/>
        <v>0.41175251881964264</v>
      </c>
    </row>
    <row r="131" spans="1:25" x14ac:dyDescent="0.25">
      <c r="A131" s="7" t="s">
        <v>119</v>
      </c>
      <c r="B131" s="7" t="s">
        <v>167</v>
      </c>
      <c r="C131" s="74">
        <v>53</v>
      </c>
      <c r="D131" s="74">
        <v>39</v>
      </c>
      <c r="E131" s="71">
        <f t="shared" si="32"/>
        <v>0.73584905660377353</v>
      </c>
      <c r="F131" s="65" t="str">
        <f t="shared" ref="F131:F194" si="34">IF(E131&gt;=H131,"Desempenho Ótimo",(IF(E131&gt;G131,"Desempenho Bom",(IF(E131&gt;I131,"Desempenho Médio",IF(E131&lt;=I131,"Desempenho Deficitário",0))))))</f>
        <v>Desempenho Médio</v>
      </c>
      <c r="G131" s="71">
        <f t="shared" si="24"/>
        <v>0.82061442726694189</v>
      </c>
      <c r="H131" s="71">
        <f t="shared" si="24"/>
        <v>1.2607833515834532</v>
      </c>
      <c r="I131" s="71">
        <f t="shared" si="24"/>
        <v>0.38044550295043061</v>
      </c>
      <c r="J131" s="75">
        <v>3600</v>
      </c>
      <c r="K131" s="75">
        <v>500</v>
      </c>
      <c r="L131" s="6">
        <f>(SUM(K122:K131))/J130</f>
        <v>0.37083333333333335</v>
      </c>
      <c r="M131" s="36" t="str">
        <f t="shared" ref="M131:M194" si="35">IF(L131&gt;=O131,"Desempenho Ótimo",(IF(L131&gt;N131,"Desempenho Bom",(IF(L131&gt;P131,"Desempenho Médio",IF(L131&lt;=P131,"Desempenho Deficitário",0))))))</f>
        <v>Desempenho Médio</v>
      </c>
      <c r="N131" s="6">
        <f t="shared" si="30"/>
        <v>0.58006775555216661</v>
      </c>
      <c r="O131" s="6">
        <f t="shared" si="30"/>
        <v>1.099948635873619</v>
      </c>
      <c r="P131" s="6">
        <f t="shared" si="30"/>
        <v>6.0186875230714088E-2</v>
      </c>
      <c r="Q131" s="75">
        <v>33</v>
      </c>
      <c r="R131" s="76">
        <v>39</v>
      </c>
      <c r="S131" s="6">
        <f t="shared" si="33"/>
        <v>1.1818181818181819</v>
      </c>
      <c r="T131" s="36" t="str">
        <f t="shared" ref="T131:T194" si="36">IF(S131&gt;=V131,"Desempenho Ótimo",(IF(S131&gt;U131,"Desempenho Bom",(IF(S131&gt;W131,"Desempenho Médio",IF(S131&lt;=W131,"Desempenho Deficitário",0))))))</f>
        <v>Desempenho Bom</v>
      </c>
      <c r="U131" s="6">
        <f t="shared" si="31"/>
        <v>0.82347447721763523</v>
      </c>
      <c r="V131" s="6">
        <f t="shared" si="31"/>
        <v>1.2398542522675045</v>
      </c>
      <c r="W131" s="6">
        <f t="shared" si="31"/>
        <v>0.40709470216776611</v>
      </c>
      <c r="X131" s="6">
        <f t="shared" si="31"/>
        <v>0.40709470216776611</v>
      </c>
      <c r="Y131" s="6">
        <f t="shared" si="31"/>
        <v>0.41637977504986912</v>
      </c>
    </row>
    <row r="132" spans="1:25" x14ac:dyDescent="0.25">
      <c r="A132" s="7" t="s">
        <v>119</v>
      </c>
      <c r="B132" s="7" t="s">
        <v>168</v>
      </c>
      <c r="C132" s="74">
        <v>53</v>
      </c>
      <c r="D132" s="74">
        <v>39</v>
      </c>
      <c r="E132" s="71">
        <f t="shared" si="32"/>
        <v>0.73584905660377353</v>
      </c>
      <c r="F132" s="65" t="str">
        <f t="shared" si="34"/>
        <v>Desempenho Médio</v>
      </c>
      <c r="G132" s="71">
        <f t="shared" si="24"/>
        <v>0.94582556715526966</v>
      </c>
      <c r="H132" s="71">
        <f t="shared" si="24"/>
        <v>1.4311117173682604</v>
      </c>
      <c r="I132" s="71">
        <f t="shared" si="24"/>
        <v>0.46053941694227907</v>
      </c>
      <c r="J132" s="75">
        <v>3600</v>
      </c>
      <c r="K132" s="75">
        <v>0</v>
      </c>
      <c r="L132" s="6">
        <f>(SUM(K122:K132))/J131</f>
        <v>0.37083333333333335</v>
      </c>
      <c r="M132" s="36" t="str">
        <f t="shared" si="35"/>
        <v>Desempenho Médio</v>
      </c>
      <c r="N132" s="6">
        <f t="shared" si="30"/>
        <v>0.72282137340514951</v>
      </c>
      <c r="O132" s="6">
        <f t="shared" si="30"/>
        <v>1.2463651595014014</v>
      </c>
      <c r="P132" s="6">
        <f t="shared" si="30"/>
        <v>0.19927758730889755</v>
      </c>
      <c r="Q132" s="75">
        <v>33</v>
      </c>
      <c r="R132" s="76">
        <v>39</v>
      </c>
      <c r="S132" s="6">
        <f t="shared" si="33"/>
        <v>1.1818181818181819</v>
      </c>
      <c r="T132" s="36" t="str">
        <f t="shared" si="36"/>
        <v>Desempenho Bom</v>
      </c>
      <c r="U132" s="6">
        <f t="shared" si="31"/>
        <v>0.91825333306001944</v>
      </c>
      <c r="V132" s="6">
        <f t="shared" si="31"/>
        <v>1.402047931898428</v>
      </c>
      <c r="W132" s="6">
        <f t="shared" si="31"/>
        <v>0.43445873422161085</v>
      </c>
      <c r="X132" s="6">
        <f t="shared" si="31"/>
        <v>0.43445873422161085</v>
      </c>
      <c r="Y132" s="6">
        <f t="shared" si="31"/>
        <v>0.48379459883840858</v>
      </c>
    </row>
    <row r="133" spans="1:25" x14ac:dyDescent="0.25">
      <c r="A133" s="7" t="s">
        <v>119</v>
      </c>
      <c r="B133" s="7" t="s">
        <v>169</v>
      </c>
      <c r="C133" s="74">
        <v>53</v>
      </c>
      <c r="D133" s="74">
        <v>50</v>
      </c>
      <c r="E133" s="71">
        <f t="shared" si="32"/>
        <v>0.94339622641509435</v>
      </c>
      <c r="F133" s="65" t="str">
        <f t="shared" si="34"/>
        <v>Desempenho Médio</v>
      </c>
      <c r="G133" s="71">
        <f t="shared" si="24"/>
        <v>1.0016849877757958</v>
      </c>
      <c r="H133" s="71">
        <f t="shared" si="24"/>
        <v>1.521489991464148</v>
      </c>
      <c r="I133" s="71">
        <f t="shared" si="24"/>
        <v>0.48187998408744359</v>
      </c>
      <c r="J133" s="75">
        <v>3600</v>
      </c>
      <c r="K133" s="75">
        <v>300</v>
      </c>
      <c r="L133" s="6">
        <f>(SUM(K122:K133))/J132</f>
        <v>0.45416666666666666</v>
      </c>
      <c r="M133" s="36" t="str">
        <f t="shared" si="35"/>
        <v>Desempenho Médio</v>
      </c>
      <c r="N133" s="6">
        <f t="shared" si="30"/>
        <v>0.82421983567812696</v>
      </c>
      <c r="O133" s="6">
        <f t="shared" si="30"/>
        <v>1.3730394926064369</v>
      </c>
      <c r="P133" s="6">
        <f t="shared" si="30"/>
        <v>0.27540017874981693</v>
      </c>
      <c r="Q133" s="75">
        <v>33</v>
      </c>
      <c r="R133" s="76">
        <v>39</v>
      </c>
      <c r="S133" s="6">
        <f t="shared" si="33"/>
        <v>1.1818181818181819</v>
      </c>
      <c r="T133" s="36" t="str">
        <f t="shared" si="36"/>
        <v>Desempenho Bom</v>
      </c>
      <c r="U133" s="6">
        <f t="shared" si="31"/>
        <v>0.91825333306001944</v>
      </c>
      <c r="V133" s="6">
        <f t="shared" si="31"/>
        <v>1.402047931898428</v>
      </c>
      <c r="W133" s="6">
        <f t="shared" si="31"/>
        <v>0.43445873422161085</v>
      </c>
      <c r="X133" s="6">
        <f t="shared" si="31"/>
        <v>0.43445873422161085</v>
      </c>
      <c r="Y133" s="6">
        <f t="shared" si="31"/>
        <v>0.48379459883840858</v>
      </c>
    </row>
    <row r="134" spans="1:25" x14ac:dyDescent="0.25">
      <c r="A134" s="7" t="s">
        <v>123</v>
      </c>
      <c r="B134" s="7" t="s">
        <v>158</v>
      </c>
      <c r="C134" s="74">
        <v>75</v>
      </c>
      <c r="D134" s="74">
        <v>11</v>
      </c>
      <c r="E134" s="71">
        <f t="shared" si="32"/>
        <v>0.14666666666666667</v>
      </c>
      <c r="F134" s="65" t="str">
        <f t="shared" si="34"/>
        <v>Desempenho Bom</v>
      </c>
      <c r="G134" s="71">
        <f t="shared" si="24"/>
        <v>0.11573204891712785</v>
      </c>
      <c r="H134" s="71">
        <f t="shared" si="24"/>
        <v>0.30218524997148988</v>
      </c>
      <c r="I134" s="71">
        <f t="shared" si="24"/>
        <v>-7.0721152137234206E-2</v>
      </c>
      <c r="J134" s="75">
        <v>90000</v>
      </c>
      <c r="K134" s="75">
        <v>1870</v>
      </c>
      <c r="L134" s="6">
        <f>K134/J134</f>
        <v>2.0777777777777777E-2</v>
      </c>
      <c r="M134" s="36" t="str">
        <f t="shared" si="35"/>
        <v>Desempenho Médio</v>
      </c>
      <c r="N134" s="6">
        <f t="shared" ref="N134:P149" si="37">N122</f>
        <v>0.11129468122233216</v>
      </c>
      <c r="O134" s="6">
        <f t="shared" si="37"/>
        <v>0.54990456699293522</v>
      </c>
      <c r="P134" s="6">
        <f t="shared" si="37"/>
        <v>-0.32731520454827095</v>
      </c>
      <c r="Q134" s="75">
        <v>80</v>
      </c>
      <c r="R134" s="76">
        <v>18</v>
      </c>
      <c r="S134" s="6">
        <f t="shared" si="33"/>
        <v>0.22500000000000001</v>
      </c>
      <c r="T134" s="36" t="str">
        <f t="shared" si="36"/>
        <v>Desempenho Ótimo</v>
      </c>
      <c r="U134" s="6">
        <f t="shared" si="31"/>
        <v>6.5053670194766225E-2</v>
      </c>
      <c r="V134" s="6">
        <f t="shared" si="31"/>
        <v>0.16010348962314203</v>
      </c>
      <c r="W134" s="6">
        <f t="shared" si="31"/>
        <v>-2.9996149233609562E-2</v>
      </c>
      <c r="X134" s="6">
        <f t="shared" si="31"/>
        <v>1.7528760480578331E-2</v>
      </c>
      <c r="Y134" s="6">
        <f t="shared" si="31"/>
        <v>9.5049819428375787E-2</v>
      </c>
    </row>
    <row r="135" spans="1:25" x14ac:dyDescent="0.25">
      <c r="A135" s="7" t="s">
        <v>123</v>
      </c>
      <c r="B135" s="7" t="s">
        <v>159</v>
      </c>
      <c r="C135" s="74">
        <v>75</v>
      </c>
      <c r="D135" s="74">
        <v>21</v>
      </c>
      <c r="E135" s="71">
        <f t="shared" si="32"/>
        <v>0.28000000000000003</v>
      </c>
      <c r="F135" s="65" t="str">
        <f t="shared" si="34"/>
        <v>Desempenho Bom</v>
      </c>
      <c r="G135" s="71">
        <f t="shared" si="24"/>
        <v>0.22598075676513599</v>
      </c>
      <c r="H135" s="71">
        <f t="shared" si="24"/>
        <v>0.51894873552035481</v>
      </c>
      <c r="I135" s="71">
        <f t="shared" si="24"/>
        <v>-6.6987221990082807E-2</v>
      </c>
      <c r="J135" s="75">
        <v>90000</v>
      </c>
      <c r="K135" s="75">
        <v>1662</v>
      </c>
      <c r="L135" s="6">
        <f>(SUM(K134:K135))/J134</f>
        <v>3.9244444444444443E-2</v>
      </c>
      <c r="M135" s="36" t="str">
        <f t="shared" si="35"/>
        <v>Desempenho Médio</v>
      </c>
      <c r="N135" s="6">
        <f t="shared" si="37"/>
        <v>0.14992070801509372</v>
      </c>
      <c r="O135" s="6">
        <f t="shared" si="37"/>
        <v>0.58968599072326611</v>
      </c>
      <c r="P135" s="6">
        <f t="shared" si="37"/>
        <v>-0.28984457469307867</v>
      </c>
      <c r="Q135" s="75">
        <v>80</v>
      </c>
      <c r="R135" s="76">
        <v>18</v>
      </c>
      <c r="S135" s="6">
        <f t="shared" si="33"/>
        <v>0.22500000000000001</v>
      </c>
      <c r="T135" s="36" t="str">
        <f t="shared" si="36"/>
        <v>Desempenho Ótimo</v>
      </c>
      <c r="U135" s="6">
        <f t="shared" si="31"/>
        <v>6.5053670194766225E-2</v>
      </c>
      <c r="V135" s="6">
        <f t="shared" si="31"/>
        <v>0.16010348962314203</v>
      </c>
      <c r="W135" s="6">
        <f t="shared" si="31"/>
        <v>-2.9996149233609562E-2</v>
      </c>
      <c r="X135" s="6">
        <f t="shared" si="31"/>
        <v>1.7528760480578331E-2</v>
      </c>
      <c r="Y135" s="6">
        <f t="shared" si="31"/>
        <v>9.5049819428375787E-2</v>
      </c>
    </row>
    <row r="136" spans="1:25" x14ac:dyDescent="0.25">
      <c r="A136" s="7" t="s">
        <v>123</v>
      </c>
      <c r="B136" s="7" t="s">
        <v>160</v>
      </c>
      <c r="C136" s="74">
        <v>75</v>
      </c>
      <c r="D136" s="74">
        <v>32</v>
      </c>
      <c r="E136" s="71">
        <f t="shared" si="32"/>
        <v>0.42666666666666669</v>
      </c>
      <c r="F136" s="65" t="str">
        <f t="shared" si="34"/>
        <v>Desempenho Bom</v>
      </c>
      <c r="G136" s="71">
        <f t="shared" si="24"/>
        <v>0.2827891266215985</v>
      </c>
      <c r="H136" s="71">
        <f t="shared" si="24"/>
        <v>0.59134445337262298</v>
      </c>
      <c r="I136" s="71">
        <f t="shared" si="24"/>
        <v>-2.5766200129425987E-2</v>
      </c>
      <c r="J136" s="75">
        <v>90000</v>
      </c>
      <c r="K136" s="75">
        <v>3870</v>
      </c>
      <c r="L136" s="6">
        <f>(SUM(K134:K136))/J135</f>
        <v>8.2244444444444439E-2</v>
      </c>
      <c r="M136" s="36" t="str">
        <f t="shared" si="35"/>
        <v>Desempenho Médio</v>
      </c>
      <c r="N136" s="6">
        <f t="shared" si="37"/>
        <v>0.17723994755342617</v>
      </c>
      <c r="O136" s="6">
        <f t="shared" si="37"/>
        <v>0.61473682715667155</v>
      </c>
      <c r="P136" s="6">
        <f t="shared" si="37"/>
        <v>-0.26025693204981915</v>
      </c>
      <c r="Q136" s="75">
        <v>80</v>
      </c>
      <c r="R136" s="76">
        <v>25</v>
      </c>
      <c r="S136" s="6">
        <f t="shared" si="33"/>
        <v>0.3125</v>
      </c>
      <c r="T136" s="36" t="str">
        <f t="shared" si="36"/>
        <v>Desempenho Bom</v>
      </c>
      <c r="U136" s="6">
        <f t="shared" si="31"/>
        <v>0.18401218302179842</v>
      </c>
      <c r="V136" s="6">
        <f t="shared" si="31"/>
        <v>0.37883088095577799</v>
      </c>
      <c r="W136" s="6">
        <f t="shared" si="31"/>
        <v>-1.0806514912181153E-2</v>
      </c>
      <c r="X136" s="6">
        <f t="shared" si="31"/>
        <v>8.6602834054808633E-2</v>
      </c>
      <c r="Y136" s="6">
        <f t="shared" si="31"/>
        <v>0.19481869793397957</v>
      </c>
    </row>
    <row r="137" spans="1:25" x14ac:dyDescent="0.25">
      <c r="A137" s="7" t="s">
        <v>123</v>
      </c>
      <c r="B137" s="7" t="s">
        <v>161</v>
      </c>
      <c r="C137" s="74">
        <v>75</v>
      </c>
      <c r="D137" s="74">
        <v>39</v>
      </c>
      <c r="E137" s="71">
        <f t="shared" si="32"/>
        <v>0.52</v>
      </c>
      <c r="F137" s="65" t="str">
        <f t="shared" si="34"/>
        <v>Desempenho Bom</v>
      </c>
      <c r="G137" s="71">
        <f t="shared" si="24"/>
        <v>0.36222496935690102</v>
      </c>
      <c r="H137" s="71">
        <f t="shared" si="24"/>
        <v>0.67917151968337719</v>
      </c>
      <c r="I137" s="71">
        <f t="shared" si="24"/>
        <v>4.5278419030424844E-2</v>
      </c>
      <c r="J137" s="75">
        <v>90000</v>
      </c>
      <c r="K137" s="75">
        <v>2870</v>
      </c>
      <c r="L137" s="6">
        <f>(SUM(K134:K137))/J136</f>
        <v>0.11413333333333334</v>
      </c>
      <c r="M137" s="36" t="str">
        <f t="shared" si="35"/>
        <v>Desempenho Médio</v>
      </c>
      <c r="N137" s="6">
        <f t="shared" si="37"/>
        <v>0.2271654986777647</v>
      </c>
      <c r="O137" s="6">
        <f t="shared" si="37"/>
        <v>0.71582389712396544</v>
      </c>
      <c r="P137" s="6">
        <f t="shared" si="37"/>
        <v>-0.26149289976843598</v>
      </c>
      <c r="Q137" s="75">
        <v>80</v>
      </c>
      <c r="R137" s="76">
        <v>25</v>
      </c>
      <c r="S137" s="6">
        <f t="shared" si="33"/>
        <v>0.3125</v>
      </c>
      <c r="T137" s="36" t="str">
        <f t="shared" si="36"/>
        <v>Desempenho Bom</v>
      </c>
      <c r="U137" s="6">
        <f t="shared" si="31"/>
        <v>0.18401218302179842</v>
      </c>
      <c r="V137" s="6">
        <f t="shared" si="31"/>
        <v>0.37883088095577799</v>
      </c>
      <c r="W137" s="6">
        <f t="shared" si="31"/>
        <v>-1.0806514912181153E-2</v>
      </c>
      <c r="X137" s="6">
        <f t="shared" si="31"/>
        <v>8.6602834054808633E-2</v>
      </c>
      <c r="Y137" s="6">
        <f t="shared" si="31"/>
        <v>0.19481869793397957</v>
      </c>
    </row>
    <row r="138" spans="1:25" x14ac:dyDescent="0.25">
      <c r="A138" s="7" t="s">
        <v>123</v>
      </c>
      <c r="B138" s="7" t="s">
        <v>162</v>
      </c>
      <c r="C138" s="74">
        <v>75</v>
      </c>
      <c r="D138" s="74">
        <v>50</v>
      </c>
      <c r="E138" s="71">
        <f t="shared" si="32"/>
        <v>0.66666666666666663</v>
      </c>
      <c r="F138" s="65" t="str">
        <f t="shared" si="34"/>
        <v>Desempenho Bom</v>
      </c>
      <c r="G138" s="71">
        <f t="shared" si="24"/>
        <v>0.44825178806664662</v>
      </c>
      <c r="H138" s="71">
        <f t="shared" si="24"/>
        <v>0.78548221403733831</v>
      </c>
      <c r="I138" s="71">
        <f t="shared" si="24"/>
        <v>0.11102136209595498</v>
      </c>
      <c r="J138" s="75">
        <v>90000</v>
      </c>
      <c r="K138" s="75">
        <v>3800</v>
      </c>
      <c r="L138" s="6">
        <f>(SUM(K134:K138))/J137</f>
        <v>0.15635555555555555</v>
      </c>
      <c r="M138" s="36" t="str">
        <f t="shared" si="35"/>
        <v>Desempenho Médio</v>
      </c>
      <c r="N138" s="6">
        <f t="shared" si="37"/>
        <v>0.27284258705105507</v>
      </c>
      <c r="O138" s="6">
        <f t="shared" si="37"/>
        <v>0.75981161093062477</v>
      </c>
      <c r="P138" s="6">
        <f t="shared" si="37"/>
        <v>-0.21412643682851468</v>
      </c>
      <c r="Q138" s="75">
        <v>80</v>
      </c>
      <c r="R138" s="76">
        <v>25</v>
      </c>
      <c r="S138" s="6">
        <f t="shared" si="33"/>
        <v>0.3125</v>
      </c>
      <c r="T138" s="36" t="str">
        <f t="shared" si="36"/>
        <v>Desempenho Bom</v>
      </c>
      <c r="U138" s="6">
        <f t="shared" si="31"/>
        <v>0.23278475191631845</v>
      </c>
      <c r="V138" s="6">
        <f t="shared" si="31"/>
        <v>0.51017789992422413</v>
      </c>
      <c r="W138" s="6">
        <f t="shared" si="31"/>
        <v>-4.460839609158726E-2</v>
      </c>
      <c r="X138" s="6">
        <f t="shared" si="31"/>
        <v>9.4088177912365595E-2</v>
      </c>
      <c r="Y138" s="6">
        <f t="shared" si="31"/>
        <v>0.27739314800790571</v>
      </c>
    </row>
    <row r="139" spans="1:25" x14ac:dyDescent="0.25">
      <c r="A139" s="7" t="s">
        <v>123</v>
      </c>
      <c r="B139" s="7" t="s">
        <v>163</v>
      </c>
      <c r="C139" s="74">
        <v>75</v>
      </c>
      <c r="D139" s="74">
        <v>54</v>
      </c>
      <c r="E139" s="71">
        <f t="shared" si="32"/>
        <v>0.72</v>
      </c>
      <c r="F139" s="65" t="str">
        <f t="shared" si="34"/>
        <v>Desempenho Bom</v>
      </c>
      <c r="G139" s="71">
        <f t="shared" si="24"/>
        <v>0.54231176602906361</v>
      </c>
      <c r="H139" s="71">
        <f t="shared" si="24"/>
        <v>0.92735502699565786</v>
      </c>
      <c r="I139" s="71">
        <f t="shared" si="24"/>
        <v>0.15726850506246942</v>
      </c>
      <c r="J139" s="75">
        <v>90000</v>
      </c>
      <c r="K139" s="75">
        <v>2181</v>
      </c>
      <c r="L139" s="6">
        <f>(SUM(K134:K139))/J138</f>
        <v>0.18058888888888888</v>
      </c>
      <c r="M139" s="36" t="str">
        <f t="shared" si="35"/>
        <v>Desempenho Médio</v>
      </c>
      <c r="N139" s="6">
        <f t="shared" si="37"/>
        <v>0.31451673641638933</v>
      </c>
      <c r="O139" s="6">
        <f t="shared" si="37"/>
        <v>0.80702132782766356</v>
      </c>
      <c r="P139" s="6">
        <f t="shared" si="37"/>
        <v>-0.1779878549948849</v>
      </c>
      <c r="Q139" s="75">
        <v>80</v>
      </c>
      <c r="R139" s="76">
        <v>36</v>
      </c>
      <c r="S139" s="6">
        <f t="shared" si="33"/>
        <v>0.45</v>
      </c>
      <c r="T139" s="36" t="str">
        <f t="shared" si="36"/>
        <v>Desempenho Médio</v>
      </c>
      <c r="U139" s="6">
        <f t="shared" si="31"/>
        <v>0.46105014853915682</v>
      </c>
      <c r="V139" s="6">
        <f t="shared" si="31"/>
        <v>0.84756736419379908</v>
      </c>
      <c r="W139" s="6">
        <f t="shared" si="31"/>
        <v>7.4532932884514569E-2</v>
      </c>
      <c r="X139" s="6">
        <f t="shared" si="31"/>
        <v>7.4532932884514569E-2</v>
      </c>
      <c r="Y139" s="6">
        <f t="shared" si="31"/>
        <v>0.38651721565464225</v>
      </c>
    </row>
    <row r="140" spans="1:25" x14ac:dyDescent="0.25">
      <c r="A140" s="7" t="s">
        <v>123</v>
      </c>
      <c r="B140" s="7" t="s">
        <v>164</v>
      </c>
      <c r="C140" s="74">
        <v>75</v>
      </c>
      <c r="D140" s="74">
        <v>61</v>
      </c>
      <c r="E140" s="71">
        <f t="shared" si="32"/>
        <v>0.81333333333333335</v>
      </c>
      <c r="F140" s="65" t="str">
        <f t="shared" si="34"/>
        <v>Desempenho Bom</v>
      </c>
      <c r="G140" s="71">
        <f t="shared" si="24"/>
        <v>0.63634637719050002</v>
      </c>
      <c r="H140" s="71">
        <f t="shared" si="24"/>
        <v>1.0512878703900039</v>
      </c>
      <c r="I140" s="71">
        <f t="shared" si="24"/>
        <v>0.22140488399099606</v>
      </c>
      <c r="J140" s="75">
        <v>90000</v>
      </c>
      <c r="K140" s="75">
        <v>2250</v>
      </c>
      <c r="L140" s="6">
        <f>(SUM(K134:K140))/J139</f>
        <v>0.20558888888888888</v>
      </c>
      <c r="M140" s="36" t="str">
        <f t="shared" si="35"/>
        <v>Desempenho Médio</v>
      </c>
      <c r="N140" s="6">
        <f t="shared" si="37"/>
        <v>0.38334713342809434</v>
      </c>
      <c r="O140" s="6">
        <f t="shared" si="37"/>
        <v>0.88375935483946089</v>
      </c>
      <c r="P140" s="6">
        <f t="shared" si="37"/>
        <v>-0.1170650879832722</v>
      </c>
      <c r="Q140" s="75">
        <v>80</v>
      </c>
      <c r="R140" s="76">
        <v>36</v>
      </c>
      <c r="S140" s="6">
        <f t="shared" si="33"/>
        <v>0.45</v>
      </c>
      <c r="T140" s="36" t="str">
        <f t="shared" si="36"/>
        <v>Desempenho Médio</v>
      </c>
      <c r="U140" s="6">
        <f t="shared" si="31"/>
        <v>0.46105014853915682</v>
      </c>
      <c r="V140" s="6">
        <f t="shared" si="31"/>
        <v>0.84756736419379908</v>
      </c>
      <c r="W140" s="6">
        <f t="shared" si="31"/>
        <v>7.4532932884514569E-2</v>
      </c>
      <c r="X140" s="6">
        <f t="shared" si="31"/>
        <v>7.4532932884514569E-2</v>
      </c>
      <c r="Y140" s="6">
        <f t="shared" si="31"/>
        <v>0.38651721565464225</v>
      </c>
    </row>
    <row r="141" spans="1:25" x14ac:dyDescent="0.25">
      <c r="A141" s="7" t="s">
        <v>123</v>
      </c>
      <c r="B141" s="7" t="s">
        <v>165</v>
      </c>
      <c r="C141" s="74">
        <v>75</v>
      </c>
      <c r="D141" s="74">
        <v>75</v>
      </c>
      <c r="E141" s="71">
        <f t="shared" si="32"/>
        <v>1</v>
      </c>
      <c r="F141" s="65" t="str">
        <f t="shared" si="34"/>
        <v>Desempenho Bom</v>
      </c>
      <c r="G141" s="71">
        <f t="shared" si="24"/>
        <v>0.70660866675940681</v>
      </c>
      <c r="H141" s="71">
        <f t="shared" si="24"/>
        <v>1.1341225514190425</v>
      </c>
      <c r="I141" s="71">
        <f t="shared" si="24"/>
        <v>0.27909478209977112</v>
      </c>
      <c r="J141" s="75">
        <v>90000</v>
      </c>
      <c r="K141" s="75">
        <v>2570</v>
      </c>
      <c r="L141" s="6">
        <f>(SUM(K134:K141))/J140</f>
        <v>0.23414444444444443</v>
      </c>
      <c r="M141" s="36" t="str">
        <f t="shared" si="35"/>
        <v>Desempenho Médio</v>
      </c>
      <c r="N141" s="6">
        <f t="shared" si="37"/>
        <v>0.45719521320533213</v>
      </c>
      <c r="O141" s="6">
        <f t="shared" si="37"/>
        <v>0.97356755068321044</v>
      </c>
      <c r="P141" s="6">
        <f t="shared" si="37"/>
        <v>-5.9177124272546122E-2</v>
      </c>
      <c r="Q141" s="75">
        <v>80</v>
      </c>
      <c r="R141" s="76">
        <v>36</v>
      </c>
      <c r="S141" s="6">
        <f t="shared" si="33"/>
        <v>0.45</v>
      </c>
      <c r="T141" s="36" t="str">
        <f t="shared" si="36"/>
        <v>Desempenho Médio</v>
      </c>
      <c r="U141" s="6">
        <f t="shared" si="31"/>
        <v>0.46105014853915682</v>
      </c>
      <c r="V141" s="6">
        <f t="shared" si="31"/>
        <v>0.84756736419379908</v>
      </c>
      <c r="W141" s="6">
        <f t="shared" si="31"/>
        <v>7.4532932884514569E-2</v>
      </c>
      <c r="X141" s="6">
        <f t="shared" si="31"/>
        <v>7.4532932884514569E-2</v>
      </c>
      <c r="Y141" s="6">
        <f t="shared" si="31"/>
        <v>0.38651721565464225</v>
      </c>
    </row>
    <row r="142" spans="1:25" x14ac:dyDescent="0.25">
      <c r="A142" s="7" t="s">
        <v>123</v>
      </c>
      <c r="B142" s="7" t="s">
        <v>166</v>
      </c>
      <c r="C142" s="74">
        <v>75</v>
      </c>
      <c r="D142" s="74">
        <v>82</v>
      </c>
      <c r="E142" s="71">
        <f t="shared" si="32"/>
        <v>1.0933333333333333</v>
      </c>
      <c r="F142" s="65" t="str">
        <f t="shared" si="34"/>
        <v>Desempenho Bom</v>
      </c>
      <c r="G142" s="71">
        <f t="shared" si="24"/>
        <v>0.73663014244586189</v>
      </c>
      <c r="H142" s="71">
        <f t="shared" si="24"/>
        <v>1.1737360935948695</v>
      </c>
      <c r="I142" s="71">
        <f t="shared" si="24"/>
        <v>0.29952419129685426</v>
      </c>
      <c r="J142" s="75">
        <v>90000</v>
      </c>
      <c r="K142" s="75">
        <v>6730</v>
      </c>
      <c r="L142" s="6">
        <f>(SUM(K134:K142))/J141</f>
        <v>0.30892222222222221</v>
      </c>
      <c r="M142" s="36" t="str">
        <f t="shared" si="35"/>
        <v>Desempenho Médio</v>
      </c>
      <c r="N142" s="6">
        <f t="shared" si="37"/>
        <v>0.50336729135060976</v>
      </c>
      <c r="O142" s="6">
        <f t="shared" si="37"/>
        <v>1.0150591886201059</v>
      </c>
      <c r="P142" s="6">
        <f t="shared" si="37"/>
        <v>-8.3246059188863963E-3</v>
      </c>
      <c r="Q142" s="75">
        <v>80</v>
      </c>
      <c r="R142" s="76">
        <v>89</v>
      </c>
      <c r="S142" s="6">
        <f t="shared" si="33"/>
        <v>1.1125</v>
      </c>
      <c r="T142" s="36" t="str">
        <f t="shared" si="36"/>
        <v>Desempenho Bom</v>
      </c>
      <c r="U142" s="6">
        <f t="shared" si="31"/>
        <v>0.74232771533595698</v>
      </c>
      <c r="V142" s="6">
        <f t="shared" si="31"/>
        <v>1.1540802341555996</v>
      </c>
      <c r="W142" s="6">
        <f t="shared" si="31"/>
        <v>0.33057519651631434</v>
      </c>
      <c r="X142" s="6">
        <f t="shared" si="31"/>
        <v>0.33057519651631434</v>
      </c>
      <c r="Y142" s="6">
        <f t="shared" si="31"/>
        <v>0.41175251881964264</v>
      </c>
    </row>
    <row r="143" spans="1:25" x14ac:dyDescent="0.25">
      <c r="A143" s="7" t="s">
        <v>123</v>
      </c>
      <c r="B143" s="7" t="s">
        <v>167</v>
      </c>
      <c r="C143" s="74">
        <v>75</v>
      </c>
      <c r="D143" s="74">
        <v>82</v>
      </c>
      <c r="E143" s="71">
        <f t="shared" si="32"/>
        <v>1.0933333333333333</v>
      </c>
      <c r="F143" s="65" t="str">
        <f t="shared" si="34"/>
        <v>Desempenho Bom</v>
      </c>
      <c r="G143" s="71">
        <f t="shared" ref="G143:I206" si="38">G131</f>
        <v>0.82061442726694189</v>
      </c>
      <c r="H143" s="71">
        <f t="shared" si="38"/>
        <v>1.2607833515834532</v>
      </c>
      <c r="I143" s="71">
        <f t="shared" si="38"/>
        <v>0.38044550295043061</v>
      </c>
      <c r="J143" s="75">
        <v>90000</v>
      </c>
      <c r="K143" s="75">
        <v>1974</v>
      </c>
      <c r="L143" s="6">
        <f>(SUM(K134:K143))/J142</f>
        <v>0.33085555555555557</v>
      </c>
      <c r="M143" s="36" t="str">
        <f t="shared" si="35"/>
        <v>Desempenho Médio</v>
      </c>
      <c r="N143" s="6">
        <f t="shared" si="37"/>
        <v>0.58006775555216661</v>
      </c>
      <c r="O143" s="6">
        <f t="shared" si="37"/>
        <v>1.099948635873619</v>
      </c>
      <c r="P143" s="6">
        <f t="shared" si="37"/>
        <v>6.0186875230714088E-2</v>
      </c>
      <c r="Q143" s="75">
        <v>80</v>
      </c>
      <c r="R143" s="76">
        <v>89</v>
      </c>
      <c r="S143" s="6">
        <f t="shared" si="33"/>
        <v>1.1125</v>
      </c>
      <c r="T143" s="36" t="str">
        <f t="shared" si="36"/>
        <v>Desempenho Bom</v>
      </c>
      <c r="U143" s="6">
        <f t="shared" ref="U143:Y158" si="39">U131</f>
        <v>0.82347447721763523</v>
      </c>
      <c r="V143" s="6">
        <f t="shared" si="39"/>
        <v>1.2398542522675045</v>
      </c>
      <c r="W143" s="6">
        <f t="shared" si="39"/>
        <v>0.40709470216776611</v>
      </c>
      <c r="X143" s="6">
        <f t="shared" si="39"/>
        <v>0.40709470216776611</v>
      </c>
      <c r="Y143" s="6">
        <f t="shared" si="39"/>
        <v>0.41637977504986912</v>
      </c>
    </row>
    <row r="144" spans="1:25" x14ac:dyDescent="0.25">
      <c r="A144" s="7" t="s">
        <v>123</v>
      </c>
      <c r="B144" s="7" t="s">
        <v>168</v>
      </c>
      <c r="C144" s="74">
        <v>75</v>
      </c>
      <c r="D144" s="74">
        <v>89</v>
      </c>
      <c r="E144" s="71">
        <f t="shared" si="32"/>
        <v>1.1866666666666668</v>
      </c>
      <c r="F144" s="65" t="str">
        <f t="shared" si="34"/>
        <v>Desempenho Bom</v>
      </c>
      <c r="G144" s="71">
        <f t="shared" si="38"/>
        <v>0.94582556715526966</v>
      </c>
      <c r="H144" s="71">
        <f t="shared" si="38"/>
        <v>1.4311117173682604</v>
      </c>
      <c r="I144" s="71">
        <f t="shared" si="38"/>
        <v>0.46053941694227907</v>
      </c>
      <c r="J144" s="75">
        <v>90000</v>
      </c>
      <c r="K144" s="75">
        <v>19200</v>
      </c>
      <c r="L144" s="6">
        <f>(SUM(K134:K144))/J143</f>
        <v>0.54418888888888894</v>
      </c>
      <c r="M144" s="36" t="str">
        <f t="shared" si="35"/>
        <v>Desempenho Médio</v>
      </c>
      <c r="N144" s="6">
        <f t="shared" si="37"/>
        <v>0.72282137340514951</v>
      </c>
      <c r="O144" s="6">
        <f t="shared" si="37"/>
        <v>1.2463651595014014</v>
      </c>
      <c r="P144" s="6">
        <f t="shared" si="37"/>
        <v>0.19927758730889755</v>
      </c>
      <c r="Q144" s="75">
        <v>80</v>
      </c>
      <c r="R144" s="76">
        <v>89</v>
      </c>
      <c r="S144" s="6">
        <f t="shared" si="33"/>
        <v>1.1125</v>
      </c>
      <c r="T144" s="36" t="str">
        <f t="shared" si="36"/>
        <v>Desempenho Bom</v>
      </c>
      <c r="U144" s="6">
        <f t="shared" si="39"/>
        <v>0.91825333306001944</v>
      </c>
      <c r="V144" s="6">
        <f t="shared" si="39"/>
        <v>1.402047931898428</v>
      </c>
      <c r="W144" s="6">
        <f t="shared" si="39"/>
        <v>0.43445873422161085</v>
      </c>
      <c r="X144" s="6">
        <f t="shared" si="39"/>
        <v>0.43445873422161085</v>
      </c>
      <c r="Y144" s="6">
        <f t="shared" si="39"/>
        <v>0.48379459883840858</v>
      </c>
    </row>
    <row r="145" spans="1:25" x14ac:dyDescent="0.25">
      <c r="A145" s="7" t="s">
        <v>123</v>
      </c>
      <c r="B145" s="7" t="s">
        <v>169</v>
      </c>
      <c r="C145" s="74">
        <v>75</v>
      </c>
      <c r="D145" s="74">
        <v>89</v>
      </c>
      <c r="E145" s="71">
        <f t="shared" si="32"/>
        <v>1.1866666666666668</v>
      </c>
      <c r="F145" s="65" t="str">
        <f t="shared" si="34"/>
        <v>Desempenho Bom</v>
      </c>
      <c r="G145" s="71">
        <f t="shared" si="38"/>
        <v>1.0016849877757958</v>
      </c>
      <c r="H145" s="71">
        <f t="shared" si="38"/>
        <v>1.521489991464148</v>
      </c>
      <c r="I145" s="71">
        <f t="shared" si="38"/>
        <v>0.48187998408744359</v>
      </c>
      <c r="J145" s="75">
        <v>90000</v>
      </c>
      <c r="K145" s="75">
        <v>420</v>
      </c>
      <c r="L145" s="6">
        <f>(SUM(K134:K145))/J144</f>
        <v>0.54885555555555554</v>
      </c>
      <c r="M145" s="36" t="str">
        <f t="shared" si="35"/>
        <v>Desempenho Médio</v>
      </c>
      <c r="N145" s="6">
        <f t="shared" si="37"/>
        <v>0.82421983567812696</v>
      </c>
      <c r="O145" s="6">
        <f t="shared" si="37"/>
        <v>1.3730394926064369</v>
      </c>
      <c r="P145" s="6">
        <f t="shared" si="37"/>
        <v>0.27540017874981693</v>
      </c>
      <c r="Q145" s="75">
        <v>80</v>
      </c>
      <c r="R145" s="76">
        <v>89</v>
      </c>
      <c r="S145" s="6">
        <f t="shared" si="33"/>
        <v>1.1125</v>
      </c>
      <c r="T145" s="36" t="str">
        <f t="shared" si="36"/>
        <v>Desempenho Bom</v>
      </c>
      <c r="U145" s="6">
        <f t="shared" si="39"/>
        <v>0.91825333306001944</v>
      </c>
      <c r="V145" s="6">
        <f t="shared" si="39"/>
        <v>1.402047931898428</v>
      </c>
      <c r="W145" s="6">
        <f t="shared" si="39"/>
        <v>0.43445873422161085</v>
      </c>
      <c r="X145" s="6">
        <f t="shared" si="39"/>
        <v>0.43445873422161085</v>
      </c>
      <c r="Y145" s="6">
        <f t="shared" si="39"/>
        <v>0.48379459883840858</v>
      </c>
    </row>
    <row r="146" spans="1:25" x14ac:dyDescent="0.25">
      <c r="A146" s="7" t="s">
        <v>103</v>
      </c>
      <c r="B146" s="7" t="s">
        <v>158</v>
      </c>
      <c r="C146" s="74">
        <v>0</v>
      </c>
      <c r="D146" s="74">
        <v>0</v>
      </c>
      <c r="E146" s="71" t="e">
        <f t="shared" si="32"/>
        <v>#DIV/0!</v>
      </c>
      <c r="F146" s="65" t="e">
        <f t="shared" si="34"/>
        <v>#DIV/0!</v>
      </c>
      <c r="G146" s="71">
        <f t="shared" si="38"/>
        <v>0.11573204891712785</v>
      </c>
      <c r="H146" s="71">
        <f t="shared" si="38"/>
        <v>0.30218524997148988</v>
      </c>
      <c r="I146" s="71">
        <f t="shared" si="38"/>
        <v>-7.0721152137234206E-2</v>
      </c>
      <c r="J146" s="75">
        <v>0</v>
      </c>
      <c r="K146" s="75">
        <v>0</v>
      </c>
      <c r="L146" s="6" t="e">
        <f>K146/J146</f>
        <v>#DIV/0!</v>
      </c>
      <c r="M146" s="36" t="e">
        <f t="shared" si="35"/>
        <v>#DIV/0!</v>
      </c>
      <c r="N146" s="6">
        <f t="shared" si="37"/>
        <v>0.11129468122233216</v>
      </c>
      <c r="O146" s="6">
        <f t="shared" si="37"/>
        <v>0.54990456699293522</v>
      </c>
      <c r="P146" s="6">
        <f t="shared" si="37"/>
        <v>-0.32731520454827095</v>
      </c>
      <c r="Q146" s="75">
        <v>0</v>
      </c>
      <c r="R146" s="76">
        <v>0</v>
      </c>
      <c r="S146" s="6" t="e">
        <f t="shared" si="33"/>
        <v>#DIV/0!</v>
      </c>
      <c r="T146" s="36" t="e">
        <f t="shared" si="36"/>
        <v>#DIV/0!</v>
      </c>
      <c r="U146" s="6">
        <f t="shared" si="39"/>
        <v>6.5053670194766225E-2</v>
      </c>
      <c r="V146" s="6">
        <f t="shared" si="39"/>
        <v>0.16010348962314203</v>
      </c>
      <c r="W146" s="6">
        <f t="shared" si="39"/>
        <v>-2.9996149233609562E-2</v>
      </c>
      <c r="X146" s="6">
        <f t="shared" si="39"/>
        <v>1.7528760480578331E-2</v>
      </c>
      <c r="Y146" s="6">
        <f t="shared" si="39"/>
        <v>9.5049819428375787E-2</v>
      </c>
    </row>
    <row r="147" spans="1:25" x14ac:dyDescent="0.25">
      <c r="A147" s="7" t="s">
        <v>103</v>
      </c>
      <c r="B147" s="7" t="s">
        <v>159</v>
      </c>
      <c r="C147" s="74">
        <v>0</v>
      </c>
      <c r="D147" s="74">
        <v>11</v>
      </c>
      <c r="E147" s="71" t="e">
        <f t="shared" si="32"/>
        <v>#DIV/0!</v>
      </c>
      <c r="F147" s="65" t="e">
        <f t="shared" si="34"/>
        <v>#DIV/0!</v>
      </c>
      <c r="G147" s="71">
        <f t="shared" si="38"/>
        <v>0.22598075676513599</v>
      </c>
      <c r="H147" s="71">
        <f t="shared" si="38"/>
        <v>0.51894873552035481</v>
      </c>
      <c r="I147" s="71">
        <f t="shared" si="38"/>
        <v>-6.6987221990082807E-2</v>
      </c>
      <c r="J147" s="75">
        <v>0</v>
      </c>
      <c r="K147" s="75">
        <v>0</v>
      </c>
      <c r="L147" s="6" t="e">
        <f>(SUM(K146:K147))/J146</f>
        <v>#DIV/0!</v>
      </c>
      <c r="M147" s="36" t="e">
        <f t="shared" si="35"/>
        <v>#DIV/0!</v>
      </c>
      <c r="N147" s="6">
        <f t="shared" si="37"/>
        <v>0.14992070801509372</v>
      </c>
      <c r="O147" s="6">
        <f t="shared" si="37"/>
        <v>0.58968599072326611</v>
      </c>
      <c r="P147" s="6">
        <f t="shared" si="37"/>
        <v>-0.28984457469307867</v>
      </c>
      <c r="Q147" s="75">
        <v>0</v>
      </c>
      <c r="R147" s="76">
        <v>0</v>
      </c>
      <c r="S147" s="6" t="e">
        <f t="shared" si="33"/>
        <v>#DIV/0!</v>
      </c>
      <c r="T147" s="36" t="e">
        <f t="shared" si="36"/>
        <v>#DIV/0!</v>
      </c>
      <c r="U147" s="6">
        <f t="shared" si="39"/>
        <v>6.5053670194766225E-2</v>
      </c>
      <c r="V147" s="6">
        <f t="shared" si="39"/>
        <v>0.16010348962314203</v>
      </c>
      <c r="W147" s="6">
        <f t="shared" si="39"/>
        <v>-2.9996149233609562E-2</v>
      </c>
      <c r="X147" s="6">
        <f t="shared" si="39"/>
        <v>1.7528760480578331E-2</v>
      </c>
      <c r="Y147" s="6">
        <f t="shared" si="39"/>
        <v>9.5049819428375787E-2</v>
      </c>
    </row>
    <row r="148" spans="1:25" x14ac:dyDescent="0.25">
      <c r="A148" s="7" t="s">
        <v>103</v>
      </c>
      <c r="B148" s="7" t="s">
        <v>160</v>
      </c>
      <c r="C148" s="74">
        <v>0</v>
      </c>
      <c r="D148" s="74">
        <v>16</v>
      </c>
      <c r="E148" s="71" t="e">
        <f t="shared" si="32"/>
        <v>#DIV/0!</v>
      </c>
      <c r="F148" s="65" t="e">
        <f t="shared" si="34"/>
        <v>#DIV/0!</v>
      </c>
      <c r="G148" s="71">
        <f t="shared" si="38"/>
        <v>0.2827891266215985</v>
      </c>
      <c r="H148" s="71">
        <f t="shared" si="38"/>
        <v>0.59134445337262298</v>
      </c>
      <c r="I148" s="71">
        <f t="shared" si="38"/>
        <v>-2.5766200129425987E-2</v>
      </c>
      <c r="J148" s="75">
        <v>0</v>
      </c>
      <c r="K148" s="75">
        <v>320</v>
      </c>
      <c r="L148" s="6" t="e">
        <f>(SUM(K146:K148))/J147</f>
        <v>#DIV/0!</v>
      </c>
      <c r="M148" s="36" t="e">
        <f t="shared" si="35"/>
        <v>#DIV/0!</v>
      </c>
      <c r="N148" s="6">
        <f t="shared" si="37"/>
        <v>0.17723994755342617</v>
      </c>
      <c r="O148" s="6">
        <f t="shared" si="37"/>
        <v>0.61473682715667155</v>
      </c>
      <c r="P148" s="6">
        <f t="shared" si="37"/>
        <v>-0.26025693204981915</v>
      </c>
      <c r="Q148" s="75">
        <v>0</v>
      </c>
      <c r="R148" s="76">
        <v>11</v>
      </c>
      <c r="S148" s="6" t="e">
        <f t="shared" si="33"/>
        <v>#DIV/0!</v>
      </c>
      <c r="T148" s="36" t="e">
        <f t="shared" si="36"/>
        <v>#DIV/0!</v>
      </c>
      <c r="U148" s="6">
        <f t="shared" si="39"/>
        <v>0.18401218302179842</v>
      </c>
      <c r="V148" s="6">
        <f t="shared" si="39"/>
        <v>0.37883088095577799</v>
      </c>
      <c r="W148" s="6">
        <f t="shared" si="39"/>
        <v>-1.0806514912181153E-2</v>
      </c>
      <c r="X148" s="6">
        <f t="shared" si="39"/>
        <v>8.6602834054808633E-2</v>
      </c>
      <c r="Y148" s="6">
        <f t="shared" si="39"/>
        <v>0.19481869793397957</v>
      </c>
    </row>
    <row r="149" spans="1:25" x14ac:dyDescent="0.25">
      <c r="A149" s="7" t="s">
        <v>103</v>
      </c>
      <c r="B149" s="7" t="s">
        <v>161</v>
      </c>
      <c r="C149" s="74">
        <v>0</v>
      </c>
      <c r="D149" s="74">
        <v>16</v>
      </c>
      <c r="E149" s="71" t="e">
        <f t="shared" si="32"/>
        <v>#DIV/0!</v>
      </c>
      <c r="F149" s="65" t="e">
        <f t="shared" si="34"/>
        <v>#DIV/0!</v>
      </c>
      <c r="G149" s="71">
        <f t="shared" si="38"/>
        <v>0.36222496935690102</v>
      </c>
      <c r="H149" s="71">
        <f t="shared" si="38"/>
        <v>0.67917151968337719</v>
      </c>
      <c r="I149" s="71">
        <f t="shared" si="38"/>
        <v>4.5278419030424844E-2</v>
      </c>
      <c r="J149" s="75">
        <v>0</v>
      </c>
      <c r="K149" s="75">
        <v>3300</v>
      </c>
      <c r="L149" s="6" t="e">
        <f>(SUM(K146:K149))/J148</f>
        <v>#DIV/0!</v>
      </c>
      <c r="M149" s="36" t="e">
        <f t="shared" si="35"/>
        <v>#DIV/0!</v>
      </c>
      <c r="N149" s="6">
        <f t="shared" si="37"/>
        <v>0.2271654986777647</v>
      </c>
      <c r="O149" s="6">
        <f t="shared" si="37"/>
        <v>0.71582389712396544</v>
      </c>
      <c r="P149" s="6">
        <f t="shared" si="37"/>
        <v>-0.26149289976843598</v>
      </c>
      <c r="Q149" s="75">
        <v>0</v>
      </c>
      <c r="R149" s="76">
        <v>11</v>
      </c>
      <c r="S149" s="6" t="e">
        <f t="shared" si="33"/>
        <v>#DIV/0!</v>
      </c>
      <c r="T149" s="36" t="e">
        <f t="shared" si="36"/>
        <v>#DIV/0!</v>
      </c>
      <c r="U149" s="6">
        <f t="shared" si="39"/>
        <v>0.18401218302179842</v>
      </c>
      <c r="V149" s="6">
        <f t="shared" si="39"/>
        <v>0.37883088095577799</v>
      </c>
      <c r="W149" s="6">
        <f t="shared" si="39"/>
        <v>-1.0806514912181153E-2</v>
      </c>
      <c r="X149" s="6">
        <f t="shared" si="39"/>
        <v>8.6602834054808633E-2</v>
      </c>
      <c r="Y149" s="6">
        <f t="shared" si="39"/>
        <v>0.19481869793397957</v>
      </c>
    </row>
    <row r="150" spans="1:25" x14ac:dyDescent="0.25">
      <c r="A150" s="7" t="s">
        <v>103</v>
      </c>
      <c r="B150" s="7" t="s">
        <v>162</v>
      </c>
      <c r="C150" s="74">
        <v>0</v>
      </c>
      <c r="D150" s="74">
        <v>16</v>
      </c>
      <c r="E150" s="71" t="e">
        <f t="shared" si="32"/>
        <v>#DIV/0!</v>
      </c>
      <c r="F150" s="65" t="e">
        <f t="shared" si="34"/>
        <v>#DIV/0!</v>
      </c>
      <c r="G150" s="71">
        <f t="shared" si="38"/>
        <v>0.44825178806664662</v>
      </c>
      <c r="H150" s="71">
        <f t="shared" si="38"/>
        <v>0.78548221403733831</v>
      </c>
      <c r="I150" s="71">
        <f t="shared" si="38"/>
        <v>0.11102136209595498</v>
      </c>
      <c r="J150" s="75">
        <v>0</v>
      </c>
      <c r="K150" s="75">
        <v>0</v>
      </c>
      <c r="L150" s="6" t="e">
        <f>(SUM(K146:K150))/J149</f>
        <v>#DIV/0!</v>
      </c>
      <c r="M150" s="36" t="e">
        <f t="shared" si="35"/>
        <v>#DIV/0!</v>
      </c>
      <c r="N150" s="6">
        <f t="shared" ref="N150:P165" si="40">N138</f>
        <v>0.27284258705105507</v>
      </c>
      <c r="O150" s="6">
        <f t="shared" si="40"/>
        <v>0.75981161093062477</v>
      </c>
      <c r="P150" s="6">
        <f t="shared" si="40"/>
        <v>-0.21412643682851468</v>
      </c>
      <c r="Q150" s="75">
        <v>0</v>
      </c>
      <c r="R150" s="76">
        <v>26</v>
      </c>
      <c r="S150" s="6" t="e">
        <f t="shared" si="33"/>
        <v>#DIV/0!</v>
      </c>
      <c r="T150" s="36" t="e">
        <f t="shared" si="36"/>
        <v>#DIV/0!</v>
      </c>
      <c r="U150" s="6">
        <f t="shared" si="39"/>
        <v>0.23278475191631845</v>
      </c>
      <c r="V150" s="6">
        <f t="shared" si="39"/>
        <v>0.51017789992422413</v>
      </c>
      <c r="W150" s="6">
        <f t="shared" si="39"/>
        <v>-4.460839609158726E-2</v>
      </c>
      <c r="X150" s="6">
        <f t="shared" si="39"/>
        <v>9.4088177912365595E-2</v>
      </c>
      <c r="Y150" s="6">
        <f t="shared" si="39"/>
        <v>0.27739314800790571</v>
      </c>
    </row>
    <row r="151" spans="1:25" x14ac:dyDescent="0.25">
      <c r="A151" s="7" t="s">
        <v>103</v>
      </c>
      <c r="B151" s="7" t="s">
        <v>163</v>
      </c>
      <c r="C151" s="74">
        <v>0</v>
      </c>
      <c r="D151" s="74">
        <v>16</v>
      </c>
      <c r="E151" s="71" t="e">
        <f t="shared" si="32"/>
        <v>#DIV/0!</v>
      </c>
      <c r="F151" s="65" t="e">
        <f t="shared" si="34"/>
        <v>#DIV/0!</v>
      </c>
      <c r="G151" s="71">
        <f t="shared" si="38"/>
        <v>0.54231176602906361</v>
      </c>
      <c r="H151" s="71">
        <f t="shared" si="38"/>
        <v>0.92735502699565786</v>
      </c>
      <c r="I151" s="71">
        <f t="shared" si="38"/>
        <v>0.15726850506246942</v>
      </c>
      <c r="J151" s="75">
        <v>0</v>
      </c>
      <c r="K151" s="75">
        <v>1580</v>
      </c>
      <c r="L151" s="6" t="e">
        <f>(SUM(K146:K151))/J150</f>
        <v>#DIV/0!</v>
      </c>
      <c r="M151" s="36" t="e">
        <f t="shared" si="35"/>
        <v>#DIV/0!</v>
      </c>
      <c r="N151" s="6">
        <f t="shared" si="40"/>
        <v>0.31451673641638933</v>
      </c>
      <c r="O151" s="6">
        <f t="shared" si="40"/>
        <v>0.80702132782766356</v>
      </c>
      <c r="P151" s="6">
        <f t="shared" si="40"/>
        <v>-0.1779878549948849</v>
      </c>
      <c r="Q151" s="75">
        <v>0</v>
      </c>
      <c r="R151" s="76">
        <v>26</v>
      </c>
      <c r="S151" s="6" t="e">
        <f t="shared" si="33"/>
        <v>#DIV/0!</v>
      </c>
      <c r="T151" s="36" t="e">
        <f t="shared" si="36"/>
        <v>#DIV/0!</v>
      </c>
      <c r="U151" s="6">
        <f t="shared" si="39"/>
        <v>0.46105014853915682</v>
      </c>
      <c r="V151" s="6">
        <f t="shared" si="39"/>
        <v>0.84756736419379908</v>
      </c>
      <c r="W151" s="6">
        <f t="shared" si="39"/>
        <v>7.4532932884514569E-2</v>
      </c>
      <c r="X151" s="6">
        <f t="shared" si="39"/>
        <v>7.4532932884514569E-2</v>
      </c>
      <c r="Y151" s="6">
        <f t="shared" si="39"/>
        <v>0.38651721565464225</v>
      </c>
    </row>
    <row r="152" spans="1:25" x14ac:dyDescent="0.25">
      <c r="A152" s="7" t="s">
        <v>103</v>
      </c>
      <c r="B152" s="7" t="s">
        <v>164</v>
      </c>
      <c r="C152" s="74">
        <v>0</v>
      </c>
      <c r="D152" s="74">
        <v>32</v>
      </c>
      <c r="E152" s="71" t="e">
        <f t="shared" si="32"/>
        <v>#DIV/0!</v>
      </c>
      <c r="F152" s="65" t="e">
        <f t="shared" si="34"/>
        <v>#DIV/0!</v>
      </c>
      <c r="G152" s="71">
        <f t="shared" si="38"/>
        <v>0.63634637719050002</v>
      </c>
      <c r="H152" s="71">
        <f t="shared" si="38"/>
        <v>1.0512878703900039</v>
      </c>
      <c r="I152" s="71">
        <f t="shared" si="38"/>
        <v>0.22140488399099606</v>
      </c>
      <c r="J152" s="75">
        <v>0</v>
      </c>
      <c r="K152" s="75">
        <v>1300</v>
      </c>
      <c r="L152" s="6" t="e">
        <f>(SUM(K146:K152))/J151</f>
        <v>#DIV/0!</v>
      </c>
      <c r="M152" s="36" t="e">
        <f t="shared" si="35"/>
        <v>#DIV/0!</v>
      </c>
      <c r="N152" s="6">
        <f t="shared" si="40"/>
        <v>0.38334713342809434</v>
      </c>
      <c r="O152" s="6">
        <f t="shared" si="40"/>
        <v>0.88375935483946089</v>
      </c>
      <c r="P152" s="6">
        <f t="shared" si="40"/>
        <v>-0.1170650879832722</v>
      </c>
      <c r="Q152" s="75">
        <v>0</v>
      </c>
      <c r="R152" s="76">
        <v>26</v>
      </c>
      <c r="S152" s="6" t="e">
        <f t="shared" si="33"/>
        <v>#DIV/0!</v>
      </c>
      <c r="T152" s="36" t="e">
        <f t="shared" si="36"/>
        <v>#DIV/0!</v>
      </c>
      <c r="U152" s="6">
        <f t="shared" si="39"/>
        <v>0.46105014853915682</v>
      </c>
      <c r="V152" s="6">
        <f t="shared" si="39"/>
        <v>0.84756736419379908</v>
      </c>
      <c r="W152" s="6">
        <f t="shared" si="39"/>
        <v>7.4532932884514569E-2</v>
      </c>
      <c r="X152" s="6">
        <f t="shared" si="39"/>
        <v>7.4532932884514569E-2</v>
      </c>
      <c r="Y152" s="6">
        <f t="shared" si="39"/>
        <v>0.38651721565464225</v>
      </c>
    </row>
    <row r="153" spans="1:25" x14ac:dyDescent="0.25">
      <c r="A153" s="7" t="s">
        <v>103</v>
      </c>
      <c r="B153" s="7" t="s">
        <v>165</v>
      </c>
      <c r="C153" s="74">
        <v>0</v>
      </c>
      <c r="D153" s="74">
        <v>32</v>
      </c>
      <c r="E153" s="71" t="e">
        <f t="shared" si="32"/>
        <v>#DIV/0!</v>
      </c>
      <c r="F153" s="65" t="e">
        <f t="shared" si="34"/>
        <v>#DIV/0!</v>
      </c>
      <c r="G153" s="71">
        <f t="shared" si="38"/>
        <v>0.70660866675940681</v>
      </c>
      <c r="H153" s="71">
        <f t="shared" si="38"/>
        <v>1.1341225514190425</v>
      </c>
      <c r="I153" s="71">
        <f t="shared" si="38"/>
        <v>0.27909478209977112</v>
      </c>
      <c r="J153" s="75">
        <v>0</v>
      </c>
      <c r="K153" s="75">
        <v>0</v>
      </c>
      <c r="L153" s="6" t="e">
        <f>(SUM(K146:K153))/J152</f>
        <v>#DIV/0!</v>
      </c>
      <c r="M153" s="36" t="e">
        <f t="shared" si="35"/>
        <v>#DIV/0!</v>
      </c>
      <c r="N153" s="6">
        <f t="shared" si="40"/>
        <v>0.45719521320533213</v>
      </c>
      <c r="O153" s="6">
        <f t="shared" si="40"/>
        <v>0.97356755068321044</v>
      </c>
      <c r="P153" s="6">
        <f t="shared" si="40"/>
        <v>-5.9177124272546122E-2</v>
      </c>
      <c r="Q153" s="75">
        <v>0</v>
      </c>
      <c r="R153" s="76">
        <v>26</v>
      </c>
      <c r="S153" s="6" t="e">
        <f t="shared" si="33"/>
        <v>#DIV/0!</v>
      </c>
      <c r="T153" s="36" t="e">
        <f t="shared" si="36"/>
        <v>#DIV/0!</v>
      </c>
      <c r="U153" s="6">
        <f t="shared" si="39"/>
        <v>0.46105014853915682</v>
      </c>
      <c r="V153" s="6">
        <f t="shared" si="39"/>
        <v>0.84756736419379908</v>
      </c>
      <c r="W153" s="6">
        <f t="shared" si="39"/>
        <v>7.4532932884514569E-2</v>
      </c>
      <c r="X153" s="6">
        <f t="shared" si="39"/>
        <v>7.4532932884514569E-2</v>
      </c>
      <c r="Y153" s="6">
        <f t="shared" si="39"/>
        <v>0.38651721565464225</v>
      </c>
    </row>
    <row r="154" spans="1:25" x14ac:dyDescent="0.25">
      <c r="A154" s="7" t="s">
        <v>103</v>
      </c>
      <c r="B154" s="7" t="s">
        <v>166</v>
      </c>
      <c r="C154" s="74">
        <v>0</v>
      </c>
      <c r="D154" s="74">
        <v>32</v>
      </c>
      <c r="E154" s="71" t="e">
        <f t="shared" si="32"/>
        <v>#DIV/0!</v>
      </c>
      <c r="F154" s="65" t="e">
        <f t="shared" si="34"/>
        <v>#DIV/0!</v>
      </c>
      <c r="G154" s="71">
        <f t="shared" si="38"/>
        <v>0.73663014244586189</v>
      </c>
      <c r="H154" s="71">
        <f t="shared" si="38"/>
        <v>1.1737360935948695</v>
      </c>
      <c r="I154" s="71">
        <f t="shared" si="38"/>
        <v>0.29952419129685426</v>
      </c>
      <c r="J154" s="75">
        <v>0</v>
      </c>
      <c r="K154" s="75">
        <v>0</v>
      </c>
      <c r="L154" s="6" t="e">
        <f>(SUM(K146:K154))/J153</f>
        <v>#DIV/0!</v>
      </c>
      <c r="M154" s="36" t="e">
        <f t="shared" si="35"/>
        <v>#DIV/0!</v>
      </c>
      <c r="N154" s="6">
        <f t="shared" si="40"/>
        <v>0.50336729135060976</v>
      </c>
      <c r="O154" s="6">
        <f t="shared" si="40"/>
        <v>1.0150591886201059</v>
      </c>
      <c r="P154" s="6">
        <f t="shared" si="40"/>
        <v>-8.3246059188863963E-3</v>
      </c>
      <c r="Q154" s="75">
        <v>0</v>
      </c>
      <c r="R154" s="76">
        <v>26</v>
      </c>
      <c r="S154" s="6" t="e">
        <f t="shared" si="33"/>
        <v>#DIV/0!</v>
      </c>
      <c r="T154" s="36" t="e">
        <f t="shared" si="36"/>
        <v>#DIV/0!</v>
      </c>
      <c r="U154" s="6">
        <f t="shared" si="39"/>
        <v>0.74232771533595698</v>
      </c>
      <c r="V154" s="6">
        <f t="shared" si="39"/>
        <v>1.1540802341555996</v>
      </c>
      <c r="W154" s="6">
        <f t="shared" si="39"/>
        <v>0.33057519651631434</v>
      </c>
      <c r="X154" s="6">
        <f t="shared" si="39"/>
        <v>0.33057519651631434</v>
      </c>
      <c r="Y154" s="6">
        <f t="shared" si="39"/>
        <v>0.41175251881964264</v>
      </c>
    </row>
    <row r="155" spans="1:25" x14ac:dyDescent="0.25">
      <c r="A155" s="7" t="s">
        <v>103</v>
      </c>
      <c r="B155" s="7" t="s">
        <v>167</v>
      </c>
      <c r="C155" s="74">
        <v>0</v>
      </c>
      <c r="D155" s="74">
        <v>32</v>
      </c>
      <c r="E155" s="71" t="e">
        <f t="shared" si="32"/>
        <v>#DIV/0!</v>
      </c>
      <c r="F155" s="65" t="e">
        <f t="shared" si="34"/>
        <v>#DIV/0!</v>
      </c>
      <c r="G155" s="71">
        <f t="shared" si="38"/>
        <v>0.82061442726694189</v>
      </c>
      <c r="H155" s="71">
        <f t="shared" si="38"/>
        <v>1.2607833515834532</v>
      </c>
      <c r="I155" s="71">
        <f t="shared" si="38"/>
        <v>0.38044550295043061</v>
      </c>
      <c r="J155" s="75">
        <v>0</v>
      </c>
      <c r="K155" s="75">
        <v>0</v>
      </c>
      <c r="L155" s="6" t="e">
        <f>(SUM(K146:K155))/J154</f>
        <v>#DIV/0!</v>
      </c>
      <c r="M155" s="36" t="e">
        <f t="shared" si="35"/>
        <v>#DIV/0!</v>
      </c>
      <c r="N155" s="6">
        <f t="shared" si="40"/>
        <v>0.58006775555216661</v>
      </c>
      <c r="O155" s="6">
        <f t="shared" si="40"/>
        <v>1.099948635873619</v>
      </c>
      <c r="P155" s="6">
        <f t="shared" si="40"/>
        <v>6.0186875230714088E-2</v>
      </c>
      <c r="Q155" s="75">
        <v>0</v>
      </c>
      <c r="R155" s="76">
        <v>26</v>
      </c>
      <c r="S155" s="6" t="e">
        <f t="shared" si="33"/>
        <v>#DIV/0!</v>
      </c>
      <c r="T155" s="36" t="e">
        <f t="shared" si="36"/>
        <v>#DIV/0!</v>
      </c>
      <c r="U155" s="6">
        <f t="shared" si="39"/>
        <v>0.82347447721763523</v>
      </c>
      <c r="V155" s="6">
        <f t="shared" si="39"/>
        <v>1.2398542522675045</v>
      </c>
      <c r="W155" s="6">
        <f t="shared" si="39"/>
        <v>0.40709470216776611</v>
      </c>
      <c r="X155" s="6">
        <f t="shared" si="39"/>
        <v>0.40709470216776611</v>
      </c>
      <c r="Y155" s="6">
        <f t="shared" si="39"/>
        <v>0.41637977504986912</v>
      </c>
    </row>
    <row r="156" spans="1:25" x14ac:dyDescent="0.25">
      <c r="A156" s="7" t="s">
        <v>103</v>
      </c>
      <c r="B156" s="7" t="s">
        <v>168</v>
      </c>
      <c r="C156" s="74">
        <v>0</v>
      </c>
      <c r="D156" s="74">
        <v>47</v>
      </c>
      <c r="E156" s="71" t="e">
        <f t="shared" si="32"/>
        <v>#DIV/0!</v>
      </c>
      <c r="F156" s="65" t="e">
        <f t="shared" si="34"/>
        <v>#DIV/0!</v>
      </c>
      <c r="G156" s="71">
        <f t="shared" si="38"/>
        <v>0.94582556715526966</v>
      </c>
      <c r="H156" s="71">
        <f t="shared" si="38"/>
        <v>1.4311117173682604</v>
      </c>
      <c r="I156" s="71">
        <f t="shared" si="38"/>
        <v>0.46053941694227907</v>
      </c>
      <c r="J156" s="75">
        <v>0</v>
      </c>
      <c r="K156" s="75">
        <v>514</v>
      </c>
      <c r="L156" s="6" t="e">
        <f>(SUM(K146:K156))/J155</f>
        <v>#DIV/0!</v>
      </c>
      <c r="M156" s="36" t="e">
        <f t="shared" si="35"/>
        <v>#DIV/0!</v>
      </c>
      <c r="N156" s="6">
        <f t="shared" si="40"/>
        <v>0.72282137340514951</v>
      </c>
      <c r="O156" s="6">
        <f t="shared" si="40"/>
        <v>1.2463651595014014</v>
      </c>
      <c r="P156" s="6">
        <f t="shared" si="40"/>
        <v>0.19927758730889755</v>
      </c>
      <c r="Q156" s="75">
        <v>0</v>
      </c>
      <c r="R156" s="76">
        <v>26</v>
      </c>
      <c r="S156" s="6" t="e">
        <f t="shared" si="33"/>
        <v>#DIV/0!</v>
      </c>
      <c r="T156" s="36" t="e">
        <f t="shared" si="36"/>
        <v>#DIV/0!</v>
      </c>
      <c r="U156" s="6">
        <f t="shared" si="39"/>
        <v>0.91825333306001944</v>
      </c>
      <c r="V156" s="6">
        <f t="shared" si="39"/>
        <v>1.402047931898428</v>
      </c>
      <c r="W156" s="6">
        <f t="shared" si="39"/>
        <v>0.43445873422161085</v>
      </c>
      <c r="X156" s="6">
        <f t="shared" si="39"/>
        <v>0.43445873422161085</v>
      </c>
      <c r="Y156" s="6">
        <f t="shared" si="39"/>
        <v>0.48379459883840858</v>
      </c>
    </row>
    <row r="157" spans="1:25" x14ac:dyDescent="0.25">
      <c r="A157" s="7" t="s">
        <v>103</v>
      </c>
      <c r="B157" s="7" t="s">
        <v>169</v>
      </c>
      <c r="C157" s="74">
        <v>0</v>
      </c>
      <c r="D157" s="74">
        <v>53</v>
      </c>
      <c r="E157" s="71" t="e">
        <f t="shared" si="32"/>
        <v>#DIV/0!</v>
      </c>
      <c r="F157" s="65" t="e">
        <f t="shared" si="34"/>
        <v>#DIV/0!</v>
      </c>
      <c r="G157" s="71">
        <f t="shared" si="38"/>
        <v>1.0016849877757958</v>
      </c>
      <c r="H157" s="71">
        <f t="shared" si="38"/>
        <v>1.521489991464148</v>
      </c>
      <c r="I157" s="71">
        <f t="shared" si="38"/>
        <v>0.48187998408744359</v>
      </c>
      <c r="J157" s="75">
        <v>0</v>
      </c>
      <c r="K157" s="75">
        <v>140</v>
      </c>
      <c r="L157" s="6" t="e">
        <f>(SUM(K146:K157))/J156</f>
        <v>#DIV/0!</v>
      </c>
      <c r="M157" s="36" t="e">
        <f t="shared" si="35"/>
        <v>#DIV/0!</v>
      </c>
      <c r="N157" s="6">
        <f t="shared" si="40"/>
        <v>0.82421983567812696</v>
      </c>
      <c r="O157" s="6">
        <f t="shared" si="40"/>
        <v>1.3730394926064369</v>
      </c>
      <c r="P157" s="6">
        <f t="shared" si="40"/>
        <v>0.27540017874981693</v>
      </c>
      <c r="Q157" s="75">
        <v>0</v>
      </c>
      <c r="R157" s="76">
        <v>26</v>
      </c>
      <c r="S157" s="6" t="e">
        <f t="shared" si="33"/>
        <v>#DIV/0!</v>
      </c>
      <c r="T157" s="36" t="e">
        <f t="shared" si="36"/>
        <v>#DIV/0!</v>
      </c>
      <c r="U157" s="6">
        <f t="shared" si="39"/>
        <v>0.91825333306001944</v>
      </c>
      <c r="V157" s="6">
        <f t="shared" si="39"/>
        <v>1.402047931898428</v>
      </c>
      <c r="W157" s="6">
        <f t="shared" si="39"/>
        <v>0.43445873422161085</v>
      </c>
      <c r="X157" s="6">
        <f t="shared" si="39"/>
        <v>0.43445873422161085</v>
      </c>
      <c r="Y157" s="6">
        <f t="shared" si="39"/>
        <v>0.48379459883840858</v>
      </c>
    </row>
    <row r="158" spans="1:25" x14ac:dyDescent="0.25">
      <c r="A158" s="7" t="s">
        <v>129</v>
      </c>
      <c r="B158" s="7" t="s">
        <v>158</v>
      </c>
      <c r="C158" s="74">
        <v>54</v>
      </c>
      <c r="D158" s="74">
        <v>0</v>
      </c>
      <c r="E158" s="71">
        <f t="shared" si="32"/>
        <v>0</v>
      </c>
      <c r="F158" s="65" t="str">
        <f t="shared" si="34"/>
        <v>Desempenho Médio</v>
      </c>
      <c r="G158" s="71">
        <f t="shared" si="38"/>
        <v>0.11573204891712785</v>
      </c>
      <c r="H158" s="71">
        <f t="shared" si="38"/>
        <v>0.30218524997148988</v>
      </c>
      <c r="I158" s="71">
        <f t="shared" si="38"/>
        <v>-7.0721152137234206E-2</v>
      </c>
      <c r="J158" s="75">
        <v>41682.870000000003</v>
      </c>
      <c r="K158" s="75">
        <v>0</v>
      </c>
      <c r="L158" s="6">
        <f>K158/J158</f>
        <v>0</v>
      </c>
      <c r="M158" s="36" t="str">
        <f t="shared" si="35"/>
        <v>Desempenho Médio</v>
      </c>
      <c r="N158" s="6">
        <f t="shared" si="40"/>
        <v>0.11129468122233216</v>
      </c>
      <c r="O158" s="6">
        <f t="shared" si="40"/>
        <v>0.54990456699293522</v>
      </c>
      <c r="P158" s="6">
        <f t="shared" si="40"/>
        <v>-0.32731520454827095</v>
      </c>
      <c r="Q158" s="75">
        <v>74</v>
      </c>
      <c r="R158" s="76">
        <v>0</v>
      </c>
      <c r="S158" s="6">
        <f t="shared" si="33"/>
        <v>0</v>
      </c>
      <c r="T158" s="36" t="str">
        <f t="shared" si="36"/>
        <v>Desempenho Médio</v>
      </c>
      <c r="U158" s="6">
        <f t="shared" si="39"/>
        <v>6.5053670194766225E-2</v>
      </c>
      <c r="V158" s="6">
        <f t="shared" si="39"/>
        <v>0.16010348962314203</v>
      </c>
      <c r="W158" s="6">
        <f t="shared" si="39"/>
        <v>-2.9996149233609562E-2</v>
      </c>
      <c r="X158" s="6">
        <f t="shared" si="39"/>
        <v>1.7528760480578331E-2</v>
      </c>
      <c r="Y158" s="6">
        <f t="shared" si="39"/>
        <v>9.5049819428375787E-2</v>
      </c>
    </row>
    <row r="159" spans="1:25" x14ac:dyDescent="0.25">
      <c r="A159" s="7" t="s">
        <v>129</v>
      </c>
      <c r="B159" s="7" t="s">
        <v>159</v>
      </c>
      <c r="C159" s="74">
        <v>54</v>
      </c>
      <c r="D159" s="74">
        <v>76</v>
      </c>
      <c r="E159" s="71">
        <f t="shared" si="32"/>
        <v>1.4074074074074074</v>
      </c>
      <c r="F159" s="65" t="str">
        <f t="shared" si="34"/>
        <v>Desempenho Ótimo</v>
      </c>
      <c r="G159" s="71">
        <f t="shared" si="38"/>
        <v>0.22598075676513599</v>
      </c>
      <c r="H159" s="71">
        <f t="shared" si="38"/>
        <v>0.51894873552035481</v>
      </c>
      <c r="I159" s="71">
        <f t="shared" si="38"/>
        <v>-6.6987221990082807E-2</v>
      </c>
      <c r="J159" s="75">
        <v>41682.870000000003</v>
      </c>
      <c r="K159" s="75">
        <v>17540</v>
      </c>
      <c r="L159" s="6">
        <f>(SUM(K158:K159))/J158</f>
        <v>0.4207963607112466</v>
      </c>
      <c r="M159" s="36" t="str">
        <f t="shared" si="35"/>
        <v>Desempenho Bom</v>
      </c>
      <c r="N159" s="6">
        <f t="shared" si="40"/>
        <v>0.14992070801509372</v>
      </c>
      <c r="O159" s="6">
        <f t="shared" si="40"/>
        <v>0.58968599072326611</v>
      </c>
      <c r="P159" s="6">
        <f t="shared" si="40"/>
        <v>-0.28984457469307867</v>
      </c>
      <c r="Q159" s="75">
        <v>74</v>
      </c>
      <c r="R159" s="76">
        <v>0</v>
      </c>
      <c r="S159" s="6">
        <f t="shared" si="33"/>
        <v>0</v>
      </c>
      <c r="T159" s="36" t="str">
        <f t="shared" si="36"/>
        <v>Desempenho Médio</v>
      </c>
      <c r="U159" s="6">
        <f t="shared" ref="U159:Y174" si="41">U147</f>
        <v>6.5053670194766225E-2</v>
      </c>
      <c r="V159" s="6">
        <f t="shared" si="41"/>
        <v>0.16010348962314203</v>
      </c>
      <c r="W159" s="6">
        <f t="shared" si="41"/>
        <v>-2.9996149233609562E-2</v>
      </c>
      <c r="X159" s="6">
        <f t="shared" si="41"/>
        <v>1.7528760480578331E-2</v>
      </c>
      <c r="Y159" s="6">
        <f t="shared" si="41"/>
        <v>9.5049819428375787E-2</v>
      </c>
    </row>
    <row r="160" spans="1:25" x14ac:dyDescent="0.25">
      <c r="A160" s="7" t="s">
        <v>129</v>
      </c>
      <c r="B160" s="7" t="s">
        <v>160</v>
      </c>
      <c r="C160" s="74">
        <v>54</v>
      </c>
      <c r="D160" s="74">
        <v>76</v>
      </c>
      <c r="E160" s="71">
        <f t="shared" si="32"/>
        <v>1.4074074074074074</v>
      </c>
      <c r="F160" s="65" t="str">
        <f t="shared" si="34"/>
        <v>Desempenho Ótimo</v>
      </c>
      <c r="G160" s="71">
        <f t="shared" si="38"/>
        <v>0.2827891266215985</v>
      </c>
      <c r="H160" s="71">
        <f t="shared" si="38"/>
        <v>0.59134445337262298</v>
      </c>
      <c r="I160" s="71">
        <f t="shared" si="38"/>
        <v>-2.5766200129425987E-2</v>
      </c>
      <c r="J160" s="75">
        <v>41682.870000000003</v>
      </c>
      <c r="K160" s="75">
        <v>0</v>
      </c>
      <c r="L160" s="6">
        <f>(SUM(K158:K160))/J159</f>
        <v>0.4207963607112466</v>
      </c>
      <c r="M160" s="36" t="str">
        <f t="shared" si="35"/>
        <v>Desempenho Bom</v>
      </c>
      <c r="N160" s="6">
        <f t="shared" si="40"/>
        <v>0.17723994755342617</v>
      </c>
      <c r="O160" s="6">
        <f t="shared" si="40"/>
        <v>0.61473682715667155</v>
      </c>
      <c r="P160" s="6">
        <f t="shared" si="40"/>
        <v>-0.26025693204981915</v>
      </c>
      <c r="Q160" s="75">
        <v>74</v>
      </c>
      <c r="R160" s="76">
        <v>0</v>
      </c>
      <c r="S160" s="6">
        <f t="shared" si="33"/>
        <v>0</v>
      </c>
      <c r="T160" s="36" t="str">
        <f t="shared" si="36"/>
        <v>Desempenho Médio</v>
      </c>
      <c r="U160" s="6">
        <f t="shared" si="41"/>
        <v>0.18401218302179842</v>
      </c>
      <c r="V160" s="6">
        <f t="shared" si="41"/>
        <v>0.37883088095577799</v>
      </c>
      <c r="W160" s="6">
        <f t="shared" si="41"/>
        <v>-1.0806514912181153E-2</v>
      </c>
      <c r="X160" s="6">
        <f t="shared" si="41"/>
        <v>8.6602834054808633E-2</v>
      </c>
      <c r="Y160" s="6">
        <f t="shared" si="41"/>
        <v>0.19481869793397957</v>
      </c>
    </row>
    <row r="161" spans="1:25" x14ac:dyDescent="0.25">
      <c r="A161" s="7" t="s">
        <v>129</v>
      </c>
      <c r="B161" s="7" t="s">
        <v>161</v>
      </c>
      <c r="C161" s="74">
        <v>54</v>
      </c>
      <c r="D161" s="74">
        <v>76</v>
      </c>
      <c r="E161" s="71">
        <f t="shared" si="32"/>
        <v>1.4074074074074074</v>
      </c>
      <c r="F161" s="65" t="str">
        <f t="shared" si="34"/>
        <v>Desempenho Ótimo</v>
      </c>
      <c r="G161" s="71">
        <f t="shared" si="38"/>
        <v>0.36222496935690102</v>
      </c>
      <c r="H161" s="71">
        <f t="shared" si="38"/>
        <v>0.67917151968337719</v>
      </c>
      <c r="I161" s="71">
        <f t="shared" si="38"/>
        <v>4.5278419030424844E-2</v>
      </c>
      <c r="J161" s="75">
        <v>41682.870000000003</v>
      </c>
      <c r="K161" s="75">
        <v>0</v>
      </c>
      <c r="L161" s="6">
        <f>(SUM(K158:K161))/J160</f>
        <v>0.4207963607112466</v>
      </c>
      <c r="M161" s="36" t="str">
        <f t="shared" si="35"/>
        <v>Desempenho Bom</v>
      </c>
      <c r="N161" s="6">
        <f t="shared" si="40"/>
        <v>0.2271654986777647</v>
      </c>
      <c r="O161" s="6">
        <f t="shared" si="40"/>
        <v>0.71582389712396544</v>
      </c>
      <c r="P161" s="6">
        <f t="shared" si="40"/>
        <v>-0.26149289976843598</v>
      </c>
      <c r="Q161" s="75">
        <v>74</v>
      </c>
      <c r="R161" s="76">
        <v>0</v>
      </c>
      <c r="S161" s="6">
        <f t="shared" si="33"/>
        <v>0</v>
      </c>
      <c r="T161" s="36" t="str">
        <f t="shared" si="36"/>
        <v>Desempenho Médio</v>
      </c>
      <c r="U161" s="6">
        <f t="shared" si="41"/>
        <v>0.18401218302179842</v>
      </c>
      <c r="V161" s="6">
        <f t="shared" si="41"/>
        <v>0.37883088095577799</v>
      </c>
      <c r="W161" s="6">
        <f t="shared" si="41"/>
        <v>-1.0806514912181153E-2</v>
      </c>
      <c r="X161" s="6">
        <f t="shared" si="41"/>
        <v>8.6602834054808633E-2</v>
      </c>
      <c r="Y161" s="6">
        <f t="shared" si="41"/>
        <v>0.19481869793397957</v>
      </c>
    </row>
    <row r="162" spans="1:25" x14ac:dyDescent="0.25">
      <c r="A162" s="7" t="s">
        <v>129</v>
      </c>
      <c r="B162" s="7" t="s">
        <v>162</v>
      </c>
      <c r="C162" s="74">
        <v>54</v>
      </c>
      <c r="D162" s="74">
        <v>76</v>
      </c>
      <c r="E162" s="71">
        <f t="shared" si="32"/>
        <v>1.4074074074074074</v>
      </c>
      <c r="F162" s="65" t="str">
        <f t="shared" si="34"/>
        <v>Desempenho Ótimo</v>
      </c>
      <c r="G162" s="71">
        <f t="shared" si="38"/>
        <v>0.44825178806664662</v>
      </c>
      <c r="H162" s="71">
        <f t="shared" si="38"/>
        <v>0.78548221403733831</v>
      </c>
      <c r="I162" s="71">
        <f t="shared" si="38"/>
        <v>0.11102136209595498</v>
      </c>
      <c r="J162" s="75">
        <v>41682.870000000003</v>
      </c>
      <c r="K162" s="75">
        <v>1350</v>
      </c>
      <c r="L162" s="6">
        <f>(SUM(K158:K162))/J161</f>
        <v>0.4531837658971179</v>
      </c>
      <c r="M162" s="36" t="str">
        <f t="shared" si="35"/>
        <v>Desempenho Bom</v>
      </c>
      <c r="N162" s="6">
        <f t="shared" si="40"/>
        <v>0.27284258705105507</v>
      </c>
      <c r="O162" s="6">
        <f t="shared" si="40"/>
        <v>0.75981161093062477</v>
      </c>
      <c r="P162" s="6">
        <f t="shared" si="40"/>
        <v>-0.21412643682851468</v>
      </c>
      <c r="Q162" s="75">
        <v>74</v>
      </c>
      <c r="R162" s="76">
        <v>0</v>
      </c>
      <c r="S162" s="6">
        <f t="shared" si="33"/>
        <v>0</v>
      </c>
      <c r="T162" s="36" t="str">
        <f t="shared" si="36"/>
        <v>Desempenho Médio</v>
      </c>
      <c r="U162" s="6">
        <f t="shared" si="41"/>
        <v>0.23278475191631845</v>
      </c>
      <c r="V162" s="6">
        <f t="shared" si="41"/>
        <v>0.51017789992422413</v>
      </c>
      <c r="W162" s="6">
        <f t="shared" si="41"/>
        <v>-4.460839609158726E-2</v>
      </c>
      <c r="X162" s="6">
        <f t="shared" si="41"/>
        <v>9.4088177912365595E-2</v>
      </c>
      <c r="Y162" s="6">
        <f t="shared" si="41"/>
        <v>0.27739314800790571</v>
      </c>
    </row>
    <row r="163" spans="1:25" x14ac:dyDescent="0.25">
      <c r="A163" s="7" t="s">
        <v>129</v>
      </c>
      <c r="B163" s="7" t="s">
        <v>163</v>
      </c>
      <c r="C163" s="74">
        <v>54</v>
      </c>
      <c r="D163" s="74">
        <v>82</v>
      </c>
      <c r="E163" s="71">
        <f t="shared" si="32"/>
        <v>1.5185185185185186</v>
      </c>
      <c r="F163" s="65" t="str">
        <f t="shared" si="34"/>
        <v>Desempenho Ótimo</v>
      </c>
      <c r="G163" s="71">
        <f t="shared" si="38"/>
        <v>0.54231176602906361</v>
      </c>
      <c r="H163" s="71">
        <f t="shared" si="38"/>
        <v>0.92735502699565786</v>
      </c>
      <c r="I163" s="71">
        <f t="shared" si="38"/>
        <v>0.15726850506246942</v>
      </c>
      <c r="J163" s="75">
        <v>41682.870000000003</v>
      </c>
      <c r="K163" s="75">
        <v>6000</v>
      </c>
      <c r="L163" s="6">
        <f>(SUM(K158:K163))/J162</f>
        <v>0.59712778894543483</v>
      </c>
      <c r="M163" s="36" t="str">
        <f t="shared" si="35"/>
        <v>Desempenho Bom</v>
      </c>
      <c r="N163" s="6">
        <f t="shared" si="40"/>
        <v>0.31451673641638933</v>
      </c>
      <c r="O163" s="6">
        <f t="shared" si="40"/>
        <v>0.80702132782766356</v>
      </c>
      <c r="P163" s="6">
        <f t="shared" si="40"/>
        <v>-0.1779878549948849</v>
      </c>
      <c r="Q163" s="75">
        <v>74</v>
      </c>
      <c r="R163" s="76">
        <v>82</v>
      </c>
      <c r="S163" s="6">
        <f t="shared" si="33"/>
        <v>1.1081081081081081</v>
      </c>
      <c r="T163" s="36" t="str">
        <f t="shared" si="36"/>
        <v>Desempenho Ótimo</v>
      </c>
      <c r="U163" s="6">
        <f t="shared" si="41"/>
        <v>0.46105014853915682</v>
      </c>
      <c r="V163" s="6">
        <f t="shared" si="41"/>
        <v>0.84756736419379908</v>
      </c>
      <c r="W163" s="6">
        <f t="shared" si="41"/>
        <v>7.4532932884514569E-2</v>
      </c>
      <c r="X163" s="6">
        <f t="shared" si="41"/>
        <v>7.4532932884514569E-2</v>
      </c>
      <c r="Y163" s="6">
        <f t="shared" si="41"/>
        <v>0.38651721565464225</v>
      </c>
    </row>
    <row r="164" spans="1:25" x14ac:dyDescent="0.25">
      <c r="A164" s="7" t="s">
        <v>129</v>
      </c>
      <c r="B164" s="7" t="s">
        <v>164</v>
      </c>
      <c r="C164" s="74">
        <v>54</v>
      </c>
      <c r="D164" s="74">
        <v>94</v>
      </c>
      <c r="E164" s="71">
        <f t="shared" si="32"/>
        <v>1.7407407407407407</v>
      </c>
      <c r="F164" s="65" t="str">
        <f t="shared" si="34"/>
        <v>Desempenho Ótimo</v>
      </c>
      <c r="G164" s="71">
        <f t="shared" si="38"/>
        <v>0.63634637719050002</v>
      </c>
      <c r="H164" s="71">
        <f t="shared" si="38"/>
        <v>1.0512878703900039</v>
      </c>
      <c r="I164" s="71">
        <f t="shared" si="38"/>
        <v>0.22140488399099606</v>
      </c>
      <c r="J164" s="75">
        <v>41682.870000000003</v>
      </c>
      <c r="K164" s="75">
        <v>2488</v>
      </c>
      <c r="L164" s="6">
        <f>(SUM(K158:K164))/J163</f>
        <v>0.65681657716947028</v>
      </c>
      <c r="M164" s="36" t="str">
        <f t="shared" si="35"/>
        <v>Desempenho Bom</v>
      </c>
      <c r="N164" s="6">
        <f t="shared" si="40"/>
        <v>0.38334713342809434</v>
      </c>
      <c r="O164" s="6">
        <f t="shared" si="40"/>
        <v>0.88375935483946089</v>
      </c>
      <c r="P164" s="6">
        <f t="shared" si="40"/>
        <v>-0.1170650879832722</v>
      </c>
      <c r="Q164" s="75">
        <v>74</v>
      </c>
      <c r="R164" s="76">
        <v>82</v>
      </c>
      <c r="S164" s="6">
        <f t="shared" si="33"/>
        <v>1.1081081081081081</v>
      </c>
      <c r="T164" s="36" t="str">
        <f t="shared" si="36"/>
        <v>Desempenho Ótimo</v>
      </c>
      <c r="U164" s="6">
        <f t="shared" si="41"/>
        <v>0.46105014853915682</v>
      </c>
      <c r="V164" s="6">
        <f t="shared" si="41"/>
        <v>0.84756736419379908</v>
      </c>
      <c r="W164" s="6">
        <f t="shared" si="41"/>
        <v>7.4532932884514569E-2</v>
      </c>
      <c r="X164" s="6">
        <f t="shared" si="41"/>
        <v>7.4532932884514569E-2</v>
      </c>
      <c r="Y164" s="6">
        <f t="shared" si="41"/>
        <v>0.38651721565464225</v>
      </c>
    </row>
    <row r="165" spans="1:25" x14ac:dyDescent="0.25">
      <c r="A165" s="7" t="s">
        <v>129</v>
      </c>
      <c r="B165" s="7" t="s">
        <v>165</v>
      </c>
      <c r="C165" s="74">
        <v>54</v>
      </c>
      <c r="D165" s="74">
        <v>100</v>
      </c>
      <c r="E165" s="71">
        <f t="shared" si="32"/>
        <v>1.8518518518518519</v>
      </c>
      <c r="F165" s="65" t="str">
        <f t="shared" si="34"/>
        <v>Desempenho Ótimo</v>
      </c>
      <c r="G165" s="71">
        <f t="shared" si="38"/>
        <v>0.70660866675940681</v>
      </c>
      <c r="H165" s="71">
        <f t="shared" si="38"/>
        <v>1.1341225514190425</v>
      </c>
      <c r="I165" s="71">
        <f t="shared" si="38"/>
        <v>0.27909478209977112</v>
      </c>
      <c r="J165" s="75">
        <v>41682.870000000003</v>
      </c>
      <c r="K165" s="75">
        <v>1650</v>
      </c>
      <c r="L165" s="6">
        <f>(SUM(K158:K165))/J164</f>
        <v>0.69640118350775748</v>
      </c>
      <c r="M165" s="36" t="str">
        <f t="shared" si="35"/>
        <v>Desempenho Bom</v>
      </c>
      <c r="N165" s="6">
        <f t="shared" si="40"/>
        <v>0.45719521320533213</v>
      </c>
      <c r="O165" s="6">
        <f t="shared" si="40"/>
        <v>0.97356755068321044</v>
      </c>
      <c r="P165" s="6">
        <f t="shared" si="40"/>
        <v>-5.9177124272546122E-2</v>
      </c>
      <c r="Q165" s="75">
        <v>74</v>
      </c>
      <c r="R165" s="76">
        <v>82</v>
      </c>
      <c r="S165" s="6">
        <f t="shared" si="33"/>
        <v>1.1081081081081081</v>
      </c>
      <c r="T165" s="36" t="str">
        <f t="shared" si="36"/>
        <v>Desempenho Ótimo</v>
      </c>
      <c r="U165" s="6">
        <f t="shared" si="41"/>
        <v>0.46105014853915682</v>
      </c>
      <c r="V165" s="6">
        <f t="shared" si="41"/>
        <v>0.84756736419379908</v>
      </c>
      <c r="W165" s="6">
        <f t="shared" si="41"/>
        <v>7.4532932884514569E-2</v>
      </c>
      <c r="X165" s="6">
        <f t="shared" si="41"/>
        <v>7.4532932884514569E-2</v>
      </c>
      <c r="Y165" s="6">
        <f t="shared" si="41"/>
        <v>0.38651721565464225</v>
      </c>
    </row>
    <row r="166" spans="1:25" x14ac:dyDescent="0.25">
      <c r="A166" s="7" t="s">
        <v>129</v>
      </c>
      <c r="B166" s="7" t="s">
        <v>166</v>
      </c>
      <c r="C166" s="74">
        <v>54</v>
      </c>
      <c r="D166" s="74">
        <v>100</v>
      </c>
      <c r="E166" s="71">
        <f t="shared" si="32"/>
        <v>1.8518518518518519</v>
      </c>
      <c r="F166" s="65" t="str">
        <f t="shared" si="34"/>
        <v>Desempenho Ótimo</v>
      </c>
      <c r="G166" s="71">
        <f t="shared" si="38"/>
        <v>0.73663014244586189</v>
      </c>
      <c r="H166" s="71">
        <f t="shared" si="38"/>
        <v>1.1737360935948695</v>
      </c>
      <c r="I166" s="71">
        <f t="shared" si="38"/>
        <v>0.29952419129685426</v>
      </c>
      <c r="J166" s="75">
        <v>41682.870000000003</v>
      </c>
      <c r="K166" s="75">
        <v>1404</v>
      </c>
      <c r="L166" s="6">
        <f>(SUM(K158:K166))/J165</f>
        <v>0.73008408490106358</v>
      </c>
      <c r="M166" s="36" t="str">
        <f t="shared" si="35"/>
        <v>Desempenho Bom</v>
      </c>
      <c r="N166" s="6">
        <f t="shared" ref="N166:P181" si="42">N154</f>
        <v>0.50336729135060976</v>
      </c>
      <c r="O166" s="6">
        <f t="shared" si="42"/>
        <v>1.0150591886201059</v>
      </c>
      <c r="P166" s="6">
        <f t="shared" si="42"/>
        <v>-8.3246059188863963E-3</v>
      </c>
      <c r="Q166" s="75">
        <v>74</v>
      </c>
      <c r="R166" s="76">
        <v>88</v>
      </c>
      <c r="S166" s="6">
        <f t="shared" si="33"/>
        <v>1.1891891891891893</v>
      </c>
      <c r="T166" s="36" t="str">
        <f t="shared" si="36"/>
        <v>Desempenho Ótimo</v>
      </c>
      <c r="U166" s="6">
        <f t="shared" si="41"/>
        <v>0.74232771533595698</v>
      </c>
      <c r="V166" s="6">
        <f t="shared" si="41"/>
        <v>1.1540802341555996</v>
      </c>
      <c r="W166" s="6">
        <f t="shared" si="41"/>
        <v>0.33057519651631434</v>
      </c>
      <c r="X166" s="6">
        <f t="shared" si="41"/>
        <v>0.33057519651631434</v>
      </c>
      <c r="Y166" s="6">
        <f t="shared" si="41"/>
        <v>0.41175251881964264</v>
      </c>
    </row>
    <row r="167" spans="1:25" x14ac:dyDescent="0.25">
      <c r="A167" s="7" t="s">
        <v>129</v>
      </c>
      <c r="B167" s="7" t="s">
        <v>167</v>
      </c>
      <c r="C167" s="74">
        <v>54</v>
      </c>
      <c r="D167" s="74">
        <v>100</v>
      </c>
      <c r="E167" s="71">
        <f t="shared" si="32"/>
        <v>1.8518518518518519</v>
      </c>
      <c r="F167" s="65" t="str">
        <f t="shared" si="34"/>
        <v>Desempenho Ótimo</v>
      </c>
      <c r="G167" s="71">
        <f t="shared" si="38"/>
        <v>0.82061442726694189</v>
      </c>
      <c r="H167" s="71">
        <f t="shared" si="38"/>
        <v>1.2607833515834532</v>
      </c>
      <c r="I167" s="71">
        <f t="shared" si="38"/>
        <v>0.38044550295043061</v>
      </c>
      <c r="J167" s="75">
        <v>41682.870000000003</v>
      </c>
      <c r="K167" s="75">
        <v>11600</v>
      </c>
      <c r="L167" s="6">
        <f>(SUM(K158:K167))/J166</f>
        <v>1.0083758627944763</v>
      </c>
      <c r="M167" s="36" t="str">
        <f t="shared" si="35"/>
        <v>Desempenho Bom</v>
      </c>
      <c r="N167" s="6">
        <f t="shared" si="42"/>
        <v>0.58006775555216661</v>
      </c>
      <c r="O167" s="6">
        <f t="shared" si="42"/>
        <v>1.099948635873619</v>
      </c>
      <c r="P167" s="6">
        <f t="shared" si="42"/>
        <v>6.0186875230714088E-2</v>
      </c>
      <c r="Q167" s="75">
        <v>74</v>
      </c>
      <c r="R167" s="76">
        <v>88</v>
      </c>
      <c r="S167" s="6">
        <f t="shared" si="33"/>
        <v>1.1891891891891893</v>
      </c>
      <c r="T167" s="36" t="str">
        <f t="shared" si="36"/>
        <v>Desempenho Bom</v>
      </c>
      <c r="U167" s="6">
        <f t="shared" si="41"/>
        <v>0.82347447721763523</v>
      </c>
      <c r="V167" s="6">
        <f t="shared" si="41"/>
        <v>1.2398542522675045</v>
      </c>
      <c r="W167" s="6">
        <f t="shared" si="41"/>
        <v>0.40709470216776611</v>
      </c>
      <c r="X167" s="6">
        <f t="shared" si="41"/>
        <v>0.40709470216776611</v>
      </c>
      <c r="Y167" s="6">
        <f t="shared" si="41"/>
        <v>0.41637977504986912</v>
      </c>
    </row>
    <row r="168" spans="1:25" x14ac:dyDescent="0.25">
      <c r="A168" s="7" t="s">
        <v>129</v>
      </c>
      <c r="B168" s="7" t="s">
        <v>168</v>
      </c>
      <c r="C168" s="74">
        <v>54</v>
      </c>
      <c r="D168" s="74">
        <v>100</v>
      </c>
      <c r="E168" s="71">
        <f t="shared" si="32"/>
        <v>1.8518518518518519</v>
      </c>
      <c r="F168" s="65" t="str">
        <f t="shared" si="34"/>
        <v>Desempenho Ótimo</v>
      </c>
      <c r="G168" s="71">
        <f t="shared" si="38"/>
        <v>0.94582556715526966</v>
      </c>
      <c r="H168" s="71">
        <f t="shared" si="38"/>
        <v>1.4311117173682604</v>
      </c>
      <c r="I168" s="71">
        <f t="shared" si="38"/>
        <v>0.46053941694227907</v>
      </c>
      <c r="J168" s="75">
        <v>41682.870000000003</v>
      </c>
      <c r="K168" s="75">
        <v>160</v>
      </c>
      <c r="L168" s="6">
        <f>(SUM(K158:K168))/J167</f>
        <v>1.0122143700757649</v>
      </c>
      <c r="M168" s="36" t="str">
        <f t="shared" si="35"/>
        <v>Desempenho Bom</v>
      </c>
      <c r="N168" s="6">
        <f t="shared" si="42"/>
        <v>0.72282137340514951</v>
      </c>
      <c r="O168" s="6">
        <f t="shared" si="42"/>
        <v>1.2463651595014014</v>
      </c>
      <c r="P168" s="6">
        <f t="shared" si="42"/>
        <v>0.19927758730889755</v>
      </c>
      <c r="Q168" s="75">
        <v>74</v>
      </c>
      <c r="R168" s="76">
        <v>94</v>
      </c>
      <c r="S168" s="6">
        <f t="shared" si="33"/>
        <v>1.2702702702702702</v>
      </c>
      <c r="T168" s="36" t="str">
        <f t="shared" si="36"/>
        <v>Desempenho Bom</v>
      </c>
      <c r="U168" s="6">
        <f t="shared" si="41"/>
        <v>0.91825333306001944</v>
      </c>
      <c r="V168" s="6">
        <f t="shared" si="41"/>
        <v>1.402047931898428</v>
      </c>
      <c r="W168" s="6">
        <f t="shared" si="41"/>
        <v>0.43445873422161085</v>
      </c>
      <c r="X168" s="6">
        <f t="shared" si="41"/>
        <v>0.43445873422161085</v>
      </c>
      <c r="Y168" s="6">
        <f t="shared" si="41"/>
        <v>0.48379459883840858</v>
      </c>
    </row>
    <row r="169" spans="1:25" x14ac:dyDescent="0.25">
      <c r="A169" s="7" t="s">
        <v>129</v>
      </c>
      <c r="B169" s="7" t="s">
        <v>169</v>
      </c>
      <c r="C169" s="74">
        <v>54</v>
      </c>
      <c r="D169" s="74">
        <v>100</v>
      </c>
      <c r="E169" s="71">
        <f t="shared" si="32"/>
        <v>1.8518518518518519</v>
      </c>
      <c r="F169" s="65" t="str">
        <f t="shared" si="34"/>
        <v>Desempenho Ótimo</v>
      </c>
      <c r="G169" s="71">
        <f t="shared" si="38"/>
        <v>1.0016849877757958</v>
      </c>
      <c r="H169" s="71">
        <f t="shared" si="38"/>
        <v>1.521489991464148</v>
      </c>
      <c r="I169" s="71">
        <f t="shared" si="38"/>
        <v>0.48187998408744359</v>
      </c>
      <c r="J169" s="75">
        <v>41682.870000000003</v>
      </c>
      <c r="K169" s="75">
        <v>0</v>
      </c>
      <c r="L169" s="6">
        <f>(SUM(K158:K169))/J168</f>
        <v>1.0122143700757649</v>
      </c>
      <c r="M169" s="36" t="str">
        <f t="shared" si="35"/>
        <v>Desempenho Bom</v>
      </c>
      <c r="N169" s="6">
        <f t="shared" si="42"/>
        <v>0.82421983567812696</v>
      </c>
      <c r="O169" s="6">
        <f t="shared" si="42"/>
        <v>1.3730394926064369</v>
      </c>
      <c r="P169" s="6">
        <f t="shared" si="42"/>
        <v>0.27540017874981693</v>
      </c>
      <c r="Q169" s="75">
        <v>74</v>
      </c>
      <c r="R169" s="76">
        <v>94</v>
      </c>
      <c r="S169" s="6">
        <f t="shared" si="33"/>
        <v>1.2702702702702702</v>
      </c>
      <c r="T169" s="36" t="str">
        <f t="shared" si="36"/>
        <v>Desempenho Bom</v>
      </c>
      <c r="U169" s="6">
        <f t="shared" si="41"/>
        <v>0.91825333306001944</v>
      </c>
      <c r="V169" s="6">
        <f t="shared" si="41"/>
        <v>1.402047931898428</v>
      </c>
      <c r="W169" s="6">
        <f t="shared" si="41"/>
        <v>0.43445873422161085</v>
      </c>
      <c r="X169" s="6">
        <f t="shared" si="41"/>
        <v>0.43445873422161085</v>
      </c>
      <c r="Y169" s="6">
        <f t="shared" si="41"/>
        <v>0.48379459883840858</v>
      </c>
    </row>
    <row r="170" spans="1:25" x14ac:dyDescent="0.25">
      <c r="A170" s="7" t="s">
        <v>96</v>
      </c>
      <c r="B170" s="7" t="s">
        <v>158</v>
      </c>
      <c r="C170" s="74">
        <v>75</v>
      </c>
      <c r="D170" s="74">
        <v>0</v>
      </c>
      <c r="E170" s="71">
        <f t="shared" si="32"/>
        <v>0</v>
      </c>
      <c r="F170" s="65" t="str">
        <f t="shared" si="34"/>
        <v>Desempenho Médio</v>
      </c>
      <c r="G170" s="71">
        <f t="shared" si="38"/>
        <v>0.11573204891712785</v>
      </c>
      <c r="H170" s="71">
        <f t="shared" si="38"/>
        <v>0.30218524997148988</v>
      </c>
      <c r="I170" s="71">
        <f t="shared" si="38"/>
        <v>-7.0721152137234206E-2</v>
      </c>
      <c r="J170" s="75">
        <v>90000</v>
      </c>
      <c r="K170" s="75">
        <v>4900</v>
      </c>
      <c r="L170" s="6">
        <f>K170/J170</f>
        <v>5.4444444444444441E-2</v>
      </c>
      <c r="M170" s="36" t="str">
        <f t="shared" si="35"/>
        <v>Desempenho Médio</v>
      </c>
      <c r="N170" s="6">
        <f t="shared" si="42"/>
        <v>0.11129468122233216</v>
      </c>
      <c r="O170" s="6">
        <f t="shared" si="42"/>
        <v>0.54990456699293522</v>
      </c>
      <c r="P170" s="6">
        <f t="shared" si="42"/>
        <v>-0.32731520454827095</v>
      </c>
      <c r="Q170" s="75">
        <v>78</v>
      </c>
      <c r="R170" s="76">
        <v>0</v>
      </c>
      <c r="S170" s="6">
        <f t="shared" si="33"/>
        <v>0</v>
      </c>
      <c r="T170" s="36" t="str">
        <f t="shared" si="36"/>
        <v>Desempenho Médio</v>
      </c>
      <c r="U170" s="6">
        <f t="shared" si="41"/>
        <v>6.5053670194766225E-2</v>
      </c>
      <c r="V170" s="6">
        <f t="shared" si="41"/>
        <v>0.16010348962314203</v>
      </c>
      <c r="W170" s="6">
        <f t="shared" si="41"/>
        <v>-2.9996149233609562E-2</v>
      </c>
      <c r="X170" s="6">
        <f t="shared" si="41"/>
        <v>1.7528760480578331E-2</v>
      </c>
      <c r="Y170" s="6">
        <f t="shared" si="41"/>
        <v>9.5049819428375787E-2</v>
      </c>
    </row>
    <row r="171" spans="1:25" x14ac:dyDescent="0.25">
      <c r="A171" s="7" t="s">
        <v>96</v>
      </c>
      <c r="B171" s="7" t="s">
        <v>159</v>
      </c>
      <c r="C171" s="74">
        <v>75</v>
      </c>
      <c r="D171" s="74">
        <v>0</v>
      </c>
      <c r="E171" s="71">
        <f t="shared" si="32"/>
        <v>0</v>
      </c>
      <c r="F171" s="65" t="str">
        <f t="shared" si="34"/>
        <v>Desempenho Médio</v>
      </c>
      <c r="G171" s="71">
        <f t="shared" si="38"/>
        <v>0.22598075676513599</v>
      </c>
      <c r="H171" s="71">
        <f t="shared" si="38"/>
        <v>0.51894873552035481</v>
      </c>
      <c r="I171" s="71">
        <f t="shared" si="38"/>
        <v>-6.6987221990082807E-2</v>
      </c>
      <c r="J171" s="75">
        <v>90000</v>
      </c>
      <c r="K171" s="75">
        <v>6770</v>
      </c>
      <c r="L171" s="6">
        <f>(SUM(K170:K171))/J170</f>
        <v>0.12966666666666668</v>
      </c>
      <c r="M171" s="36" t="str">
        <f t="shared" si="35"/>
        <v>Desempenho Médio</v>
      </c>
      <c r="N171" s="6">
        <f t="shared" si="42"/>
        <v>0.14992070801509372</v>
      </c>
      <c r="O171" s="6">
        <f t="shared" si="42"/>
        <v>0.58968599072326611</v>
      </c>
      <c r="P171" s="6">
        <f t="shared" si="42"/>
        <v>-0.28984457469307867</v>
      </c>
      <c r="Q171" s="75">
        <v>78</v>
      </c>
      <c r="R171" s="76">
        <v>0</v>
      </c>
      <c r="S171" s="6">
        <f t="shared" si="33"/>
        <v>0</v>
      </c>
      <c r="T171" s="36" t="str">
        <f t="shared" si="36"/>
        <v>Desempenho Médio</v>
      </c>
      <c r="U171" s="6">
        <f t="shared" si="41"/>
        <v>6.5053670194766225E-2</v>
      </c>
      <c r="V171" s="6">
        <f t="shared" si="41"/>
        <v>0.16010348962314203</v>
      </c>
      <c r="W171" s="6">
        <f t="shared" si="41"/>
        <v>-2.9996149233609562E-2</v>
      </c>
      <c r="X171" s="6">
        <f t="shared" si="41"/>
        <v>1.7528760480578331E-2</v>
      </c>
      <c r="Y171" s="6">
        <f t="shared" si="41"/>
        <v>9.5049819428375787E-2</v>
      </c>
    </row>
    <row r="172" spans="1:25" x14ac:dyDescent="0.25">
      <c r="A172" s="7" t="s">
        <v>96</v>
      </c>
      <c r="B172" s="7" t="s">
        <v>160</v>
      </c>
      <c r="C172" s="74">
        <v>75</v>
      </c>
      <c r="D172" s="74">
        <v>0</v>
      </c>
      <c r="E172" s="71">
        <f t="shared" si="32"/>
        <v>0</v>
      </c>
      <c r="F172" s="65" t="str">
        <f t="shared" si="34"/>
        <v>Desempenho Médio</v>
      </c>
      <c r="G172" s="71">
        <f t="shared" si="38"/>
        <v>0.2827891266215985</v>
      </c>
      <c r="H172" s="71">
        <f t="shared" si="38"/>
        <v>0.59134445337262298</v>
      </c>
      <c r="I172" s="71">
        <f t="shared" si="38"/>
        <v>-2.5766200129425987E-2</v>
      </c>
      <c r="J172" s="75">
        <v>90000</v>
      </c>
      <c r="K172" s="75">
        <v>0</v>
      </c>
      <c r="L172" s="6">
        <f>(SUM(K170:K172))/J171</f>
        <v>0.12966666666666668</v>
      </c>
      <c r="M172" s="36" t="str">
        <f t="shared" si="35"/>
        <v>Desempenho Médio</v>
      </c>
      <c r="N172" s="6">
        <f t="shared" si="42"/>
        <v>0.17723994755342617</v>
      </c>
      <c r="O172" s="6">
        <f t="shared" si="42"/>
        <v>0.61473682715667155</v>
      </c>
      <c r="P172" s="6">
        <f t="shared" si="42"/>
        <v>-0.26025693204981915</v>
      </c>
      <c r="Q172" s="75">
        <v>78</v>
      </c>
      <c r="R172" s="76">
        <v>0</v>
      </c>
      <c r="S172" s="6">
        <f t="shared" si="33"/>
        <v>0</v>
      </c>
      <c r="T172" s="36" t="str">
        <f t="shared" si="36"/>
        <v>Desempenho Médio</v>
      </c>
      <c r="U172" s="6">
        <f t="shared" si="41"/>
        <v>0.18401218302179842</v>
      </c>
      <c r="V172" s="6">
        <f t="shared" si="41"/>
        <v>0.37883088095577799</v>
      </c>
      <c r="W172" s="6">
        <f t="shared" si="41"/>
        <v>-1.0806514912181153E-2</v>
      </c>
      <c r="X172" s="6">
        <f t="shared" si="41"/>
        <v>8.6602834054808633E-2</v>
      </c>
      <c r="Y172" s="6">
        <f t="shared" si="41"/>
        <v>0.19481869793397957</v>
      </c>
    </row>
    <row r="173" spans="1:25" x14ac:dyDescent="0.25">
      <c r="A173" s="7" t="s">
        <v>96</v>
      </c>
      <c r="B173" s="7" t="s">
        <v>161</v>
      </c>
      <c r="C173" s="74">
        <v>75</v>
      </c>
      <c r="D173" s="74">
        <v>0</v>
      </c>
      <c r="E173" s="71">
        <f t="shared" si="32"/>
        <v>0</v>
      </c>
      <c r="F173" s="65" t="str">
        <f t="shared" si="34"/>
        <v>Desempenho Deficitário</v>
      </c>
      <c r="G173" s="71">
        <f t="shared" si="38"/>
        <v>0.36222496935690102</v>
      </c>
      <c r="H173" s="71">
        <f t="shared" si="38"/>
        <v>0.67917151968337719</v>
      </c>
      <c r="I173" s="71">
        <f t="shared" si="38"/>
        <v>4.5278419030424844E-2</v>
      </c>
      <c r="J173" s="75">
        <v>90000</v>
      </c>
      <c r="K173" s="75">
        <v>2700</v>
      </c>
      <c r="L173" s="6">
        <f>(SUM(K170:K173))/J172</f>
        <v>0.15966666666666668</v>
      </c>
      <c r="M173" s="36" t="str">
        <f t="shared" si="35"/>
        <v>Desempenho Médio</v>
      </c>
      <c r="N173" s="6">
        <f t="shared" si="42"/>
        <v>0.2271654986777647</v>
      </c>
      <c r="O173" s="6">
        <f t="shared" si="42"/>
        <v>0.71582389712396544</v>
      </c>
      <c r="P173" s="6">
        <f t="shared" si="42"/>
        <v>-0.26149289976843598</v>
      </c>
      <c r="Q173" s="75">
        <v>78</v>
      </c>
      <c r="R173" s="76">
        <v>0</v>
      </c>
      <c r="S173" s="6">
        <f t="shared" si="33"/>
        <v>0</v>
      </c>
      <c r="T173" s="36" t="str">
        <f t="shared" si="36"/>
        <v>Desempenho Médio</v>
      </c>
      <c r="U173" s="6">
        <f t="shared" si="41"/>
        <v>0.18401218302179842</v>
      </c>
      <c r="V173" s="6">
        <f t="shared" si="41"/>
        <v>0.37883088095577799</v>
      </c>
      <c r="W173" s="6">
        <f t="shared" si="41"/>
        <v>-1.0806514912181153E-2</v>
      </c>
      <c r="X173" s="6">
        <f t="shared" si="41"/>
        <v>8.6602834054808633E-2</v>
      </c>
      <c r="Y173" s="6">
        <f t="shared" si="41"/>
        <v>0.19481869793397957</v>
      </c>
    </row>
    <row r="174" spans="1:25" x14ac:dyDescent="0.25">
      <c r="A174" s="7" t="s">
        <v>96</v>
      </c>
      <c r="B174" s="7" t="s">
        <v>162</v>
      </c>
      <c r="C174" s="74">
        <v>75</v>
      </c>
      <c r="D174" s="74">
        <v>0</v>
      </c>
      <c r="E174" s="71">
        <f t="shared" si="32"/>
        <v>0</v>
      </c>
      <c r="F174" s="65" t="str">
        <f t="shared" si="34"/>
        <v>Desempenho Deficitário</v>
      </c>
      <c r="G174" s="71">
        <f t="shared" si="38"/>
        <v>0.44825178806664662</v>
      </c>
      <c r="H174" s="71">
        <f t="shared" si="38"/>
        <v>0.78548221403733831</v>
      </c>
      <c r="I174" s="71">
        <f t="shared" si="38"/>
        <v>0.11102136209595498</v>
      </c>
      <c r="J174" s="75">
        <v>90000</v>
      </c>
      <c r="K174" s="75">
        <v>4900</v>
      </c>
      <c r="L174" s="6">
        <f>(SUM(K170:K174))/J173</f>
        <v>0.21411111111111111</v>
      </c>
      <c r="M174" s="36" t="str">
        <f t="shared" si="35"/>
        <v>Desempenho Médio</v>
      </c>
      <c r="N174" s="6">
        <f t="shared" si="42"/>
        <v>0.27284258705105507</v>
      </c>
      <c r="O174" s="6">
        <f t="shared" si="42"/>
        <v>0.75981161093062477</v>
      </c>
      <c r="P174" s="6">
        <f t="shared" si="42"/>
        <v>-0.21412643682851468</v>
      </c>
      <c r="Q174" s="75">
        <v>78</v>
      </c>
      <c r="R174" s="76">
        <v>0</v>
      </c>
      <c r="S174" s="6">
        <f t="shared" si="33"/>
        <v>0</v>
      </c>
      <c r="T174" s="36" t="str">
        <f t="shared" si="36"/>
        <v>Desempenho Médio</v>
      </c>
      <c r="U174" s="6">
        <f t="shared" si="41"/>
        <v>0.23278475191631845</v>
      </c>
      <c r="V174" s="6">
        <f t="shared" si="41"/>
        <v>0.51017789992422413</v>
      </c>
      <c r="W174" s="6">
        <f t="shared" si="41"/>
        <v>-4.460839609158726E-2</v>
      </c>
      <c r="X174" s="6">
        <f t="shared" si="41"/>
        <v>9.4088177912365595E-2</v>
      </c>
      <c r="Y174" s="6">
        <f t="shared" si="41"/>
        <v>0.27739314800790571</v>
      </c>
    </row>
    <row r="175" spans="1:25" x14ac:dyDescent="0.25">
      <c r="A175" s="7" t="s">
        <v>96</v>
      </c>
      <c r="B175" s="7" t="s">
        <v>163</v>
      </c>
      <c r="C175" s="74">
        <v>75</v>
      </c>
      <c r="D175" s="74">
        <v>0</v>
      </c>
      <c r="E175" s="71">
        <f t="shared" si="32"/>
        <v>0</v>
      </c>
      <c r="F175" s="65" t="str">
        <f t="shared" si="34"/>
        <v>Desempenho Deficitário</v>
      </c>
      <c r="G175" s="71">
        <f t="shared" si="38"/>
        <v>0.54231176602906361</v>
      </c>
      <c r="H175" s="71">
        <f t="shared" si="38"/>
        <v>0.92735502699565786</v>
      </c>
      <c r="I175" s="71">
        <f t="shared" si="38"/>
        <v>0.15726850506246942</v>
      </c>
      <c r="J175" s="75">
        <v>90000</v>
      </c>
      <c r="K175" s="75">
        <v>15980</v>
      </c>
      <c r="L175" s="6">
        <f>(SUM(K170:K175))/J174</f>
        <v>0.39166666666666666</v>
      </c>
      <c r="M175" s="36" t="str">
        <f t="shared" si="35"/>
        <v>Desempenho Bom</v>
      </c>
      <c r="N175" s="6">
        <f t="shared" si="42"/>
        <v>0.31451673641638933</v>
      </c>
      <c r="O175" s="6">
        <f t="shared" si="42"/>
        <v>0.80702132782766356</v>
      </c>
      <c r="P175" s="6">
        <f t="shared" si="42"/>
        <v>-0.1779878549948849</v>
      </c>
      <c r="Q175" s="75">
        <v>78</v>
      </c>
      <c r="R175" s="76">
        <v>0</v>
      </c>
      <c r="S175" s="6">
        <f t="shared" si="33"/>
        <v>0</v>
      </c>
      <c r="T175" s="36" t="str">
        <f t="shared" si="36"/>
        <v>Desempenho Deficitário</v>
      </c>
      <c r="U175" s="6">
        <f t="shared" ref="U175:Y190" si="43">U163</f>
        <v>0.46105014853915682</v>
      </c>
      <c r="V175" s="6">
        <f t="shared" si="43"/>
        <v>0.84756736419379908</v>
      </c>
      <c r="W175" s="6">
        <f t="shared" si="43"/>
        <v>7.4532932884514569E-2</v>
      </c>
      <c r="X175" s="6">
        <f t="shared" si="43"/>
        <v>7.4532932884514569E-2</v>
      </c>
      <c r="Y175" s="6">
        <f t="shared" si="43"/>
        <v>0.38651721565464225</v>
      </c>
    </row>
    <row r="176" spans="1:25" x14ac:dyDescent="0.25">
      <c r="A176" s="7" t="s">
        <v>96</v>
      </c>
      <c r="B176" s="7" t="s">
        <v>164</v>
      </c>
      <c r="C176" s="74">
        <v>75</v>
      </c>
      <c r="D176" s="74">
        <v>0</v>
      </c>
      <c r="E176" s="71">
        <f t="shared" si="32"/>
        <v>0</v>
      </c>
      <c r="F176" s="65" t="str">
        <f t="shared" si="34"/>
        <v>Desempenho Deficitário</v>
      </c>
      <c r="G176" s="71">
        <f t="shared" si="38"/>
        <v>0.63634637719050002</v>
      </c>
      <c r="H176" s="71">
        <f t="shared" si="38"/>
        <v>1.0512878703900039</v>
      </c>
      <c r="I176" s="71">
        <f t="shared" si="38"/>
        <v>0.22140488399099606</v>
      </c>
      <c r="J176" s="75">
        <v>90000</v>
      </c>
      <c r="K176" s="75">
        <v>4585</v>
      </c>
      <c r="L176" s="6">
        <f>(SUM(K170:K176))/J175</f>
        <v>0.44261111111111112</v>
      </c>
      <c r="M176" s="36" t="str">
        <f t="shared" si="35"/>
        <v>Desempenho Bom</v>
      </c>
      <c r="N176" s="6">
        <f t="shared" si="42"/>
        <v>0.38334713342809434</v>
      </c>
      <c r="O176" s="6">
        <f t="shared" si="42"/>
        <v>0.88375935483946089</v>
      </c>
      <c r="P176" s="6">
        <f t="shared" si="42"/>
        <v>-0.1170650879832722</v>
      </c>
      <c r="Q176" s="75">
        <v>78</v>
      </c>
      <c r="R176" s="76">
        <v>0</v>
      </c>
      <c r="S176" s="6">
        <f t="shared" si="33"/>
        <v>0</v>
      </c>
      <c r="T176" s="36" t="str">
        <f t="shared" si="36"/>
        <v>Desempenho Deficitário</v>
      </c>
      <c r="U176" s="6">
        <f t="shared" si="43"/>
        <v>0.46105014853915682</v>
      </c>
      <c r="V176" s="6">
        <f t="shared" si="43"/>
        <v>0.84756736419379908</v>
      </c>
      <c r="W176" s="6">
        <f t="shared" si="43"/>
        <v>7.4532932884514569E-2</v>
      </c>
      <c r="X176" s="6">
        <f t="shared" si="43"/>
        <v>7.4532932884514569E-2</v>
      </c>
      <c r="Y176" s="6">
        <f t="shared" si="43"/>
        <v>0.38651721565464225</v>
      </c>
    </row>
    <row r="177" spans="1:25" x14ac:dyDescent="0.25">
      <c r="A177" s="7" t="s">
        <v>96</v>
      </c>
      <c r="B177" s="7" t="s">
        <v>165</v>
      </c>
      <c r="C177" s="74">
        <v>75</v>
      </c>
      <c r="D177" s="74">
        <v>0</v>
      </c>
      <c r="E177" s="71">
        <f t="shared" si="32"/>
        <v>0</v>
      </c>
      <c r="F177" s="65" t="str">
        <f t="shared" si="34"/>
        <v>Desempenho Deficitário</v>
      </c>
      <c r="G177" s="71">
        <f t="shared" si="38"/>
        <v>0.70660866675940681</v>
      </c>
      <c r="H177" s="71">
        <f t="shared" si="38"/>
        <v>1.1341225514190425</v>
      </c>
      <c r="I177" s="71">
        <f t="shared" si="38"/>
        <v>0.27909478209977112</v>
      </c>
      <c r="J177" s="75">
        <v>90000</v>
      </c>
      <c r="K177" s="75">
        <v>1500</v>
      </c>
      <c r="L177" s="6">
        <f>(SUM(K170:K177))/J176</f>
        <v>0.45927777777777778</v>
      </c>
      <c r="M177" s="36" t="str">
        <f t="shared" si="35"/>
        <v>Desempenho Bom</v>
      </c>
      <c r="N177" s="6">
        <f t="shared" si="42"/>
        <v>0.45719521320533213</v>
      </c>
      <c r="O177" s="6">
        <f t="shared" si="42"/>
        <v>0.97356755068321044</v>
      </c>
      <c r="P177" s="6">
        <f t="shared" si="42"/>
        <v>-5.9177124272546122E-2</v>
      </c>
      <c r="Q177" s="75">
        <v>78</v>
      </c>
      <c r="R177" s="76">
        <v>0</v>
      </c>
      <c r="S177" s="6">
        <f t="shared" si="33"/>
        <v>0</v>
      </c>
      <c r="T177" s="36" t="str">
        <f t="shared" si="36"/>
        <v>Desempenho Deficitário</v>
      </c>
      <c r="U177" s="6">
        <f t="shared" si="43"/>
        <v>0.46105014853915682</v>
      </c>
      <c r="V177" s="6">
        <f t="shared" si="43"/>
        <v>0.84756736419379908</v>
      </c>
      <c r="W177" s="6">
        <f t="shared" si="43"/>
        <v>7.4532932884514569E-2</v>
      </c>
      <c r="X177" s="6">
        <f t="shared" si="43"/>
        <v>7.4532932884514569E-2</v>
      </c>
      <c r="Y177" s="6">
        <f t="shared" si="43"/>
        <v>0.38651721565464225</v>
      </c>
    </row>
    <row r="178" spans="1:25" x14ac:dyDescent="0.25">
      <c r="A178" s="7" t="s">
        <v>96</v>
      </c>
      <c r="B178" s="7" t="s">
        <v>166</v>
      </c>
      <c r="C178" s="74">
        <v>75</v>
      </c>
      <c r="D178" s="74">
        <v>0</v>
      </c>
      <c r="E178" s="71">
        <f t="shared" si="32"/>
        <v>0</v>
      </c>
      <c r="F178" s="65" t="str">
        <f t="shared" si="34"/>
        <v>Desempenho Deficitário</v>
      </c>
      <c r="G178" s="71">
        <f t="shared" si="38"/>
        <v>0.73663014244586189</v>
      </c>
      <c r="H178" s="71">
        <f t="shared" si="38"/>
        <v>1.1737360935948695</v>
      </c>
      <c r="I178" s="71">
        <f t="shared" si="38"/>
        <v>0.29952419129685426</v>
      </c>
      <c r="J178" s="75">
        <v>90000</v>
      </c>
      <c r="K178" s="75">
        <v>4940</v>
      </c>
      <c r="L178" s="6">
        <f>(SUM(K170:K178))/J177</f>
        <v>0.51416666666666666</v>
      </c>
      <c r="M178" s="36" t="str">
        <f t="shared" si="35"/>
        <v>Desempenho Bom</v>
      </c>
      <c r="N178" s="6">
        <f t="shared" si="42"/>
        <v>0.50336729135060976</v>
      </c>
      <c r="O178" s="6">
        <f t="shared" si="42"/>
        <v>1.0150591886201059</v>
      </c>
      <c r="P178" s="6">
        <f t="shared" si="42"/>
        <v>-8.3246059188863963E-3</v>
      </c>
      <c r="Q178" s="75">
        <v>78</v>
      </c>
      <c r="R178" s="76">
        <v>0</v>
      </c>
      <c r="S178" s="6">
        <f t="shared" si="33"/>
        <v>0</v>
      </c>
      <c r="T178" s="36" t="str">
        <f t="shared" si="36"/>
        <v>Desempenho Deficitário</v>
      </c>
      <c r="U178" s="6">
        <f t="shared" si="43"/>
        <v>0.74232771533595698</v>
      </c>
      <c r="V178" s="6">
        <f t="shared" si="43"/>
        <v>1.1540802341555996</v>
      </c>
      <c r="W178" s="6">
        <f t="shared" si="43"/>
        <v>0.33057519651631434</v>
      </c>
      <c r="X178" s="6">
        <f t="shared" si="43"/>
        <v>0.33057519651631434</v>
      </c>
      <c r="Y178" s="6">
        <f t="shared" si="43"/>
        <v>0.41175251881964264</v>
      </c>
    </row>
    <row r="179" spans="1:25" x14ac:dyDescent="0.25">
      <c r="A179" s="7" t="s">
        <v>96</v>
      </c>
      <c r="B179" s="7" t="s">
        <v>167</v>
      </c>
      <c r="C179" s="74">
        <v>75</v>
      </c>
      <c r="D179" s="74">
        <v>0</v>
      </c>
      <c r="E179" s="71">
        <f t="shared" si="32"/>
        <v>0</v>
      </c>
      <c r="F179" s="65" t="str">
        <f t="shared" si="34"/>
        <v>Desempenho Deficitário</v>
      </c>
      <c r="G179" s="71">
        <f t="shared" si="38"/>
        <v>0.82061442726694189</v>
      </c>
      <c r="H179" s="71">
        <f t="shared" si="38"/>
        <v>1.2607833515834532</v>
      </c>
      <c r="I179" s="71">
        <f t="shared" si="38"/>
        <v>0.38044550295043061</v>
      </c>
      <c r="J179" s="75">
        <v>90000</v>
      </c>
      <c r="K179" s="75">
        <v>15095</v>
      </c>
      <c r="L179" s="6">
        <f>(SUM(K170:K179))/J178</f>
        <v>0.68188888888888888</v>
      </c>
      <c r="M179" s="36" t="str">
        <f t="shared" si="35"/>
        <v>Desempenho Bom</v>
      </c>
      <c r="N179" s="6">
        <f t="shared" si="42"/>
        <v>0.58006775555216661</v>
      </c>
      <c r="O179" s="6">
        <f t="shared" si="42"/>
        <v>1.099948635873619</v>
      </c>
      <c r="P179" s="6">
        <f t="shared" si="42"/>
        <v>6.0186875230714088E-2</v>
      </c>
      <c r="Q179" s="75">
        <v>78</v>
      </c>
      <c r="R179" s="76">
        <v>0</v>
      </c>
      <c r="S179" s="6">
        <f t="shared" si="33"/>
        <v>0</v>
      </c>
      <c r="T179" s="36" t="str">
        <f t="shared" si="36"/>
        <v>Desempenho Deficitário</v>
      </c>
      <c r="U179" s="6">
        <f t="shared" si="43"/>
        <v>0.82347447721763523</v>
      </c>
      <c r="V179" s="6">
        <f t="shared" si="43"/>
        <v>1.2398542522675045</v>
      </c>
      <c r="W179" s="6">
        <f t="shared" si="43"/>
        <v>0.40709470216776611</v>
      </c>
      <c r="X179" s="6">
        <f t="shared" si="43"/>
        <v>0.40709470216776611</v>
      </c>
      <c r="Y179" s="6">
        <f t="shared" si="43"/>
        <v>0.41637977504986912</v>
      </c>
    </row>
    <row r="180" spans="1:25" x14ac:dyDescent="0.25">
      <c r="A180" s="7" t="s">
        <v>96</v>
      </c>
      <c r="B180" s="7" t="s">
        <v>168</v>
      </c>
      <c r="C180" s="74">
        <v>75</v>
      </c>
      <c r="D180" s="74">
        <v>0</v>
      </c>
      <c r="E180" s="71">
        <f t="shared" si="32"/>
        <v>0</v>
      </c>
      <c r="F180" s="65" t="str">
        <f t="shared" si="34"/>
        <v>Desempenho Deficitário</v>
      </c>
      <c r="G180" s="71">
        <f t="shared" si="38"/>
        <v>0.94582556715526966</v>
      </c>
      <c r="H180" s="71">
        <f t="shared" si="38"/>
        <v>1.4311117173682604</v>
      </c>
      <c r="I180" s="71">
        <f t="shared" si="38"/>
        <v>0.46053941694227907</v>
      </c>
      <c r="J180" s="75">
        <v>90000</v>
      </c>
      <c r="K180" s="75">
        <v>25200</v>
      </c>
      <c r="L180" s="6">
        <f>(SUM(K170:K180))/J179</f>
        <v>0.9618888888888889</v>
      </c>
      <c r="M180" s="36" t="str">
        <f t="shared" si="35"/>
        <v>Desempenho Bom</v>
      </c>
      <c r="N180" s="6">
        <f t="shared" si="42"/>
        <v>0.72282137340514951</v>
      </c>
      <c r="O180" s="6">
        <f t="shared" si="42"/>
        <v>1.2463651595014014</v>
      </c>
      <c r="P180" s="6">
        <f t="shared" si="42"/>
        <v>0.19927758730889755</v>
      </c>
      <c r="Q180" s="75">
        <v>78</v>
      </c>
      <c r="R180" s="76">
        <v>0</v>
      </c>
      <c r="S180" s="6">
        <f t="shared" si="33"/>
        <v>0</v>
      </c>
      <c r="T180" s="36" t="str">
        <f t="shared" si="36"/>
        <v>Desempenho Deficitário</v>
      </c>
      <c r="U180" s="6">
        <f t="shared" si="43"/>
        <v>0.91825333306001944</v>
      </c>
      <c r="V180" s="6">
        <f t="shared" si="43"/>
        <v>1.402047931898428</v>
      </c>
      <c r="W180" s="6">
        <f t="shared" si="43"/>
        <v>0.43445873422161085</v>
      </c>
      <c r="X180" s="6">
        <f t="shared" si="43"/>
        <v>0.43445873422161085</v>
      </c>
      <c r="Y180" s="6">
        <f t="shared" si="43"/>
        <v>0.48379459883840858</v>
      </c>
    </row>
    <row r="181" spans="1:25" x14ac:dyDescent="0.25">
      <c r="A181" s="7" t="s">
        <v>96</v>
      </c>
      <c r="B181" s="7" t="s">
        <v>169</v>
      </c>
      <c r="C181" s="74">
        <v>75</v>
      </c>
      <c r="D181" s="74">
        <v>0</v>
      </c>
      <c r="E181" s="71">
        <f t="shared" si="32"/>
        <v>0</v>
      </c>
      <c r="F181" s="65" t="str">
        <f t="shared" si="34"/>
        <v>Desempenho Deficitário</v>
      </c>
      <c r="G181" s="71">
        <f t="shared" si="38"/>
        <v>1.0016849877757958</v>
      </c>
      <c r="H181" s="71">
        <f t="shared" si="38"/>
        <v>1.521489991464148</v>
      </c>
      <c r="I181" s="71">
        <f t="shared" si="38"/>
        <v>0.48187998408744359</v>
      </c>
      <c r="J181" s="75">
        <v>90000</v>
      </c>
      <c r="K181" s="75">
        <v>21680</v>
      </c>
      <c r="L181" s="6">
        <f>(SUM(K170:K181))/J180</f>
        <v>1.2027777777777777</v>
      </c>
      <c r="M181" s="36" t="str">
        <f t="shared" si="35"/>
        <v>Desempenho Bom</v>
      </c>
      <c r="N181" s="6">
        <f t="shared" si="42"/>
        <v>0.82421983567812696</v>
      </c>
      <c r="O181" s="6">
        <f t="shared" si="42"/>
        <v>1.3730394926064369</v>
      </c>
      <c r="P181" s="6">
        <f t="shared" si="42"/>
        <v>0.27540017874981693</v>
      </c>
      <c r="Q181" s="75">
        <v>78</v>
      </c>
      <c r="R181" s="76">
        <v>0</v>
      </c>
      <c r="S181" s="6">
        <f t="shared" si="33"/>
        <v>0</v>
      </c>
      <c r="T181" s="36" t="str">
        <f t="shared" si="36"/>
        <v>Desempenho Deficitário</v>
      </c>
      <c r="U181" s="6">
        <f t="shared" si="43"/>
        <v>0.91825333306001944</v>
      </c>
      <c r="V181" s="6">
        <f t="shared" si="43"/>
        <v>1.402047931898428</v>
      </c>
      <c r="W181" s="6">
        <f t="shared" si="43"/>
        <v>0.43445873422161085</v>
      </c>
      <c r="X181" s="6">
        <f t="shared" si="43"/>
        <v>0.43445873422161085</v>
      </c>
      <c r="Y181" s="6">
        <f t="shared" si="43"/>
        <v>0.48379459883840858</v>
      </c>
    </row>
    <row r="182" spans="1:25" x14ac:dyDescent="0.25">
      <c r="A182" s="7" t="s">
        <v>38</v>
      </c>
      <c r="B182" s="7" t="s">
        <v>158</v>
      </c>
      <c r="C182" s="74">
        <v>75</v>
      </c>
      <c r="D182" s="74">
        <v>0</v>
      </c>
      <c r="E182" s="71">
        <f t="shared" si="32"/>
        <v>0</v>
      </c>
      <c r="F182" s="65" t="str">
        <f t="shared" si="34"/>
        <v>Desempenho Médio</v>
      </c>
      <c r="G182" s="71">
        <f t="shared" si="38"/>
        <v>0.11573204891712785</v>
      </c>
      <c r="H182" s="71">
        <f t="shared" si="38"/>
        <v>0.30218524997148988</v>
      </c>
      <c r="I182" s="71">
        <f t="shared" si="38"/>
        <v>-7.0721152137234206E-2</v>
      </c>
      <c r="J182" s="75">
        <v>33100</v>
      </c>
      <c r="K182" s="75">
        <v>0</v>
      </c>
      <c r="L182" s="6">
        <f>K182/J182</f>
        <v>0</v>
      </c>
      <c r="M182" s="36" t="str">
        <f t="shared" si="35"/>
        <v>Desempenho Médio</v>
      </c>
      <c r="N182" s="6">
        <f t="shared" ref="N182:P197" si="44">N170</f>
        <v>0.11129468122233216</v>
      </c>
      <c r="O182" s="6">
        <f t="shared" si="44"/>
        <v>0.54990456699293522</v>
      </c>
      <c r="P182" s="6">
        <f t="shared" si="44"/>
        <v>-0.32731520454827095</v>
      </c>
      <c r="Q182" s="75">
        <v>58</v>
      </c>
      <c r="R182" s="76">
        <v>0</v>
      </c>
      <c r="S182" s="6">
        <f t="shared" si="33"/>
        <v>0</v>
      </c>
      <c r="T182" s="36" t="str">
        <f t="shared" si="36"/>
        <v>Desempenho Médio</v>
      </c>
      <c r="U182" s="6">
        <f t="shared" si="43"/>
        <v>6.5053670194766225E-2</v>
      </c>
      <c r="V182" s="6">
        <f t="shared" si="43"/>
        <v>0.16010348962314203</v>
      </c>
      <c r="W182" s="6">
        <f t="shared" si="43"/>
        <v>-2.9996149233609562E-2</v>
      </c>
      <c r="X182" s="6">
        <f t="shared" si="43"/>
        <v>1.7528760480578331E-2</v>
      </c>
      <c r="Y182" s="6">
        <f t="shared" si="43"/>
        <v>9.5049819428375787E-2</v>
      </c>
    </row>
    <row r="183" spans="1:25" x14ac:dyDescent="0.25">
      <c r="A183" s="7" t="s">
        <v>38</v>
      </c>
      <c r="B183" s="7" t="s">
        <v>159</v>
      </c>
      <c r="C183" s="74">
        <v>75</v>
      </c>
      <c r="D183" s="74">
        <v>0</v>
      </c>
      <c r="E183" s="71">
        <f t="shared" si="32"/>
        <v>0</v>
      </c>
      <c r="F183" s="65" t="str">
        <f t="shared" si="34"/>
        <v>Desempenho Médio</v>
      </c>
      <c r="G183" s="71">
        <f t="shared" si="38"/>
        <v>0.22598075676513599</v>
      </c>
      <c r="H183" s="71">
        <f t="shared" si="38"/>
        <v>0.51894873552035481</v>
      </c>
      <c r="I183" s="71">
        <f t="shared" si="38"/>
        <v>-6.6987221990082807E-2</v>
      </c>
      <c r="J183" s="75">
        <v>33100</v>
      </c>
      <c r="K183" s="75">
        <v>0</v>
      </c>
      <c r="L183" s="6">
        <f>(SUM(K182:K183))/J182</f>
        <v>0</v>
      </c>
      <c r="M183" s="36" t="str">
        <f t="shared" si="35"/>
        <v>Desempenho Médio</v>
      </c>
      <c r="N183" s="6">
        <f t="shared" si="44"/>
        <v>0.14992070801509372</v>
      </c>
      <c r="O183" s="6">
        <f t="shared" si="44"/>
        <v>0.58968599072326611</v>
      </c>
      <c r="P183" s="6">
        <f t="shared" si="44"/>
        <v>-0.28984457469307867</v>
      </c>
      <c r="Q183" s="75">
        <v>58</v>
      </c>
      <c r="R183" s="76">
        <v>0</v>
      </c>
      <c r="S183" s="6">
        <f t="shared" si="33"/>
        <v>0</v>
      </c>
      <c r="T183" s="36" t="str">
        <f t="shared" si="36"/>
        <v>Desempenho Médio</v>
      </c>
      <c r="U183" s="6">
        <f t="shared" si="43"/>
        <v>6.5053670194766225E-2</v>
      </c>
      <c r="V183" s="6">
        <f t="shared" si="43"/>
        <v>0.16010348962314203</v>
      </c>
      <c r="W183" s="6">
        <f t="shared" si="43"/>
        <v>-2.9996149233609562E-2</v>
      </c>
      <c r="X183" s="6">
        <f t="shared" si="43"/>
        <v>1.7528760480578331E-2</v>
      </c>
      <c r="Y183" s="6">
        <f t="shared" si="43"/>
        <v>9.5049819428375787E-2</v>
      </c>
    </row>
    <row r="184" spans="1:25" x14ac:dyDescent="0.25">
      <c r="A184" s="7" t="s">
        <v>38</v>
      </c>
      <c r="B184" s="7" t="s">
        <v>160</v>
      </c>
      <c r="C184" s="74">
        <v>75</v>
      </c>
      <c r="D184" s="74">
        <v>0</v>
      </c>
      <c r="E184" s="71">
        <f t="shared" si="32"/>
        <v>0</v>
      </c>
      <c r="F184" s="65" t="str">
        <f t="shared" si="34"/>
        <v>Desempenho Médio</v>
      </c>
      <c r="G184" s="71">
        <f t="shared" si="38"/>
        <v>0.2827891266215985</v>
      </c>
      <c r="H184" s="71">
        <f t="shared" si="38"/>
        <v>0.59134445337262298</v>
      </c>
      <c r="I184" s="71">
        <f t="shared" si="38"/>
        <v>-2.5766200129425987E-2</v>
      </c>
      <c r="J184" s="75">
        <v>33100</v>
      </c>
      <c r="K184" s="75">
        <v>0</v>
      </c>
      <c r="L184" s="6">
        <f>(SUM(K182:K184))/J183</f>
        <v>0</v>
      </c>
      <c r="M184" s="36" t="str">
        <f t="shared" si="35"/>
        <v>Desempenho Médio</v>
      </c>
      <c r="N184" s="6">
        <f t="shared" si="44"/>
        <v>0.17723994755342617</v>
      </c>
      <c r="O184" s="6">
        <f t="shared" si="44"/>
        <v>0.61473682715667155</v>
      </c>
      <c r="P184" s="6">
        <f t="shared" si="44"/>
        <v>-0.26025693204981915</v>
      </c>
      <c r="Q184" s="75">
        <v>58</v>
      </c>
      <c r="R184" s="76">
        <v>0</v>
      </c>
      <c r="S184" s="6">
        <f t="shared" si="33"/>
        <v>0</v>
      </c>
      <c r="T184" s="36" t="str">
        <f t="shared" si="36"/>
        <v>Desempenho Médio</v>
      </c>
      <c r="U184" s="6">
        <f t="shared" si="43"/>
        <v>0.18401218302179842</v>
      </c>
      <c r="V184" s="6">
        <f t="shared" si="43"/>
        <v>0.37883088095577799</v>
      </c>
      <c r="W184" s="6">
        <f t="shared" si="43"/>
        <v>-1.0806514912181153E-2</v>
      </c>
      <c r="X184" s="6">
        <f t="shared" si="43"/>
        <v>8.6602834054808633E-2</v>
      </c>
      <c r="Y184" s="6">
        <f t="shared" si="43"/>
        <v>0.19481869793397957</v>
      </c>
    </row>
    <row r="185" spans="1:25" x14ac:dyDescent="0.25">
      <c r="A185" s="7" t="s">
        <v>38</v>
      </c>
      <c r="B185" s="7" t="s">
        <v>161</v>
      </c>
      <c r="C185" s="74">
        <v>75</v>
      </c>
      <c r="D185" s="74">
        <v>0</v>
      </c>
      <c r="E185" s="71">
        <f t="shared" si="32"/>
        <v>0</v>
      </c>
      <c r="F185" s="65" t="str">
        <f t="shared" si="34"/>
        <v>Desempenho Deficitário</v>
      </c>
      <c r="G185" s="71">
        <f t="shared" si="38"/>
        <v>0.36222496935690102</v>
      </c>
      <c r="H185" s="71">
        <f t="shared" si="38"/>
        <v>0.67917151968337719</v>
      </c>
      <c r="I185" s="71">
        <f t="shared" si="38"/>
        <v>4.5278419030424844E-2</v>
      </c>
      <c r="J185" s="75">
        <v>33100</v>
      </c>
      <c r="K185" s="75">
        <v>0</v>
      </c>
      <c r="L185" s="6">
        <f>(SUM(K182:K185))/J184</f>
        <v>0</v>
      </c>
      <c r="M185" s="36" t="str">
        <f t="shared" si="35"/>
        <v>Desempenho Médio</v>
      </c>
      <c r="N185" s="6">
        <f t="shared" si="44"/>
        <v>0.2271654986777647</v>
      </c>
      <c r="O185" s="6">
        <f t="shared" si="44"/>
        <v>0.71582389712396544</v>
      </c>
      <c r="P185" s="6">
        <f t="shared" si="44"/>
        <v>-0.26149289976843598</v>
      </c>
      <c r="Q185" s="75">
        <v>58</v>
      </c>
      <c r="R185" s="76">
        <v>0</v>
      </c>
      <c r="S185" s="6">
        <f t="shared" si="33"/>
        <v>0</v>
      </c>
      <c r="T185" s="36" t="str">
        <f t="shared" si="36"/>
        <v>Desempenho Médio</v>
      </c>
      <c r="U185" s="6">
        <f t="shared" si="43"/>
        <v>0.18401218302179842</v>
      </c>
      <c r="V185" s="6">
        <f t="shared" si="43"/>
        <v>0.37883088095577799</v>
      </c>
      <c r="W185" s="6">
        <f t="shared" si="43"/>
        <v>-1.0806514912181153E-2</v>
      </c>
      <c r="X185" s="6">
        <f t="shared" si="43"/>
        <v>8.6602834054808633E-2</v>
      </c>
      <c r="Y185" s="6">
        <f t="shared" si="43"/>
        <v>0.19481869793397957</v>
      </c>
    </row>
    <row r="186" spans="1:25" x14ac:dyDescent="0.25">
      <c r="A186" s="7" t="s">
        <v>38</v>
      </c>
      <c r="B186" s="7" t="s">
        <v>162</v>
      </c>
      <c r="C186" s="74">
        <v>75</v>
      </c>
      <c r="D186" s="74">
        <v>0</v>
      </c>
      <c r="E186" s="71">
        <f t="shared" si="32"/>
        <v>0</v>
      </c>
      <c r="F186" s="65" t="str">
        <f t="shared" si="34"/>
        <v>Desempenho Deficitário</v>
      </c>
      <c r="G186" s="71">
        <f t="shared" si="38"/>
        <v>0.44825178806664662</v>
      </c>
      <c r="H186" s="71">
        <f t="shared" si="38"/>
        <v>0.78548221403733831</v>
      </c>
      <c r="I186" s="71">
        <f t="shared" si="38"/>
        <v>0.11102136209595498</v>
      </c>
      <c r="J186" s="75">
        <v>33100</v>
      </c>
      <c r="K186" s="75">
        <v>0</v>
      </c>
      <c r="L186" s="6">
        <f>(SUM(K182:K186))/J185</f>
        <v>0</v>
      </c>
      <c r="M186" s="36" t="str">
        <f t="shared" si="35"/>
        <v>Desempenho Médio</v>
      </c>
      <c r="N186" s="6">
        <f t="shared" si="44"/>
        <v>0.27284258705105507</v>
      </c>
      <c r="O186" s="6">
        <f t="shared" si="44"/>
        <v>0.75981161093062477</v>
      </c>
      <c r="P186" s="6">
        <f t="shared" si="44"/>
        <v>-0.21412643682851468</v>
      </c>
      <c r="Q186" s="75">
        <v>58</v>
      </c>
      <c r="R186" s="76">
        <v>0</v>
      </c>
      <c r="S186" s="6">
        <f t="shared" si="33"/>
        <v>0</v>
      </c>
      <c r="T186" s="36" t="str">
        <f t="shared" si="36"/>
        <v>Desempenho Médio</v>
      </c>
      <c r="U186" s="6">
        <f t="shared" si="43"/>
        <v>0.23278475191631845</v>
      </c>
      <c r="V186" s="6">
        <f t="shared" si="43"/>
        <v>0.51017789992422413</v>
      </c>
      <c r="W186" s="6">
        <f t="shared" si="43"/>
        <v>-4.460839609158726E-2</v>
      </c>
      <c r="X186" s="6">
        <f t="shared" si="43"/>
        <v>9.4088177912365595E-2</v>
      </c>
      <c r="Y186" s="6">
        <f t="shared" si="43"/>
        <v>0.27739314800790571</v>
      </c>
    </row>
    <row r="187" spans="1:25" x14ac:dyDescent="0.25">
      <c r="A187" s="7" t="s">
        <v>38</v>
      </c>
      <c r="B187" s="7" t="s">
        <v>163</v>
      </c>
      <c r="C187" s="74">
        <v>75</v>
      </c>
      <c r="D187" s="74">
        <v>22</v>
      </c>
      <c r="E187" s="71">
        <f t="shared" si="32"/>
        <v>0.29333333333333333</v>
      </c>
      <c r="F187" s="65" t="str">
        <f t="shared" si="34"/>
        <v>Desempenho Médio</v>
      </c>
      <c r="G187" s="71">
        <f t="shared" si="38"/>
        <v>0.54231176602906361</v>
      </c>
      <c r="H187" s="71">
        <f t="shared" si="38"/>
        <v>0.92735502699565786</v>
      </c>
      <c r="I187" s="71">
        <f t="shared" si="38"/>
        <v>0.15726850506246942</v>
      </c>
      <c r="J187" s="75">
        <v>33100</v>
      </c>
      <c r="K187" s="75">
        <v>2200</v>
      </c>
      <c r="L187" s="6">
        <f>(SUM(K182:K187))/J186</f>
        <v>6.6465256797583083E-2</v>
      </c>
      <c r="M187" s="36" t="str">
        <f t="shared" si="35"/>
        <v>Desempenho Médio</v>
      </c>
      <c r="N187" s="6">
        <f t="shared" si="44"/>
        <v>0.31451673641638933</v>
      </c>
      <c r="O187" s="6">
        <f t="shared" si="44"/>
        <v>0.80702132782766356</v>
      </c>
      <c r="P187" s="6">
        <f t="shared" si="44"/>
        <v>-0.1779878549948849</v>
      </c>
      <c r="Q187" s="75">
        <v>58</v>
      </c>
      <c r="R187" s="76">
        <v>0</v>
      </c>
      <c r="S187" s="6">
        <f t="shared" si="33"/>
        <v>0</v>
      </c>
      <c r="T187" s="36" t="str">
        <f t="shared" si="36"/>
        <v>Desempenho Deficitário</v>
      </c>
      <c r="U187" s="6">
        <f t="shared" si="43"/>
        <v>0.46105014853915682</v>
      </c>
      <c r="V187" s="6">
        <f t="shared" si="43"/>
        <v>0.84756736419379908</v>
      </c>
      <c r="W187" s="6">
        <f t="shared" si="43"/>
        <v>7.4532932884514569E-2</v>
      </c>
      <c r="X187" s="6">
        <f t="shared" si="43"/>
        <v>7.4532932884514569E-2</v>
      </c>
      <c r="Y187" s="6">
        <f t="shared" si="43"/>
        <v>0.38651721565464225</v>
      </c>
    </row>
    <row r="188" spans="1:25" x14ac:dyDescent="0.25">
      <c r="A188" s="7" t="s">
        <v>38</v>
      </c>
      <c r="B188" s="7" t="s">
        <v>164</v>
      </c>
      <c r="C188" s="74">
        <v>75</v>
      </c>
      <c r="D188" s="74">
        <v>22</v>
      </c>
      <c r="E188" s="71">
        <f t="shared" si="32"/>
        <v>0.29333333333333333</v>
      </c>
      <c r="F188" s="65" t="str">
        <f t="shared" si="34"/>
        <v>Desempenho Médio</v>
      </c>
      <c r="G188" s="71">
        <f t="shared" si="38"/>
        <v>0.63634637719050002</v>
      </c>
      <c r="H188" s="71">
        <f t="shared" si="38"/>
        <v>1.0512878703900039</v>
      </c>
      <c r="I188" s="71">
        <f t="shared" si="38"/>
        <v>0.22140488399099606</v>
      </c>
      <c r="J188" s="75">
        <v>33100</v>
      </c>
      <c r="K188" s="75">
        <v>0</v>
      </c>
      <c r="L188" s="6">
        <f>(SUM(K182:K188))/J187</f>
        <v>6.6465256797583083E-2</v>
      </c>
      <c r="M188" s="36" t="str">
        <f t="shared" si="35"/>
        <v>Desempenho Médio</v>
      </c>
      <c r="N188" s="6">
        <f t="shared" si="44"/>
        <v>0.38334713342809434</v>
      </c>
      <c r="O188" s="6">
        <f t="shared" si="44"/>
        <v>0.88375935483946089</v>
      </c>
      <c r="P188" s="6">
        <f t="shared" si="44"/>
        <v>-0.1170650879832722</v>
      </c>
      <c r="Q188" s="75">
        <v>58</v>
      </c>
      <c r="R188" s="76">
        <v>0</v>
      </c>
      <c r="S188" s="6">
        <f t="shared" si="33"/>
        <v>0</v>
      </c>
      <c r="T188" s="36" t="str">
        <f t="shared" si="36"/>
        <v>Desempenho Deficitário</v>
      </c>
      <c r="U188" s="6">
        <f t="shared" si="43"/>
        <v>0.46105014853915682</v>
      </c>
      <c r="V188" s="6">
        <f t="shared" si="43"/>
        <v>0.84756736419379908</v>
      </c>
      <c r="W188" s="6">
        <f t="shared" si="43"/>
        <v>7.4532932884514569E-2</v>
      </c>
      <c r="X188" s="6">
        <f t="shared" si="43"/>
        <v>7.4532932884514569E-2</v>
      </c>
      <c r="Y188" s="6">
        <f t="shared" si="43"/>
        <v>0.38651721565464225</v>
      </c>
    </row>
    <row r="189" spans="1:25" x14ac:dyDescent="0.25">
      <c r="A189" s="7" t="s">
        <v>38</v>
      </c>
      <c r="B189" s="7" t="s">
        <v>165</v>
      </c>
      <c r="C189" s="74">
        <v>75</v>
      </c>
      <c r="D189" s="74">
        <v>22</v>
      </c>
      <c r="E189" s="71">
        <f t="shared" si="32"/>
        <v>0.29333333333333333</v>
      </c>
      <c r="F189" s="65" t="str">
        <f t="shared" si="34"/>
        <v>Desempenho Médio</v>
      </c>
      <c r="G189" s="71">
        <f t="shared" si="38"/>
        <v>0.70660866675940681</v>
      </c>
      <c r="H189" s="71">
        <f t="shared" si="38"/>
        <v>1.1341225514190425</v>
      </c>
      <c r="I189" s="71">
        <f t="shared" si="38"/>
        <v>0.27909478209977112</v>
      </c>
      <c r="J189" s="75">
        <v>33100</v>
      </c>
      <c r="K189" s="75">
        <v>0</v>
      </c>
      <c r="L189" s="6">
        <f>(SUM(K182:K189))/J188</f>
        <v>6.6465256797583083E-2</v>
      </c>
      <c r="M189" s="36" t="str">
        <f t="shared" si="35"/>
        <v>Desempenho Médio</v>
      </c>
      <c r="N189" s="6">
        <f t="shared" si="44"/>
        <v>0.45719521320533213</v>
      </c>
      <c r="O189" s="6">
        <f t="shared" si="44"/>
        <v>0.97356755068321044</v>
      </c>
      <c r="P189" s="6">
        <f t="shared" si="44"/>
        <v>-5.9177124272546122E-2</v>
      </c>
      <c r="Q189" s="75">
        <v>58</v>
      </c>
      <c r="R189" s="76">
        <v>0</v>
      </c>
      <c r="S189" s="6">
        <f t="shared" si="33"/>
        <v>0</v>
      </c>
      <c r="T189" s="36" t="str">
        <f t="shared" si="36"/>
        <v>Desempenho Deficitário</v>
      </c>
      <c r="U189" s="6">
        <f t="shared" si="43"/>
        <v>0.46105014853915682</v>
      </c>
      <c r="V189" s="6">
        <f t="shared" si="43"/>
        <v>0.84756736419379908</v>
      </c>
      <c r="W189" s="6">
        <f t="shared" si="43"/>
        <v>7.4532932884514569E-2</v>
      </c>
      <c r="X189" s="6">
        <f t="shared" si="43"/>
        <v>7.4532932884514569E-2</v>
      </c>
      <c r="Y189" s="6">
        <f t="shared" si="43"/>
        <v>0.38651721565464225</v>
      </c>
    </row>
    <row r="190" spans="1:25" x14ac:dyDescent="0.25">
      <c r="A190" s="7" t="s">
        <v>38</v>
      </c>
      <c r="B190" s="7" t="s">
        <v>166</v>
      </c>
      <c r="C190" s="74">
        <v>75</v>
      </c>
      <c r="D190" s="74">
        <v>22</v>
      </c>
      <c r="E190" s="71">
        <f t="shared" si="32"/>
        <v>0.29333333333333333</v>
      </c>
      <c r="F190" s="65" t="str">
        <f t="shared" si="34"/>
        <v>Desempenho Deficitário</v>
      </c>
      <c r="G190" s="71">
        <f t="shared" si="38"/>
        <v>0.73663014244586189</v>
      </c>
      <c r="H190" s="71">
        <f t="shared" si="38"/>
        <v>1.1737360935948695</v>
      </c>
      <c r="I190" s="71">
        <f t="shared" si="38"/>
        <v>0.29952419129685426</v>
      </c>
      <c r="J190" s="75">
        <v>33100</v>
      </c>
      <c r="K190" s="75">
        <v>0</v>
      </c>
      <c r="L190" s="6">
        <f>(SUM(K182:K190))/J189</f>
        <v>6.6465256797583083E-2</v>
      </c>
      <c r="M190" s="36" t="str">
        <f t="shared" si="35"/>
        <v>Desempenho Médio</v>
      </c>
      <c r="N190" s="6">
        <f t="shared" si="44"/>
        <v>0.50336729135060976</v>
      </c>
      <c r="O190" s="6">
        <f t="shared" si="44"/>
        <v>1.0150591886201059</v>
      </c>
      <c r="P190" s="6">
        <f t="shared" si="44"/>
        <v>-8.3246059188863963E-3</v>
      </c>
      <c r="Q190" s="75">
        <v>58</v>
      </c>
      <c r="R190" s="76">
        <v>44</v>
      </c>
      <c r="S190" s="6">
        <f t="shared" si="33"/>
        <v>0.75862068965517238</v>
      </c>
      <c r="T190" s="36" t="str">
        <f t="shared" si="36"/>
        <v>Desempenho Bom</v>
      </c>
      <c r="U190" s="6">
        <f t="shared" si="43"/>
        <v>0.74232771533595698</v>
      </c>
      <c r="V190" s="6">
        <f t="shared" si="43"/>
        <v>1.1540802341555996</v>
      </c>
      <c r="W190" s="6">
        <f t="shared" si="43"/>
        <v>0.33057519651631434</v>
      </c>
      <c r="X190" s="6">
        <f t="shared" si="43"/>
        <v>0.33057519651631434</v>
      </c>
      <c r="Y190" s="6">
        <f t="shared" si="43"/>
        <v>0.41175251881964264</v>
      </c>
    </row>
    <row r="191" spans="1:25" x14ac:dyDescent="0.25">
      <c r="A191" s="7" t="s">
        <v>38</v>
      </c>
      <c r="B191" s="7" t="s">
        <v>167</v>
      </c>
      <c r="C191" s="74">
        <v>75</v>
      </c>
      <c r="D191" s="74">
        <v>33</v>
      </c>
      <c r="E191" s="71">
        <f t="shared" si="32"/>
        <v>0.44</v>
      </c>
      <c r="F191" s="65" t="str">
        <f t="shared" si="34"/>
        <v>Desempenho Médio</v>
      </c>
      <c r="G191" s="71">
        <f t="shared" si="38"/>
        <v>0.82061442726694189</v>
      </c>
      <c r="H191" s="71">
        <f t="shared" si="38"/>
        <v>1.2607833515834532</v>
      </c>
      <c r="I191" s="71">
        <f t="shared" si="38"/>
        <v>0.38044550295043061</v>
      </c>
      <c r="J191" s="75">
        <v>33100</v>
      </c>
      <c r="K191" s="75">
        <v>550</v>
      </c>
      <c r="L191" s="6">
        <f>(SUM(K182:K191))/J190</f>
        <v>8.3081570996978854E-2</v>
      </c>
      <c r="M191" s="36" t="str">
        <f t="shared" si="35"/>
        <v>Desempenho Médio</v>
      </c>
      <c r="N191" s="6">
        <f t="shared" si="44"/>
        <v>0.58006775555216661</v>
      </c>
      <c r="O191" s="6">
        <f t="shared" si="44"/>
        <v>1.099948635873619</v>
      </c>
      <c r="P191" s="6">
        <f t="shared" si="44"/>
        <v>6.0186875230714088E-2</v>
      </c>
      <c r="Q191" s="75">
        <v>58</v>
      </c>
      <c r="R191" s="76">
        <v>44</v>
      </c>
      <c r="S191" s="6">
        <f t="shared" si="33"/>
        <v>0.75862068965517238</v>
      </c>
      <c r="T191" s="36" t="str">
        <f t="shared" si="36"/>
        <v>Desempenho Médio</v>
      </c>
      <c r="U191" s="6">
        <f t="shared" ref="U191:Y206" si="45">U179</f>
        <v>0.82347447721763523</v>
      </c>
      <c r="V191" s="6">
        <f t="shared" si="45"/>
        <v>1.2398542522675045</v>
      </c>
      <c r="W191" s="6">
        <f t="shared" si="45"/>
        <v>0.40709470216776611</v>
      </c>
      <c r="X191" s="6">
        <f t="shared" si="45"/>
        <v>0.40709470216776611</v>
      </c>
      <c r="Y191" s="6">
        <f t="shared" si="45"/>
        <v>0.41637977504986912</v>
      </c>
    </row>
    <row r="192" spans="1:25" x14ac:dyDescent="0.25">
      <c r="A192" s="7" t="s">
        <v>38</v>
      </c>
      <c r="B192" s="7" t="s">
        <v>168</v>
      </c>
      <c r="C192" s="74">
        <v>75</v>
      </c>
      <c r="D192" s="74">
        <v>56</v>
      </c>
      <c r="E192" s="71">
        <f t="shared" si="32"/>
        <v>0.7466666666666667</v>
      </c>
      <c r="F192" s="65" t="str">
        <f t="shared" si="34"/>
        <v>Desempenho Médio</v>
      </c>
      <c r="G192" s="71">
        <f t="shared" si="38"/>
        <v>0.94582556715526966</v>
      </c>
      <c r="H192" s="71">
        <f t="shared" si="38"/>
        <v>1.4311117173682604</v>
      </c>
      <c r="I192" s="71">
        <f t="shared" si="38"/>
        <v>0.46053941694227907</v>
      </c>
      <c r="J192" s="75">
        <v>33100</v>
      </c>
      <c r="K192" s="75">
        <v>1170</v>
      </c>
      <c r="L192" s="6">
        <f>(SUM(K182:K192))/J191</f>
        <v>0.11842900302114803</v>
      </c>
      <c r="M192" s="36" t="str">
        <f t="shared" si="35"/>
        <v>Desempenho Deficitário</v>
      </c>
      <c r="N192" s="6">
        <f t="shared" si="44"/>
        <v>0.72282137340514951</v>
      </c>
      <c r="O192" s="6">
        <f t="shared" si="44"/>
        <v>1.2463651595014014</v>
      </c>
      <c r="P192" s="6">
        <f t="shared" si="44"/>
        <v>0.19927758730889755</v>
      </c>
      <c r="Q192" s="75">
        <v>58</v>
      </c>
      <c r="R192" s="76">
        <v>44</v>
      </c>
      <c r="S192" s="6">
        <f t="shared" si="33"/>
        <v>0.75862068965517238</v>
      </c>
      <c r="T192" s="36" t="str">
        <f t="shared" si="36"/>
        <v>Desempenho Médio</v>
      </c>
      <c r="U192" s="6">
        <f t="shared" si="45"/>
        <v>0.91825333306001944</v>
      </c>
      <c r="V192" s="6">
        <f t="shared" si="45"/>
        <v>1.402047931898428</v>
      </c>
      <c r="W192" s="6">
        <f t="shared" si="45"/>
        <v>0.43445873422161085</v>
      </c>
      <c r="X192" s="6">
        <f t="shared" si="45"/>
        <v>0.43445873422161085</v>
      </c>
      <c r="Y192" s="6">
        <f t="shared" si="45"/>
        <v>0.48379459883840858</v>
      </c>
    </row>
    <row r="193" spans="1:25" x14ac:dyDescent="0.25">
      <c r="A193" s="7" t="s">
        <v>38</v>
      </c>
      <c r="B193" s="7" t="s">
        <v>169</v>
      </c>
      <c r="C193" s="74">
        <v>75</v>
      </c>
      <c r="D193" s="74">
        <v>56</v>
      </c>
      <c r="E193" s="71">
        <f t="shared" si="32"/>
        <v>0.7466666666666667</v>
      </c>
      <c r="F193" s="65" t="str">
        <f t="shared" si="34"/>
        <v>Desempenho Médio</v>
      </c>
      <c r="G193" s="71">
        <f t="shared" si="38"/>
        <v>1.0016849877757958</v>
      </c>
      <c r="H193" s="71">
        <f t="shared" si="38"/>
        <v>1.521489991464148</v>
      </c>
      <c r="I193" s="71">
        <f t="shared" si="38"/>
        <v>0.48187998408744359</v>
      </c>
      <c r="J193" s="75">
        <v>33100</v>
      </c>
      <c r="K193" s="75">
        <v>580</v>
      </c>
      <c r="L193" s="6">
        <f>(SUM(K182:K193))/J192</f>
        <v>0.13595166163141995</v>
      </c>
      <c r="M193" s="36" t="str">
        <f t="shared" si="35"/>
        <v>Desempenho Deficitário</v>
      </c>
      <c r="N193" s="6">
        <f t="shared" si="44"/>
        <v>0.82421983567812696</v>
      </c>
      <c r="O193" s="6">
        <f t="shared" si="44"/>
        <v>1.3730394926064369</v>
      </c>
      <c r="P193" s="6">
        <f t="shared" si="44"/>
        <v>0.27540017874981693</v>
      </c>
      <c r="Q193" s="75">
        <v>58</v>
      </c>
      <c r="R193" s="76">
        <v>44</v>
      </c>
      <c r="S193" s="6">
        <f t="shared" si="33"/>
        <v>0.75862068965517238</v>
      </c>
      <c r="T193" s="36" t="str">
        <f t="shared" si="36"/>
        <v>Desempenho Médio</v>
      </c>
      <c r="U193" s="6">
        <f t="shared" si="45"/>
        <v>0.91825333306001944</v>
      </c>
      <c r="V193" s="6">
        <f t="shared" si="45"/>
        <v>1.402047931898428</v>
      </c>
      <c r="W193" s="6">
        <f t="shared" si="45"/>
        <v>0.43445873422161085</v>
      </c>
      <c r="X193" s="6">
        <f t="shared" si="45"/>
        <v>0.43445873422161085</v>
      </c>
      <c r="Y193" s="6">
        <f t="shared" si="45"/>
        <v>0.48379459883840858</v>
      </c>
    </row>
    <row r="194" spans="1:25" x14ac:dyDescent="0.25">
      <c r="A194" s="7" t="s">
        <v>95</v>
      </c>
      <c r="B194" s="7" t="s">
        <v>158</v>
      </c>
      <c r="C194" s="74">
        <v>60</v>
      </c>
      <c r="D194" s="74">
        <v>14</v>
      </c>
      <c r="E194" s="71">
        <f t="shared" ref="E194:E257" si="46">D194/C194</f>
        <v>0.23333333333333334</v>
      </c>
      <c r="F194" s="65" t="str">
        <f t="shared" si="34"/>
        <v>Desempenho Bom</v>
      </c>
      <c r="G194" s="71">
        <f t="shared" si="38"/>
        <v>0.11573204891712785</v>
      </c>
      <c r="H194" s="71">
        <f t="shared" si="38"/>
        <v>0.30218524997148988</v>
      </c>
      <c r="I194" s="71">
        <f t="shared" si="38"/>
        <v>-7.0721152137234206E-2</v>
      </c>
      <c r="J194" s="75">
        <v>65000</v>
      </c>
      <c r="K194" s="75">
        <v>2463</v>
      </c>
      <c r="L194" s="6">
        <f>K194/J194</f>
        <v>3.789230769230769E-2</v>
      </c>
      <c r="M194" s="36" t="str">
        <f t="shared" si="35"/>
        <v>Desempenho Médio</v>
      </c>
      <c r="N194" s="6">
        <f t="shared" si="44"/>
        <v>0.11129468122233216</v>
      </c>
      <c r="O194" s="6">
        <f t="shared" si="44"/>
        <v>0.54990456699293522</v>
      </c>
      <c r="P194" s="6">
        <f t="shared" si="44"/>
        <v>-0.32731520454827095</v>
      </c>
      <c r="Q194" s="75">
        <v>65</v>
      </c>
      <c r="R194" s="76">
        <v>18</v>
      </c>
      <c r="S194" s="6">
        <f t="shared" ref="S194:S257" si="47">R194/Q194</f>
        <v>0.27692307692307694</v>
      </c>
      <c r="T194" s="36" t="str">
        <f t="shared" si="36"/>
        <v>Desempenho Ótimo</v>
      </c>
      <c r="U194" s="6">
        <f t="shared" si="45"/>
        <v>6.5053670194766225E-2</v>
      </c>
      <c r="V194" s="6">
        <f t="shared" si="45"/>
        <v>0.16010348962314203</v>
      </c>
      <c r="W194" s="6">
        <f t="shared" si="45"/>
        <v>-2.9996149233609562E-2</v>
      </c>
      <c r="X194" s="6">
        <f t="shared" si="45"/>
        <v>1.7528760480578331E-2</v>
      </c>
      <c r="Y194" s="6">
        <f t="shared" si="45"/>
        <v>9.5049819428375787E-2</v>
      </c>
    </row>
    <row r="195" spans="1:25" x14ac:dyDescent="0.25">
      <c r="A195" s="7" t="s">
        <v>95</v>
      </c>
      <c r="B195" s="7" t="s">
        <v>159</v>
      </c>
      <c r="C195" s="74">
        <v>60</v>
      </c>
      <c r="D195" s="74">
        <v>18</v>
      </c>
      <c r="E195" s="71">
        <f t="shared" si="46"/>
        <v>0.3</v>
      </c>
      <c r="F195" s="65" t="str">
        <f t="shared" ref="F195:F258" si="48">IF(E195&gt;=H195,"Desempenho Ótimo",(IF(E195&gt;G195,"Desempenho Bom",(IF(E195&gt;I195,"Desempenho Médio",IF(E195&lt;=I195,"Desempenho Deficitário",0))))))</f>
        <v>Desempenho Bom</v>
      </c>
      <c r="G195" s="71">
        <f t="shared" si="38"/>
        <v>0.22598075676513599</v>
      </c>
      <c r="H195" s="71">
        <f t="shared" si="38"/>
        <v>0.51894873552035481</v>
      </c>
      <c r="I195" s="71">
        <f t="shared" si="38"/>
        <v>-6.6987221990082807E-2</v>
      </c>
      <c r="J195" s="75">
        <v>65000</v>
      </c>
      <c r="K195" s="75">
        <v>870</v>
      </c>
      <c r="L195" s="6">
        <f>(SUM(K194:K195))/J194</f>
        <v>5.1276923076923074E-2</v>
      </c>
      <c r="M195" s="36" t="str">
        <f t="shared" ref="M195:M258" si="49">IF(L195&gt;=O195,"Desempenho Ótimo",(IF(L195&gt;N195,"Desempenho Bom",(IF(L195&gt;P195,"Desempenho Médio",IF(L195&lt;=P195,"Desempenho Deficitário",0))))))</f>
        <v>Desempenho Médio</v>
      </c>
      <c r="N195" s="6">
        <f t="shared" si="44"/>
        <v>0.14992070801509372</v>
      </c>
      <c r="O195" s="6">
        <f t="shared" si="44"/>
        <v>0.58968599072326611</v>
      </c>
      <c r="P195" s="6">
        <f t="shared" si="44"/>
        <v>-0.28984457469307867</v>
      </c>
      <c r="Q195" s="75">
        <v>65</v>
      </c>
      <c r="R195" s="76">
        <v>18</v>
      </c>
      <c r="S195" s="6">
        <f t="shared" si="47"/>
        <v>0.27692307692307694</v>
      </c>
      <c r="T195" s="36" t="str">
        <f t="shared" ref="T195:T258" si="50">IF(S195&gt;=V195,"Desempenho Ótimo",(IF(S195&gt;U195,"Desempenho Bom",(IF(S195&gt;W195,"Desempenho Médio",IF(S195&lt;=W195,"Desempenho Deficitário",0))))))</f>
        <v>Desempenho Ótimo</v>
      </c>
      <c r="U195" s="6">
        <f t="shared" si="45"/>
        <v>6.5053670194766225E-2</v>
      </c>
      <c r="V195" s="6">
        <f t="shared" si="45"/>
        <v>0.16010348962314203</v>
      </c>
      <c r="W195" s="6">
        <f t="shared" si="45"/>
        <v>-2.9996149233609562E-2</v>
      </c>
      <c r="X195" s="6">
        <f t="shared" si="45"/>
        <v>1.7528760480578331E-2</v>
      </c>
      <c r="Y195" s="6">
        <f t="shared" si="45"/>
        <v>9.5049819428375787E-2</v>
      </c>
    </row>
    <row r="196" spans="1:25" x14ac:dyDescent="0.25">
      <c r="A196" s="7" t="s">
        <v>95</v>
      </c>
      <c r="B196" s="7" t="s">
        <v>160</v>
      </c>
      <c r="C196" s="74">
        <v>60</v>
      </c>
      <c r="D196" s="74">
        <v>18</v>
      </c>
      <c r="E196" s="71">
        <f t="shared" si="46"/>
        <v>0.3</v>
      </c>
      <c r="F196" s="65" t="str">
        <f t="shared" si="48"/>
        <v>Desempenho Bom</v>
      </c>
      <c r="G196" s="71">
        <f t="shared" si="38"/>
        <v>0.2827891266215985</v>
      </c>
      <c r="H196" s="71">
        <f t="shared" si="38"/>
        <v>0.59134445337262298</v>
      </c>
      <c r="I196" s="71">
        <f t="shared" si="38"/>
        <v>-2.5766200129425987E-2</v>
      </c>
      <c r="J196" s="75">
        <v>65000</v>
      </c>
      <c r="K196" s="75">
        <v>0</v>
      </c>
      <c r="L196" s="6">
        <f>(SUM(K194:K196))/J195</f>
        <v>5.1276923076923074E-2</v>
      </c>
      <c r="M196" s="36" t="str">
        <f t="shared" si="49"/>
        <v>Desempenho Médio</v>
      </c>
      <c r="N196" s="6">
        <f t="shared" si="44"/>
        <v>0.17723994755342617</v>
      </c>
      <c r="O196" s="6">
        <f t="shared" si="44"/>
        <v>0.61473682715667155</v>
      </c>
      <c r="P196" s="6">
        <f t="shared" si="44"/>
        <v>-0.26025693204981915</v>
      </c>
      <c r="Q196" s="75">
        <v>65</v>
      </c>
      <c r="R196" s="76">
        <v>18</v>
      </c>
      <c r="S196" s="6">
        <f t="shared" si="47"/>
        <v>0.27692307692307694</v>
      </c>
      <c r="T196" s="36" t="str">
        <f t="shared" si="50"/>
        <v>Desempenho Bom</v>
      </c>
      <c r="U196" s="6">
        <f t="shared" si="45"/>
        <v>0.18401218302179842</v>
      </c>
      <c r="V196" s="6">
        <f t="shared" si="45"/>
        <v>0.37883088095577799</v>
      </c>
      <c r="W196" s="6">
        <f t="shared" si="45"/>
        <v>-1.0806514912181153E-2</v>
      </c>
      <c r="X196" s="6">
        <f t="shared" si="45"/>
        <v>8.6602834054808633E-2</v>
      </c>
      <c r="Y196" s="6">
        <f t="shared" si="45"/>
        <v>0.19481869793397957</v>
      </c>
    </row>
    <row r="197" spans="1:25" x14ac:dyDescent="0.25">
      <c r="A197" s="7" t="s">
        <v>95</v>
      </c>
      <c r="B197" s="7" t="s">
        <v>161</v>
      </c>
      <c r="C197" s="74">
        <v>60</v>
      </c>
      <c r="D197" s="74">
        <v>18</v>
      </c>
      <c r="E197" s="71">
        <f t="shared" si="46"/>
        <v>0.3</v>
      </c>
      <c r="F197" s="65" t="str">
        <f t="shared" si="48"/>
        <v>Desempenho Médio</v>
      </c>
      <c r="G197" s="71">
        <f t="shared" si="38"/>
        <v>0.36222496935690102</v>
      </c>
      <c r="H197" s="71">
        <f t="shared" si="38"/>
        <v>0.67917151968337719</v>
      </c>
      <c r="I197" s="71">
        <f t="shared" si="38"/>
        <v>4.5278419030424844E-2</v>
      </c>
      <c r="J197" s="75">
        <v>65000</v>
      </c>
      <c r="K197" s="75">
        <v>0</v>
      </c>
      <c r="L197" s="6">
        <f>(SUM(K194:K197))/J196</f>
        <v>5.1276923076923074E-2</v>
      </c>
      <c r="M197" s="36" t="str">
        <f t="shared" si="49"/>
        <v>Desempenho Médio</v>
      </c>
      <c r="N197" s="6">
        <f t="shared" si="44"/>
        <v>0.2271654986777647</v>
      </c>
      <c r="O197" s="6">
        <f t="shared" si="44"/>
        <v>0.71582389712396544</v>
      </c>
      <c r="P197" s="6">
        <f t="shared" si="44"/>
        <v>-0.26149289976843598</v>
      </c>
      <c r="Q197" s="75">
        <v>65</v>
      </c>
      <c r="R197" s="76">
        <v>18</v>
      </c>
      <c r="S197" s="6">
        <f t="shared" si="47"/>
        <v>0.27692307692307694</v>
      </c>
      <c r="T197" s="36" t="str">
        <f t="shared" si="50"/>
        <v>Desempenho Bom</v>
      </c>
      <c r="U197" s="6">
        <f t="shared" si="45"/>
        <v>0.18401218302179842</v>
      </c>
      <c r="V197" s="6">
        <f t="shared" si="45"/>
        <v>0.37883088095577799</v>
      </c>
      <c r="W197" s="6">
        <f t="shared" si="45"/>
        <v>-1.0806514912181153E-2</v>
      </c>
      <c r="X197" s="6">
        <f t="shared" si="45"/>
        <v>8.6602834054808633E-2</v>
      </c>
      <c r="Y197" s="6">
        <f t="shared" si="45"/>
        <v>0.19481869793397957</v>
      </c>
    </row>
    <row r="198" spans="1:25" x14ac:dyDescent="0.25">
      <c r="A198" s="7" t="s">
        <v>95</v>
      </c>
      <c r="B198" s="7" t="s">
        <v>162</v>
      </c>
      <c r="C198" s="74">
        <v>60</v>
      </c>
      <c r="D198" s="74">
        <v>18</v>
      </c>
      <c r="E198" s="71">
        <f t="shared" si="46"/>
        <v>0.3</v>
      </c>
      <c r="F198" s="65" t="str">
        <f t="shared" si="48"/>
        <v>Desempenho Médio</v>
      </c>
      <c r="G198" s="71">
        <f t="shared" si="38"/>
        <v>0.44825178806664662</v>
      </c>
      <c r="H198" s="71">
        <f t="shared" si="38"/>
        <v>0.78548221403733831</v>
      </c>
      <c r="I198" s="71">
        <f t="shared" si="38"/>
        <v>0.11102136209595498</v>
      </c>
      <c r="J198" s="75">
        <v>65000</v>
      </c>
      <c r="K198" s="75">
        <v>0</v>
      </c>
      <c r="L198" s="6">
        <f>(SUM(K194:K198))/J197</f>
        <v>5.1276923076923074E-2</v>
      </c>
      <c r="M198" s="36" t="str">
        <f t="shared" si="49"/>
        <v>Desempenho Médio</v>
      </c>
      <c r="N198" s="6">
        <f t="shared" ref="N198:P213" si="51">N186</f>
        <v>0.27284258705105507</v>
      </c>
      <c r="O198" s="6">
        <f t="shared" si="51"/>
        <v>0.75981161093062477</v>
      </c>
      <c r="P198" s="6">
        <f t="shared" si="51"/>
        <v>-0.21412643682851468</v>
      </c>
      <c r="Q198" s="75">
        <v>65</v>
      </c>
      <c r="R198" s="76">
        <v>18</v>
      </c>
      <c r="S198" s="6">
        <f t="shared" si="47"/>
        <v>0.27692307692307694</v>
      </c>
      <c r="T198" s="36" t="str">
        <f t="shared" si="50"/>
        <v>Desempenho Bom</v>
      </c>
      <c r="U198" s="6">
        <f t="shared" si="45"/>
        <v>0.23278475191631845</v>
      </c>
      <c r="V198" s="6">
        <f t="shared" si="45"/>
        <v>0.51017789992422413</v>
      </c>
      <c r="W198" s="6">
        <f t="shared" si="45"/>
        <v>-4.460839609158726E-2</v>
      </c>
      <c r="X198" s="6">
        <f t="shared" si="45"/>
        <v>9.4088177912365595E-2</v>
      </c>
      <c r="Y198" s="6">
        <f t="shared" si="45"/>
        <v>0.27739314800790571</v>
      </c>
    </row>
    <row r="199" spans="1:25" x14ac:dyDescent="0.25">
      <c r="A199" s="7" t="s">
        <v>95</v>
      </c>
      <c r="B199" s="7" t="s">
        <v>163</v>
      </c>
      <c r="C199" s="74">
        <v>60</v>
      </c>
      <c r="D199" s="74">
        <v>18</v>
      </c>
      <c r="E199" s="71">
        <f t="shared" si="46"/>
        <v>0.3</v>
      </c>
      <c r="F199" s="65" t="str">
        <f t="shared" si="48"/>
        <v>Desempenho Médio</v>
      </c>
      <c r="G199" s="71">
        <f t="shared" si="38"/>
        <v>0.54231176602906361</v>
      </c>
      <c r="H199" s="71">
        <f t="shared" si="38"/>
        <v>0.92735502699565786</v>
      </c>
      <c r="I199" s="71">
        <f t="shared" si="38"/>
        <v>0.15726850506246942</v>
      </c>
      <c r="J199" s="75">
        <v>65000</v>
      </c>
      <c r="K199" s="75">
        <v>0</v>
      </c>
      <c r="L199" s="6">
        <f>(SUM(K194:K199))/J198</f>
        <v>5.1276923076923074E-2</v>
      </c>
      <c r="M199" s="36" t="str">
        <f t="shared" si="49"/>
        <v>Desempenho Médio</v>
      </c>
      <c r="N199" s="6">
        <f t="shared" si="51"/>
        <v>0.31451673641638933</v>
      </c>
      <c r="O199" s="6">
        <f t="shared" si="51"/>
        <v>0.80702132782766356</v>
      </c>
      <c r="P199" s="6">
        <f t="shared" si="51"/>
        <v>-0.1779878549948849</v>
      </c>
      <c r="Q199" s="75">
        <v>65</v>
      </c>
      <c r="R199" s="76">
        <v>61</v>
      </c>
      <c r="S199" s="6">
        <f t="shared" si="47"/>
        <v>0.93846153846153846</v>
      </c>
      <c r="T199" s="36" t="str">
        <f t="shared" si="50"/>
        <v>Desempenho Ótimo</v>
      </c>
      <c r="U199" s="6">
        <f t="shared" si="45"/>
        <v>0.46105014853915682</v>
      </c>
      <c r="V199" s="6">
        <f t="shared" si="45"/>
        <v>0.84756736419379908</v>
      </c>
      <c r="W199" s="6">
        <f t="shared" si="45"/>
        <v>7.4532932884514569E-2</v>
      </c>
      <c r="X199" s="6">
        <f t="shared" si="45"/>
        <v>7.4532932884514569E-2</v>
      </c>
      <c r="Y199" s="6">
        <f t="shared" si="45"/>
        <v>0.38651721565464225</v>
      </c>
    </row>
    <row r="200" spans="1:25" x14ac:dyDescent="0.25">
      <c r="A200" s="7" t="s">
        <v>95</v>
      </c>
      <c r="B200" s="7" t="s">
        <v>164</v>
      </c>
      <c r="C200" s="74">
        <v>60</v>
      </c>
      <c r="D200" s="74">
        <v>18</v>
      </c>
      <c r="E200" s="71">
        <f t="shared" si="46"/>
        <v>0.3</v>
      </c>
      <c r="F200" s="65" t="str">
        <f t="shared" si="48"/>
        <v>Desempenho Médio</v>
      </c>
      <c r="G200" s="71">
        <f t="shared" si="38"/>
        <v>0.63634637719050002</v>
      </c>
      <c r="H200" s="71">
        <f t="shared" si="38"/>
        <v>1.0512878703900039</v>
      </c>
      <c r="I200" s="71">
        <f t="shared" si="38"/>
        <v>0.22140488399099606</v>
      </c>
      <c r="J200" s="75">
        <v>65000</v>
      </c>
      <c r="K200" s="75">
        <v>0</v>
      </c>
      <c r="L200" s="6">
        <f>(SUM(K194:K200))/J199</f>
        <v>5.1276923076923074E-2</v>
      </c>
      <c r="M200" s="36" t="str">
        <f t="shared" si="49"/>
        <v>Desempenho Médio</v>
      </c>
      <c r="N200" s="6">
        <f t="shared" si="51"/>
        <v>0.38334713342809434</v>
      </c>
      <c r="O200" s="6">
        <f t="shared" si="51"/>
        <v>0.88375935483946089</v>
      </c>
      <c r="P200" s="6">
        <f t="shared" si="51"/>
        <v>-0.1170650879832722</v>
      </c>
      <c r="Q200" s="75">
        <v>65</v>
      </c>
      <c r="R200" s="76">
        <v>61</v>
      </c>
      <c r="S200" s="6">
        <f t="shared" si="47"/>
        <v>0.93846153846153846</v>
      </c>
      <c r="T200" s="36" t="str">
        <f t="shared" si="50"/>
        <v>Desempenho Ótimo</v>
      </c>
      <c r="U200" s="6">
        <f t="shared" si="45"/>
        <v>0.46105014853915682</v>
      </c>
      <c r="V200" s="6">
        <f t="shared" si="45"/>
        <v>0.84756736419379908</v>
      </c>
      <c r="W200" s="6">
        <f t="shared" si="45"/>
        <v>7.4532932884514569E-2</v>
      </c>
      <c r="X200" s="6">
        <f t="shared" si="45"/>
        <v>7.4532932884514569E-2</v>
      </c>
      <c r="Y200" s="6">
        <f t="shared" si="45"/>
        <v>0.38651721565464225</v>
      </c>
    </row>
    <row r="201" spans="1:25" x14ac:dyDescent="0.25">
      <c r="A201" s="7" t="s">
        <v>95</v>
      </c>
      <c r="B201" s="7" t="s">
        <v>165</v>
      </c>
      <c r="C201" s="74">
        <v>60</v>
      </c>
      <c r="D201" s="74">
        <v>39</v>
      </c>
      <c r="E201" s="71">
        <f t="shared" si="46"/>
        <v>0.65</v>
      </c>
      <c r="F201" s="65" t="str">
        <f t="shared" si="48"/>
        <v>Desempenho Médio</v>
      </c>
      <c r="G201" s="71">
        <f t="shared" si="38"/>
        <v>0.70660866675940681</v>
      </c>
      <c r="H201" s="71">
        <f t="shared" si="38"/>
        <v>1.1341225514190425</v>
      </c>
      <c r="I201" s="71">
        <f t="shared" si="38"/>
        <v>0.27909478209977112</v>
      </c>
      <c r="J201" s="75">
        <v>65000</v>
      </c>
      <c r="K201" s="75">
        <v>4500</v>
      </c>
      <c r="L201" s="6">
        <f>(SUM(K194:K201))/J200</f>
        <v>0.1205076923076923</v>
      </c>
      <c r="M201" s="36" t="str">
        <f t="shared" si="49"/>
        <v>Desempenho Médio</v>
      </c>
      <c r="N201" s="6">
        <f t="shared" si="51"/>
        <v>0.45719521320533213</v>
      </c>
      <c r="O201" s="6">
        <f t="shared" si="51"/>
        <v>0.97356755068321044</v>
      </c>
      <c r="P201" s="6">
        <f t="shared" si="51"/>
        <v>-5.9177124272546122E-2</v>
      </c>
      <c r="Q201" s="75">
        <v>65</v>
      </c>
      <c r="R201" s="76">
        <v>61</v>
      </c>
      <c r="S201" s="6">
        <f t="shared" si="47"/>
        <v>0.93846153846153846</v>
      </c>
      <c r="T201" s="36" t="str">
        <f t="shared" si="50"/>
        <v>Desempenho Ótimo</v>
      </c>
      <c r="U201" s="6">
        <f t="shared" si="45"/>
        <v>0.46105014853915682</v>
      </c>
      <c r="V201" s="6">
        <f t="shared" si="45"/>
        <v>0.84756736419379908</v>
      </c>
      <c r="W201" s="6">
        <f t="shared" si="45"/>
        <v>7.4532932884514569E-2</v>
      </c>
      <c r="X201" s="6">
        <f t="shared" si="45"/>
        <v>7.4532932884514569E-2</v>
      </c>
      <c r="Y201" s="6">
        <f t="shared" si="45"/>
        <v>0.38651721565464225</v>
      </c>
    </row>
    <row r="202" spans="1:25" x14ac:dyDescent="0.25">
      <c r="A202" s="7" t="s">
        <v>95</v>
      </c>
      <c r="B202" s="7" t="s">
        <v>166</v>
      </c>
      <c r="C202" s="74">
        <v>60</v>
      </c>
      <c r="D202" s="74">
        <v>46</v>
      </c>
      <c r="E202" s="71">
        <f t="shared" si="46"/>
        <v>0.76666666666666672</v>
      </c>
      <c r="F202" s="65" t="str">
        <f t="shared" si="48"/>
        <v>Desempenho Bom</v>
      </c>
      <c r="G202" s="71">
        <f t="shared" si="38"/>
        <v>0.73663014244586189</v>
      </c>
      <c r="H202" s="71">
        <f t="shared" si="38"/>
        <v>1.1737360935948695</v>
      </c>
      <c r="I202" s="71">
        <f t="shared" si="38"/>
        <v>0.29952419129685426</v>
      </c>
      <c r="J202" s="75">
        <v>65000</v>
      </c>
      <c r="K202" s="75">
        <v>800</v>
      </c>
      <c r="L202" s="6">
        <f>(SUM(K194:K202))/J201</f>
        <v>0.13281538461538461</v>
      </c>
      <c r="M202" s="36" t="str">
        <f t="shared" si="49"/>
        <v>Desempenho Médio</v>
      </c>
      <c r="N202" s="6">
        <f t="shared" si="51"/>
        <v>0.50336729135060976</v>
      </c>
      <c r="O202" s="6">
        <f t="shared" si="51"/>
        <v>1.0150591886201059</v>
      </c>
      <c r="P202" s="6">
        <f t="shared" si="51"/>
        <v>-8.3246059188863963E-3</v>
      </c>
      <c r="Q202" s="75">
        <v>65</v>
      </c>
      <c r="R202" s="76">
        <v>64</v>
      </c>
      <c r="S202" s="6">
        <f t="shared" si="47"/>
        <v>0.98461538461538467</v>
      </c>
      <c r="T202" s="36" t="str">
        <f t="shared" si="50"/>
        <v>Desempenho Bom</v>
      </c>
      <c r="U202" s="6">
        <f t="shared" si="45"/>
        <v>0.74232771533595698</v>
      </c>
      <c r="V202" s="6">
        <f t="shared" si="45"/>
        <v>1.1540802341555996</v>
      </c>
      <c r="W202" s="6">
        <f t="shared" si="45"/>
        <v>0.33057519651631434</v>
      </c>
      <c r="X202" s="6">
        <f t="shared" si="45"/>
        <v>0.33057519651631434</v>
      </c>
      <c r="Y202" s="6">
        <f t="shared" si="45"/>
        <v>0.41175251881964264</v>
      </c>
    </row>
    <row r="203" spans="1:25" x14ac:dyDescent="0.25">
      <c r="A203" s="7" t="s">
        <v>95</v>
      </c>
      <c r="B203" s="7" t="s">
        <v>167</v>
      </c>
      <c r="C203" s="74">
        <v>60</v>
      </c>
      <c r="D203" s="74">
        <v>56</v>
      </c>
      <c r="E203" s="71">
        <f t="shared" si="46"/>
        <v>0.93333333333333335</v>
      </c>
      <c r="F203" s="65" t="str">
        <f t="shared" si="48"/>
        <v>Desempenho Bom</v>
      </c>
      <c r="G203" s="71">
        <f t="shared" si="38"/>
        <v>0.82061442726694189</v>
      </c>
      <c r="H203" s="71">
        <f t="shared" si="38"/>
        <v>1.2607833515834532</v>
      </c>
      <c r="I203" s="71">
        <f t="shared" si="38"/>
        <v>0.38044550295043061</v>
      </c>
      <c r="J203" s="75">
        <v>65000</v>
      </c>
      <c r="K203" s="75">
        <v>23500</v>
      </c>
      <c r="L203" s="6">
        <f>(SUM(K194:K203))/J202</f>
        <v>0.49435384615384614</v>
      </c>
      <c r="M203" s="36" t="str">
        <f t="shared" si="49"/>
        <v>Desempenho Médio</v>
      </c>
      <c r="N203" s="6">
        <f t="shared" si="51"/>
        <v>0.58006775555216661</v>
      </c>
      <c r="O203" s="6">
        <f t="shared" si="51"/>
        <v>1.099948635873619</v>
      </c>
      <c r="P203" s="6">
        <f t="shared" si="51"/>
        <v>6.0186875230714088E-2</v>
      </c>
      <c r="Q203" s="75">
        <v>65</v>
      </c>
      <c r="R203" s="76">
        <v>68</v>
      </c>
      <c r="S203" s="6">
        <f t="shared" si="47"/>
        <v>1.0461538461538462</v>
      </c>
      <c r="T203" s="36" t="str">
        <f t="shared" si="50"/>
        <v>Desempenho Bom</v>
      </c>
      <c r="U203" s="6">
        <f t="shared" si="45"/>
        <v>0.82347447721763523</v>
      </c>
      <c r="V203" s="6">
        <f t="shared" si="45"/>
        <v>1.2398542522675045</v>
      </c>
      <c r="W203" s="6">
        <f t="shared" si="45"/>
        <v>0.40709470216776611</v>
      </c>
      <c r="X203" s="6">
        <f t="shared" si="45"/>
        <v>0.40709470216776611</v>
      </c>
      <c r="Y203" s="6">
        <f t="shared" si="45"/>
        <v>0.41637977504986912</v>
      </c>
    </row>
    <row r="204" spans="1:25" x14ac:dyDescent="0.25">
      <c r="A204" s="7" t="s">
        <v>95</v>
      </c>
      <c r="B204" s="7" t="s">
        <v>168</v>
      </c>
      <c r="C204" s="74">
        <v>60</v>
      </c>
      <c r="D204" s="74">
        <v>64</v>
      </c>
      <c r="E204" s="71">
        <f t="shared" si="46"/>
        <v>1.0666666666666667</v>
      </c>
      <c r="F204" s="65" t="str">
        <f t="shared" si="48"/>
        <v>Desempenho Bom</v>
      </c>
      <c r="G204" s="71">
        <f t="shared" si="38"/>
        <v>0.94582556715526966</v>
      </c>
      <c r="H204" s="71">
        <f t="shared" si="38"/>
        <v>1.4311117173682604</v>
      </c>
      <c r="I204" s="71">
        <f t="shared" si="38"/>
        <v>0.46053941694227907</v>
      </c>
      <c r="J204" s="75">
        <v>65000</v>
      </c>
      <c r="K204" s="75">
        <v>801</v>
      </c>
      <c r="L204" s="6">
        <f>(SUM(K194:K204))/J203</f>
        <v>0.50667692307692302</v>
      </c>
      <c r="M204" s="36" t="str">
        <f t="shared" si="49"/>
        <v>Desempenho Médio</v>
      </c>
      <c r="N204" s="6">
        <f t="shared" si="51"/>
        <v>0.72282137340514951</v>
      </c>
      <c r="O204" s="6">
        <f t="shared" si="51"/>
        <v>1.2463651595014014</v>
      </c>
      <c r="P204" s="6">
        <f t="shared" si="51"/>
        <v>0.19927758730889755</v>
      </c>
      <c r="Q204" s="75">
        <v>65</v>
      </c>
      <c r="R204" s="76">
        <v>68</v>
      </c>
      <c r="S204" s="6">
        <f t="shared" si="47"/>
        <v>1.0461538461538462</v>
      </c>
      <c r="T204" s="36" t="str">
        <f t="shared" si="50"/>
        <v>Desempenho Bom</v>
      </c>
      <c r="U204" s="6">
        <f t="shared" si="45"/>
        <v>0.91825333306001944</v>
      </c>
      <c r="V204" s="6">
        <f t="shared" si="45"/>
        <v>1.402047931898428</v>
      </c>
      <c r="W204" s="6">
        <f t="shared" si="45"/>
        <v>0.43445873422161085</v>
      </c>
      <c r="X204" s="6">
        <f t="shared" si="45"/>
        <v>0.43445873422161085</v>
      </c>
      <c r="Y204" s="6">
        <f t="shared" si="45"/>
        <v>0.48379459883840858</v>
      </c>
    </row>
    <row r="205" spans="1:25" x14ac:dyDescent="0.25">
      <c r="A205" s="7" t="s">
        <v>95</v>
      </c>
      <c r="B205" s="7" t="s">
        <v>169</v>
      </c>
      <c r="C205" s="74">
        <v>60</v>
      </c>
      <c r="D205" s="74">
        <v>75</v>
      </c>
      <c r="E205" s="71">
        <f t="shared" si="46"/>
        <v>1.25</v>
      </c>
      <c r="F205" s="65" t="str">
        <f t="shared" si="48"/>
        <v>Desempenho Bom</v>
      </c>
      <c r="G205" s="71">
        <f t="shared" si="38"/>
        <v>1.0016849877757958</v>
      </c>
      <c r="H205" s="71">
        <f t="shared" si="38"/>
        <v>1.521489991464148</v>
      </c>
      <c r="I205" s="71">
        <f t="shared" si="38"/>
        <v>0.48187998408744359</v>
      </c>
      <c r="J205" s="75">
        <v>65000</v>
      </c>
      <c r="K205" s="75">
        <v>3997</v>
      </c>
      <c r="L205" s="6">
        <f>(SUM(K194:K205))/J204</f>
        <v>0.56816923076923076</v>
      </c>
      <c r="M205" s="36" t="str">
        <f t="shared" si="49"/>
        <v>Desempenho Médio</v>
      </c>
      <c r="N205" s="6">
        <f t="shared" si="51"/>
        <v>0.82421983567812696</v>
      </c>
      <c r="O205" s="6">
        <f t="shared" si="51"/>
        <v>1.3730394926064369</v>
      </c>
      <c r="P205" s="6">
        <f t="shared" si="51"/>
        <v>0.27540017874981693</v>
      </c>
      <c r="Q205" s="75">
        <v>65</v>
      </c>
      <c r="R205" s="76">
        <v>68</v>
      </c>
      <c r="S205" s="6">
        <f t="shared" si="47"/>
        <v>1.0461538461538462</v>
      </c>
      <c r="T205" s="36" t="str">
        <f t="shared" si="50"/>
        <v>Desempenho Bom</v>
      </c>
      <c r="U205" s="6">
        <f t="shared" si="45"/>
        <v>0.91825333306001944</v>
      </c>
      <c r="V205" s="6">
        <f t="shared" si="45"/>
        <v>1.402047931898428</v>
      </c>
      <c r="W205" s="6">
        <f t="shared" si="45"/>
        <v>0.43445873422161085</v>
      </c>
      <c r="X205" s="6">
        <f t="shared" si="45"/>
        <v>0.43445873422161085</v>
      </c>
      <c r="Y205" s="6">
        <f t="shared" si="45"/>
        <v>0.48379459883840858</v>
      </c>
    </row>
    <row r="206" spans="1:25" x14ac:dyDescent="0.25">
      <c r="A206" s="7" t="s">
        <v>132</v>
      </c>
      <c r="B206" s="7" t="s">
        <v>158</v>
      </c>
      <c r="C206" s="74">
        <v>75</v>
      </c>
      <c r="D206" s="74">
        <v>0</v>
      </c>
      <c r="E206" s="71">
        <f t="shared" si="46"/>
        <v>0</v>
      </c>
      <c r="F206" s="65" t="str">
        <f t="shared" si="48"/>
        <v>Desempenho Médio</v>
      </c>
      <c r="G206" s="71">
        <f t="shared" si="38"/>
        <v>0.11573204891712785</v>
      </c>
      <c r="H206" s="71">
        <f t="shared" si="38"/>
        <v>0.30218524997148988</v>
      </c>
      <c r="I206" s="71">
        <f t="shared" si="38"/>
        <v>-7.0721152137234206E-2</v>
      </c>
      <c r="J206" s="75">
        <v>189750</v>
      </c>
      <c r="K206" s="75">
        <v>14200</v>
      </c>
      <c r="L206" s="6">
        <f>K206/J206</f>
        <v>7.4835309617918316E-2</v>
      </c>
      <c r="M206" s="36" t="str">
        <f t="shared" si="49"/>
        <v>Desempenho Médio</v>
      </c>
      <c r="N206" s="6">
        <f t="shared" si="51"/>
        <v>0.11129468122233216</v>
      </c>
      <c r="O206" s="6">
        <f t="shared" si="51"/>
        <v>0.54990456699293522</v>
      </c>
      <c r="P206" s="6">
        <f t="shared" si="51"/>
        <v>-0.32731520454827095</v>
      </c>
      <c r="Q206" s="75">
        <v>80</v>
      </c>
      <c r="R206" s="76">
        <v>0</v>
      </c>
      <c r="S206" s="6">
        <f t="shared" si="47"/>
        <v>0</v>
      </c>
      <c r="T206" s="36" t="str">
        <f t="shared" si="50"/>
        <v>Desempenho Médio</v>
      </c>
      <c r="U206" s="6">
        <f t="shared" si="45"/>
        <v>6.5053670194766225E-2</v>
      </c>
      <c r="V206" s="6">
        <f t="shared" si="45"/>
        <v>0.16010348962314203</v>
      </c>
      <c r="W206" s="6">
        <f t="shared" si="45"/>
        <v>-2.9996149233609562E-2</v>
      </c>
      <c r="X206" s="6">
        <f t="shared" si="45"/>
        <v>1.7528760480578331E-2</v>
      </c>
      <c r="Y206" s="6">
        <f t="shared" si="45"/>
        <v>9.5049819428375787E-2</v>
      </c>
    </row>
    <row r="207" spans="1:25" x14ac:dyDescent="0.25">
      <c r="A207" s="7" t="s">
        <v>132</v>
      </c>
      <c r="B207" s="7" t="s">
        <v>159</v>
      </c>
      <c r="C207" s="74">
        <v>75</v>
      </c>
      <c r="D207" s="74">
        <v>0</v>
      </c>
      <c r="E207" s="71">
        <f t="shared" si="46"/>
        <v>0</v>
      </c>
      <c r="F207" s="65" t="str">
        <f t="shared" si="48"/>
        <v>Desempenho Médio</v>
      </c>
      <c r="G207" s="71">
        <f t="shared" ref="G207:I270" si="52">G195</f>
        <v>0.22598075676513599</v>
      </c>
      <c r="H207" s="71">
        <f t="shared" si="52"/>
        <v>0.51894873552035481</v>
      </c>
      <c r="I207" s="71">
        <f t="shared" si="52"/>
        <v>-6.6987221990082807E-2</v>
      </c>
      <c r="J207" s="75">
        <v>189750</v>
      </c>
      <c r="K207" s="75">
        <v>13500</v>
      </c>
      <c r="L207" s="6">
        <f>(SUM(K206:K207))/J206</f>
        <v>0.14598155467720686</v>
      </c>
      <c r="M207" s="36" t="str">
        <f t="shared" si="49"/>
        <v>Desempenho Médio</v>
      </c>
      <c r="N207" s="6">
        <f t="shared" si="51"/>
        <v>0.14992070801509372</v>
      </c>
      <c r="O207" s="6">
        <f t="shared" si="51"/>
        <v>0.58968599072326611</v>
      </c>
      <c r="P207" s="6">
        <f t="shared" si="51"/>
        <v>-0.28984457469307867</v>
      </c>
      <c r="Q207" s="75">
        <v>80</v>
      </c>
      <c r="R207" s="76">
        <v>0</v>
      </c>
      <c r="S207" s="6">
        <f t="shared" si="47"/>
        <v>0</v>
      </c>
      <c r="T207" s="36" t="str">
        <f t="shared" si="50"/>
        <v>Desempenho Médio</v>
      </c>
      <c r="U207" s="6">
        <f t="shared" ref="U207:Y222" si="53">U195</f>
        <v>6.5053670194766225E-2</v>
      </c>
      <c r="V207" s="6">
        <f t="shared" si="53"/>
        <v>0.16010348962314203</v>
      </c>
      <c r="W207" s="6">
        <f t="shared" si="53"/>
        <v>-2.9996149233609562E-2</v>
      </c>
      <c r="X207" s="6">
        <f t="shared" si="53"/>
        <v>1.7528760480578331E-2</v>
      </c>
      <c r="Y207" s="6">
        <f t="shared" si="53"/>
        <v>9.5049819428375787E-2</v>
      </c>
    </row>
    <row r="208" spans="1:25" x14ac:dyDescent="0.25">
      <c r="A208" s="7" t="s">
        <v>132</v>
      </c>
      <c r="B208" s="7" t="s">
        <v>160</v>
      </c>
      <c r="C208" s="74">
        <v>75</v>
      </c>
      <c r="D208" s="74">
        <v>0</v>
      </c>
      <c r="E208" s="71">
        <f t="shared" si="46"/>
        <v>0</v>
      </c>
      <c r="F208" s="65" t="str">
        <f t="shared" si="48"/>
        <v>Desempenho Médio</v>
      </c>
      <c r="G208" s="71">
        <f t="shared" si="52"/>
        <v>0.2827891266215985</v>
      </c>
      <c r="H208" s="71">
        <f t="shared" si="52"/>
        <v>0.59134445337262298</v>
      </c>
      <c r="I208" s="71">
        <f t="shared" si="52"/>
        <v>-2.5766200129425987E-2</v>
      </c>
      <c r="J208" s="75">
        <v>189750</v>
      </c>
      <c r="K208" s="75">
        <v>13000</v>
      </c>
      <c r="L208" s="6">
        <f>(SUM(K206:K208))/J207</f>
        <v>0.2144927536231884</v>
      </c>
      <c r="M208" s="36" t="str">
        <f t="shared" si="49"/>
        <v>Desempenho Bom</v>
      </c>
      <c r="N208" s="6">
        <f t="shared" si="51"/>
        <v>0.17723994755342617</v>
      </c>
      <c r="O208" s="6">
        <f t="shared" si="51"/>
        <v>0.61473682715667155</v>
      </c>
      <c r="P208" s="6">
        <f t="shared" si="51"/>
        <v>-0.26025693204981915</v>
      </c>
      <c r="Q208" s="75">
        <v>80</v>
      </c>
      <c r="R208" s="76">
        <v>0</v>
      </c>
      <c r="S208" s="6">
        <f t="shared" si="47"/>
        <v>0</v>
      </c>
      <c r="T208" s="36" t="str">
        <f t="shared" si="50"/>
        <v>Desempenho Médio</v>
      </c>
      <c r="U208" s="6">
        <f t="shared" si="53"/>
        <v>0.18401218302179842</v>
      </c>
      <c r="V208" s="6">
        <f t="shared" si="53"/>
        <v>0.37883088095577799</v>
      </c>
      <c r="W208" s="6">
        <f t="shared" si="53"/>
        <v>-1.0806514912181153E-2</v>
      </c>
      <c r="X208" s="6">
        <f t="shared" si="53"/>
        <v>8.6602834054808633E-2</v>
      </c>
      <c r="Y208" s="6">
        <f t="shared" si="53"/>
        <v>0.19481869793397957</v>
      </c>
    </row>
    <row r="209" spans="1:25" x14ac:dyDescent="0.25">
      <c r="A209" s="7" t="s">
        <v>132</v>
      </c>
      <c r="B209" s="7" t="s">
        <v>161</v>
      </c>
      <c r="C209" s="74">
        <v>75</v>
      </c>
      <c r="D209" s="74">
        <v>0</v>
      </c>
      <c r="E209" s="71">
        <f t="shared" si="46"/>
        <v>0</v>
      </c>
      <c r="F209" s="65" t="str">
        <f t="shared" si="48"/>
        <v>Desempenho Deficitário</v>
      </c>
      <c r="G209" s="71">
        <f t="shared" si="52"/>
        <v>0.36222496935690102</v>
      </c>
      <c r="H209" s="71">
        <f t="shared" si="52"/>
        <v>0.67917151968337719</v>
      </c>
      <c r="I209" s="71">
        <f t="shared" si="52"/>
        <v>4.5278419030424844E-2</v>
      </c>
      <c r="J209" s="75">
        <v>189750</v>
      </c>
      <c r="K209" s="75">
        <v>20864</v>
      </c>
      <c r="L209" s="6">
        <f>(SUM(K206:K209))/J208</f>
        <v>0.32444795783926217</v>
      </c>
      <c r="M209" s="36" t="str">
        <f t="shared" si="49"/>
        <v>Desempenho Bom</v>
      </c>
      <c r="N209" s="6">
        <f t="shared" si="51"/>
        <v>0.2271654986777647</v>
      </c>
      <c r="O209" s="6">
        <f t="shared" si="51"/>
        <v>0.71582389712396544</v>
      </c>
      <c r="P209" s="6">
        <f t="shared" si="51"/>
        <v>-0.26149289976843598</v>
      </c>
      <c r="Q209" s="75">
        <v>80</v>
      </c>
      <c r="R209" s="76">
        <v>0</v>
      </c>
      <c r="S209" s="6">
        <f t="shared" si="47"/>
        <v>0</v>
      </c>
      <c r="T209" s="36" t="str">
        <f t="shared" si="50"/>
        <v>Desempenho Médio</v>
      </c>
      <c r="U209" s="6">
        <f t="shared" si="53"/>
        <v>0.18401218302179842</v>
      </c>
      <c r="V209" s="6">
        <f t="shared" si="53"/>
        <v>0.37883088095577799</v>
      </c>
      <c r="W209" s="6">
        <f t="shared" si="53"/>
        <v>-1.0806514912181153E-2</v>
      </c>
      <c r="X209" s="6">
        <f t="shared" si="53"/>
        <v>8.6602834054808633E-2</v>
      </c>
      <c r="Y209" s="6">
        <f t="shared" si="53"/>
        <v>0.19481869793397957</v>
      </c>
    </row>
    <row r="210" spans="1:25" x14ac:dyDescent="0.25">
      <c r="A210" s="7" t="s">
        <v>132</v>
      </c>
      <c r="B210" s="7" t="s">
        <v>162</v>
      </c>
      <c r="C210" s="74">
        <v>75</v>
      </c>
      <c r="D210" s="74">
        <v>0</v>
      </c>
      <c r="E210" s="71">
        <f t="shared" si="46"/>
        <v>0</v>
      </c>
      <c r="F210" s="65" t="str">
        <f t="shared" si="48"/>
        <v>Desempenho Deficitário</v>
      </c>
      <c r="G210" s="71">
        <f t="shared" si="52"/>
        <v>0.44825178806664662</v>
      </c>
      <c r="H210" s="71">
        <f t="shared" si="52"/>
        <v>0.78548221403733831</v>
      </c>
      <c r="I210" s="71">
        <f t="shared" si="52"/>
        <v>0.11102136209595498</v>
      </c>
      <c r="J210" s="75">
        <v>189750</v>
      </c>
      <c r="K210" s="75">
        <v>0</v>
      </c>
      <c r="L210" s="6">
        <f>(SUM(K206:K210))/J209</f>
        <v>0.32444795783926217</v>
      </c>
      <c r="M210" s="36" t="str">
        <f t="shared" si="49"/>
        <v>Desempenho Bom</v>
      </c>
      <c r="N210" s="6">
        <f t="shared" si="51"/>
        <v>0.27284258705105507</v>
      </c>
      <c r="O210" s="6">
        <f t="shared" si="51"/>
        <v>0.75981161093062477</v>
      </c>
      <c r="P210" s="6">
        <f t="shared" si="51"/>
        <v>-0.21412643682851468</v>
      </c>
      <c r="Q210" s="75">
        <v>80</v>
      </c>
      <c r="R210" s="76">
        <v>0</v>
      </c>
      <c r="S210" s="6">
        <f t="shared" si="47"/>
        <v>0</v>
      </c>
      <c r="T210" s="36" t="str">
        <f t="shared" si="50"/>
        <v>Desempenho Médio</v>
      </c>
      <c r="U210" s="6">
        <f t="shared" si="53"/>
        <v>0.23278475191631845</v>
      </c>
      <c r="V210" s="6">
        <f t="shared" si="53"/>
        <v>0.51017789992422413</v>
      </c>
      <c r="W210" s="6">
        <f t="shared" si="53"/>
        <v>-4.460839609158726E-2</v>
      </c>
      <c r="X210" s="6">
        <f t="shared" si="53"/>
        <v>9.4088177912365595E-2</v>
      </c>
      <c r="Y210" s="6">
        <f t="shared" si="53"/>
        <v>0.27739314800790571</v>
      </c>
    </row>
    <row r="211" spans="1:25" x14ac:dyDescent="0.25">
      <c r="A211" s="7" t="s">
        <v>132</v>
      </c>
      <c r="B211" s="7" t="s">
        <v>163</v>
      </c>
      <c r="C211" s="74">
        <v>75</v>
      </c>
      <c r="D211" s="74">
        <v>0</v>
      </c>
      <c r="E211" s="71">
        <f t="shared" si="46"/>
        <v>0</v>
      </c>
      <c r="F211" s="65" t="str">
        <f t="shared" si="48"/>
        <v>Desempenho Deficitário</v>
      </c>
      <c r="G211" s="71">
        <f t="shared" si="52"/>
        <v>0.54231176602906361</v>
      </c>
      <c r="H211" s="71">
        <f t="shared" si="52"/>
        <v>0.92735502699565786</v>
      </c>
      <c r="I211" s="71">
        <f t="shared" si="52"/>
        <v>0.15726850506246942</v>
      </c>
      <c r="J211" s="75">
        <v>189750</v>
      </c>
      <c r="K211" s="75">
        <v>13600</v>
      </c>
      <c r="L211" s="6">
        <f>(SUM(K206:K211))/J210</f>
        <v>0.3961212121212121</v>
      </c>
      <c r="M211" s="36" t="str">
        <f t="shared" si="49"/>
        <v>Desempenho Bom</v>
      </c>
      <c r="N211" s="6">
        <f t="shared" si="51"/>
        <v>0.31451673641638933</v>
      </c>
      <c r="O211" s="6">
        <f t="shared" si="51"/>
        <v>0.80702132782766356</v>
      </c>
      <c r="P211" s="6">
        <f t="shared" si="51"/>
        <v>-0.1779878549948849</v>
      </c>
      <c r="Q211" s="75">
        <v>80</v>
      </c>
      <c r="R211" s="76">
        <v>0</v>
      </c>
      <c r="S211" s="6">
        <f t="shared" si="47"/>
        <v>0</v>
      </c>
      <c r="T211" s="36" t="str">
        <f t="shared" si="50"/>
        <v>Desempenho Deficitário</v>
      </c>
      <c r="U211" s="6">
        <f t="shared" si="53"/>
        <v>0.46105014853915682</v>
      </c>
      <c r="V211" s="6">
        <f t="shared" si="53"/>
        <v>0.84756736419379908</v>
      </c>
      <c r="W211" s="6">
        <f t="shared" si="53"/>
        <v>7.4532932884514569E-2</v>
      </c>
      <c r="X211" s="6">
        <f t="shared" si="53"/>
        <v>7.4532932884514569E-2</v>
      </c>
      <c r="Y211" s="6">
        <f t="shared" si="53"/>
        <v>0.38651721565464225</v>
      </c>
    </row>
    <row r="212" spans="1:25" x14ac:dyDescent="0.25">
      <c r="A212" s="7" t="s">
        <v>132</v>
      </c>
      <c r="B212" s="7" t="s">
        <v>164</v>
      </c>
      <c r="C212" s="74">
        <v>75</v>
      </c>
      <c r="D212" s="74">
        <v>0</v>
      </c>
      <c r="E212" s="71">
        <f t="shared" si="46"/>
        <v>0</v>
      </c>
      <c r="F212" s="65" t="str">
        <f t="shared" si="48"/>
        <v>Desempenho Deficitário</v>
      </c>
      <c r="G212" s="71">
        <f t="shared" si="52"/>
        <v>0.63634637719050002</v>
      </c>
      <c r="H212" s="71">
        <f t="shared" si="52"/>
        <v>1.0512878703900039</v>
      </c>
      <c r="I212" s="71">
        <f t="shared" si="52"/>
        <v>0.22140488399099606</v>
      </c>
      <c r="J212" s="75">
        <v>189750</v>
      </c>
      <c r="K212" s="75">
        <v>11600</v>
      </c>
      <c r="L212" s="6">
        <f>(SUM(K206:K212))/J211</f>
        <v>0.45725428194993412</v>
      </c>
      <c r="M212" s="36" t="str">
        <f t="shared" si="49"/>
        <v>Desempenho Bom</v>
      </c>
      <c r="N212" s="6">
        <f t="shared" si="51"/>
        <v>0.38334713342809434</v>
      </c>
      <c r="O212" s="6">
        <f t="shared" si="51"/>
        <v>0.88375935483946089</v>
      </c>
      <c r="P212" s="6">
        <f t="shared" si="51"/>
        <v>-0.1170650879832722</v>
      </c>
      <c r="Q212" s="75">
        <v>80</v>
      </c>
      <c r="R212" s="76">
        <v>0</v>
      </c>
      <c r="S212" s="6">
        <f t="shared" si="47"/>
        <v>0</v>
      </c>
      <c r="T212" s="36" t="str">
        <f t="shared" si="50"/>
        <v>Desempenho Deficitário</v>
      </c>
      <c r="U212" s="6">
        <f t="shared" si="53"/>
        <v>0.46105014853915682</v>
      </c>
      <c r="V212" s="6">
        <f t="shared" si="53"/>
        <v>0.84756736419379908</v>
      </c>
      <c r="W212" s="6">
        <f t="shared" si="53"/>
        <v>7.4532932884514569E-2</v>
      </c>
      <c r="X212" s="6">
        <f t="shared" si="53"/>
        <v>7.4532932884514569E-2</v>
      </c>
      <c r="Y212" s="6">
        <f t="shared" si="53"/>
        <v>0.38651721565464225</v>
      </c>
    </row>
    <row r="213" spans="1:25" x14ac:dyDescent="0.25">
      <c r="A213" s="7" t="s">
        <v>132</v>
      </c>
      <c r="B213" s="7" t="s">
        <v>165</v>
      </c>
      <c r="C213" s="74">
        <v>75</v>
      </c>
      <c r="D213" s="74">
        <v>0</v>
      </c>
      <c r="E213" s="71">
        <f t="shared" si="46"/>
        <v>0</v>
      </c>
      <c r="F213" s="65" t="str">
        <f t="shared" si="48"/>
        <v>Desempenho Deficitário</v>
      </c>
      <c r="G213" s="71">
        <f t="shared" si="52"/>
        <v>0.70660866675940681</v>
      </c>
      <c r="H213" s="71">
        <f t="shared" si="52"/>
        <v>1.1341225514190425</v>
      </c>
      <c r="I213" s="71">
        <f t="shared" si="52"/>
        <v>0.27909478209977112</v>
      </c>
      <c r="J213" s="75">
        <v>189750</v>
      </c>
      <c r="K213" s="75">
        <v>1200</v>
      </c>
      <c r="L213" s="6">
        <f>(SUM(K206:K213))/J212</f>
        <v>0.46357839262187089</v>
      </c>
      <c r="M213" s="36" t="str">
        <f t="shared" si="49"/>
        <v>Desempenho Bom</v>
      </c>
      <c r="N213" s="6">
        <f t="shared" si="51"/>
        <v>0.45719521320533213</v>
      </c>
      <c r="O213" s="6">
        <f t="shared" si="51"/>
        <v>0.97356755068321044</v>
      </c>
      <c r="P213" s="6">
        <f t="shared" si="51"/>
        <v>-5.9177124272546122E-2</v>
      </c>
      <c r="Q213" s="75">
        <v>80</v>
      </c>
      <c r="R213" s="76">
        <v>0</v>
      </c>
      <c r="S213" s="6">
        <f t="shared" si="47"/>
        <v>0</v>
      </c>
      <c r="T213" s="36" t="str">
        <f t="shared" si="50"/>
        <v>Desempenho Deficitário</v>
      </c>
      <c r="U213" s="6">
        <f t="shared" si="53"/>
        <v>0.46105014853915682</v>
      </c>
      <c r="V213" s="6">
        <f t="shared" si="53"/>
        <v>0.84756736419379908</v>
      </c>
      <c r="W213" s="6">
        <f t="shared" si="53"/>
        <v>7.4532932884514569E-2</v>
      </c>
      <c r="X213" s="6">
        <f t="shared" si="53"/>
        <v>7.4532932884514569E-2</v>
      </c>
      <c r="Y213" s="6">
        <f t="shared" si="53"/>
        <v>0.38651721565464225</v>
      </c>
    </row>
    <row r="214" spans="1:25" x14ac:dyDescent="0.25">
      <c r="A214" s="7" t="s">
        <v>132</v>
      </c>
      <c r="B214" s="7" t="s">
        <v>166</v>
      </c>
      <c r="C214" s="74">
        <v>75</v>
      </c>
      <c r="D214" s="74">
        <v>0</v>
      </c>
      <c r="E214" s="71">
        <f t="shared" si="46"/>
        <v>0</v>
      </c>
      <c r="F214" s="65" t="str">
        <f t="shared" si="48"/>
        <v>Desempenho Deficitário</v>
      </c>
      <c r="G214" s="71">
        <f t="shared" si="52"/>
        <v>0.73663014244586189</v>
      </c>
      <c r="H214" s="71">
        <f t="shared" si="52"/>
        <v>1.1737360935948695</v>
      </c>
      <c r="I214" s="71">
        <f t="shared" si="52"/>
        <v>0.29952419129685426</v>
      </c>
      <c r="J214" s="75">
        <v>189750</v>
      </c>
      <c r="K214" s="75">
        <v>9100</v>
      </c>
      <c r="L214" s="6">
        <f>(SUM(K206:K214))/J213</f>
        <v>0.51153623188405795</v>
      </c>
      <c r="M214" s="36" t="str">
        <f t="shared" si="49"/>
        <v>Desempenho Bom</v>
      </c>
      <c r="N214" s="6">
        <f t="shared" ref="N214:P229" si="54">N202</f>
        <v>0.50336729135060976</v>
      </c>
      <c r="O214" s="6">
        <f t="shared" si="54"/>
        <v>1.0150591886201059</v>
      </c>
      <c r="P214" s="6">
        <f t="shared" si="54"/>
        <v>-8.3246059188863963E-3</v>
      </c>
      <c r="Q214" s="75">
        <v>80</v>
      </c>
      <c r="R214" s="76">
        <v>0</v>
      </c>
      <c r="S214" s="6">
        <f t="shared" si="47"/>
        <v>0</v>
      </c>
      <c r="T214" s="36" t="str">
        <f t="shared" si="50"/>
        <v>Desempenho Deficitário</v>
      </c>
      <c r="U214" s="6">
        <f t="shared" si="53"/>
        <v>0.74232771533595698</v>
      </c>
      <c r="V214" s="6">
        <f t="shared" si="53"/>
        <v>1.1540802341555996</v>
      </c>
      <c r="W214" s="6">
        <f t="shared" si="53"/>
        <v>0.33057519651631434</v>
      </c>
      <c r="X214" s="6">
        <f t="shared" si="53"/>
        <v>0.33057519651631434</v>
      </c>
      <c r="Y214" s="6">
        <f t="shared" si="53"/>
        <v>0.41175251881964264</v>
      </c>
    </row>
    <row r="215" spans="1:25" x14ac:dyDescent="0.25">
      <c r="A215" s="7" t="s">
        <v>132</v>
      </c>
      <c r="B215" s="7" t="s">
        <v>167</v>
      </c>
      <c r="C215" s="74">
        <v>75</v>
      </c>
      <c r="D215" s="74">
        <v>0</v>
      </c>
      <c r="E215" s="71">
        <f t="shared" si="46"/>
        <v>0</v>
      </c>
      <c r="F215" s="65" t="str">
        <f t="shared" si="48"/>
        <v>Desempenho Deficitário</v>
      </c>
      <c r="G215" s="71">
        <f t="shared" si="52"/>
        <v>0.82061442726694189</v>
      </c>
      <c r="H215" s="71">
        <f t="shared" si="52"/>
        <v>1.2607833515834532</v>
      </c>
      <c r="I215" s="71">
        <f t="shared" si="52"/>
        <v>0.38044550295043061</v>
      </c>
      <c r="J215" s="75">
        <v>189750</v>
      </c>
      <c r="K215" s="75">
        <v>2100</v>
      </c>
      <c r="L215" s="6">
        <f>(SUM(K206:K215))/J214</f>
        <v>0.52260342555994732</v>
      </c>
      <c r="M215" s="36" t="str">
        <f t="shared" si="49"/>
        <v>Desempenho Médio</v>
      </c>
      <c r="N215" s="6">
        <f t="shared" si="54"/>
        <v>0.58006775555216661</v>
      </c>
      <c r="O215" s="6">
        <f t="shared" si="54"/>
        <v>1.099948635873619</v>
      </c>
      <c r="P215" s="6">
        <f t="shared" si="54"/>
        <v>6.0186875230714088E-2</v>
      </c>
      <c r="Q215" s="75">
        <v>80</v>
      </c>
      <c r="R215" s="76">
        <v>0</v>
      </c>
      <c r="S215" s="6">
        <f t="shared" si="47"/>
        <v>0</v>
      </c>
      <c r="T215" s="36" t="str">
        <f t="shared" si="50"/>
        <v>Desempenho Deficitário</v>
      </c>
      <c r="U215" s="6">
        <f t="shared" si="53"/>
        <v>0.82347447721763523</v>
      </c>
      <c r="V215" s="6">
        <f t="shared" si="53"/>
        <v>1.2398542522675045</v>
      </c>
      <c r="W215" s="6">
        <f t="shared" si="53"/>
        <v>0.40709470216776611</v>
      </c>
      <c r="X215" s="6">
        <f t="shared" si="53"/>
        <v>0.40709470216776611</v>
      </c>
      <c r="Y215" s="6">
        <f t="shared" si="53"/>
        <v>0.41637977504986912</v>
      </c>
    </row>
    <row r="216" spans="1:25" x14ac:dyDescent="0.25">
      <c r="A216" s="7" t="s">
        <v>132</v>
      </c>
      <c r="B216" s="7" t="s">
        <v>168</v>
      </c>
      <c r="C216" s="74">
        <v>75</v>
      </c>
      <c r="D216" s="74">
        <v>0</v>
      </c>
      <c r="E216" s="71">
        <f t="shared" si="46"/>
        <v>0</v>
      </c>
      <c r="F216" s="65" t="str">
        <f t="shared" si="48"/>
        <v>Desempenho Deficitário</v>
      </c>
      <c r="G216" s="71">
        <f t="shared" si="52"/>
        <v>0.94582556715526966</v>
      </c>
      <c r="H216" s="71">
        <f t="shared" si="52"/>
        <v>1.4311117173682604</v>
      </c>
      <c r="I216" s="71">
        <f t="shared" si="52"/>
        <v>0.46053941694227907</v>
      </c>
      <c r="J216" s="75">
        <v>189750</v>
      </c>
      <c r="K216" s="75">
        <v>0</v>
      </c>
      <c r="L216" s="6">
        <f>(SUM(K206:K216))/J215</f>
        <v>0.52260342555994732</v>
      </c>
      <c r="M216" s="36" t="str">
        <f t="shared" si="49"/>
        <v>Desempenho Médio</v>
      </c>
      <c r="N216" s="6">
        <f t="shared" si="54"/>
        <v>0.72282137340514951</v>
      </c>
      <c r="O216" s="6">
        <f t="shared" si="54"/>
        <v>1.2463651595014014</v>
      </c>
      <c r="P216" s="6">
        <f t="shared" si="54"/>
        <v>0.19927758730889755</v>
      </c>
      <c r="Q216" s="75">
        <v>80</v>
      </c>
      <c r="R216" s="76">
        <v>0</v>
      </c>
      <c r="S216" s="6">
        <f t="shared" si="47"/>
        <v>0</v>
      </c>
      <c r="T216" s="36" t="str">
        <f t="shared" si="50"/>
        <v>Desempenho Deficitário</v>
      </c>
      <c r="U216" s="6">
        <f t="shared" si="53"/>
        <v>0.91825333306001944</v>
      </c>
      <c r="V216" s="6">
        <f t="shared" si="53"/>
        <v>1.402047931898428</v>
      </c>
      <c r="W216" s="6">
        <f t="shared" si="53"/>
        <v>0.43445873422161085</v>
      </c>
      <c r="X216" s="6">
        <f t="shared" si="53"/>
        <v>0.43445873422161085</v>
      </c>
      <c r="Y216" s="6">
        <f t="shared" si="53"/>
        <v>0.48379459883840858</v>
      </c>
    </row>
    <row r="217" spans="1:25" x14ac:dyDescent="0.25">
      <c r="A217" s="7" t="s">
        <v>132</v>
      </c>
      <c r="B217" s="7" t="s">
        <v>169</v>
      </c>
      <c r="C217" s="74">
        <v>75</v>
      </c>
      <c r="D217" s="74">
        <v>0</v>
      </c>
      <c r="E217" s="71">
        <f t="shared" si="46"/>
        <v>0</v>
      </c>
      <c r="F217" s="65" t="str">
        <f t="shared" si="48"/>
        <v>Desempenho Deficitário</v>
      </c>
      <c r="G217" s="71">
        <f t="shared" si="52"/>
        <v>1.0016849877757958</v>
      </c>
      <c r="H217" s="71">
        <f t="shared" si="52"/>
        <v>1.521489991464148</v>
      </c>
      <c r="I217" s="71">
        <f t="shared" si="52"/>
        <v>0.48187998408744359</v>
      </c>
      <c r="J217" s="75">
        <v>189750</v>
      </c>
      <c r="K217" s="75">
        <v>0</v>
      </c>
      <c r="L217" s="6">
        <f>(SUM(K206:K217))/J216</f>
        <v>0.52260342555994732</v>
      </c>
      <c r="M217" s="36" t="str">
        <f t="shared" si="49"/>
        <v>Desempenho Médio</v>
      </c>
      <c r="N217" s="6">
        <f t="shared" si="54"/>
        <v>0.82421983567812696</v>
      </c>
      <c r="O217" s="6">
        <f t="shared" si="54"/>
        <v>1.3730394926064369</v>
      </c>
      <c r="P217" s="6">
        <f t="shared" si="54"/>
        <v>0.27540017874981693</v>
      </c>
      <c r="Q217" s="75">
        <v>80</v>
      </c>
      <c r="R217" s="76">
        <v>0</v>
      </c>
      <c r="S217" s="6">
        <f t="shared" si="47"/>
        <v>0</v>
      </c>
      <c r="T217" s="36" t="str">
        <f t="shared" si="50"/>
        <v>Desempenho Deficitário</v>
      </c>
      <c r="U217" s="6">
        <f t="shared" si="53"/>
        <v>0.91825333306001944</v>
      </c>
      <c r="V217" s="6">
        <f t="shared" si="53"/>
        <v>1.402047931898428</v>
      </c>
      <c r="W217" s="6">
        <f t="shared" si="53"/>
        <v>0.43445873422161085</v>
      </c>
      <c r="X217" s="6">
        <f t="shared" si="53"/>
        <v>0.43445873422161085</v>
      </c>
      <c r="Y217" s="6">
        <f t="shared" si="53"/>
        <v>0.48379459883840858</v>
      </c>
    </row>
    <row r="218" spans="1:25" x14ac:dyDescent="0.25">
      <c r="A218" s="7" t="s">
        <v>74</v>
      </c>
      <c r="B218" s="7" t="s">
        <v>158</v>
      </c>
      <c r="C218" s="74">
        <v>75</v>
      </c>
      <c r="D218" s="74">
        <v>0</v>
      </c>
      <c r="E218" s="71">
        <f t="shared" si="46"/>
        <v>0</v>
      </c>
      <c r="F218" s="65" t="str">
        <f t="shared" si="48"/>
        <v>Desempenho Médio</v>
      </c>
      <c r="G218" s="71">
        <f t="shared" si="52"/>
        <v>0.11573204891712785</v>
      </c>
      <c r="H218" s="71">
        <f t="shared" si="52"/>
        <v>0.30218524997148988</v>
      </c>
      <c r="I218" s="71">
        <f t="shared" si="52"/>
        <v>-7.0721152137234206E-2</v>
      </c>
      <c r="J218" s="75">
        <v>70000</v>
      </c>
      <c r="K218" s="75">
        <v>0</v>
      </c>
      <c r="L218" s="6">
        <f>K218/J218</f>
        <v>0</v>
      </c>
      <c r="M218" s="36" t="str">
        <f t="shared" si="49"/>
        <v>Desempenho Médio</v>
      </c>
      <c r="N218" s="6">
        <f t="shared" si="54"/>
        <v>0.11129468122233216</v>
      </c>
      <c r="O218" s="6">
        <f t="shared" si="54"/>
        <v>0.54990456699293522</v>
      </c>
      <c r="P218" s="6">
        <f t="shared" si="54"/>
        <v>-0.32731520454827095</v>
      </c>
      <c r="Q218" s="75">
        <v>80</v>
      </c>
      <c r="R218" s="76">
        <v>0</v>
      </c>
      <c r="S218" s="6">
        <f t="shared" si="47"/>
        <v>0</v>
      </c>
      <c r="T218" s="36" t="str">
        <f t="shared" si="50"/>
        <v>Desempenho Médio</v>
      </c>
      <c r="U218" s="6">
        <f t="shared" si="53"/>
        <v>6.5053670194766225E-2</v>
      </c>
      <c r="V218" s="6">
        <f t="shared" si="53"/>
        <v>0.16010348962314203</v>
      </c>
      <c r="W218" s="6">
        <f t="shared" si="53"/>
        <v>-2.9996149233609562E-2</v>
      </c>
      <c r="X218" s="6">
        <f t="shared" si="53"/>
        <v>1.7528760480578331E-2</v>
      </c>
      <c r="Y218" s="6">
        <f t="shared" si="53"/>
        <v>9.5049819428375787E-2</v>
      </c>
    </row>
    <row r="219" spans="1:25" x14ac:dyDescent="0.25">
      <c r="A219" s="7" t="s">
        <v>74</v>
      </c>
      <c r="B219" s="7" t="s">
        <v>159</v>
      </c>
      <c r="C219" s="74">
        <v>75</v>
      </c>
      <c r="D219" s="74">
        <v>7</v>
      </c>
      <c r="E219" s="71">
        <f t="shared" si="46"/>
        <v>9.3333333333333338E-2</v>
      </c>
      <c r="F219" s="65" t="str">
        <f t="shared" si="48"/>
        <v>Desempenho Médio</v>
      </c>
      <c r="G219" s="71">
        <f t="shared" si="52"/>
        <v>0.22598075676513599</v>
      </c>
      <c r="H219" s="71">
        <f t="shared" si="52"/>
        <v>0.51894873552035481</v>
      </c>
      <c r="I219" s="71">
        <f t="shared" si="52"/>
        <v>-6.6987221990082807E-2</v>
      </c>
      <c r="J219" s="75">
        <v>70000</v>
      </c>
      <c r="K219" s="75">
        <v>35</v>
      </c>
      <c r="L219" s="6">
        <f>(SUM(K218:K219))/J218</f>
        <v>5.0000000000000001E-4</v>
      </c>
      <c r="M219" s="36" t="str">
        <f t="shared" si="49"/>
        <v>Desempenho Médio</v>
      </c>
      <c r="N219" s="6">
        <f t="shared" si="54"/>
        <v>0.14992070801509372</v>
      </c>
      <c r="O219" s="6">
        <f t="shared" si="54"/>
        <v>0.58968599072326611</v>
      </c>
      <c r="P219" s="6">
        <f t="shared" si="54"/>
        <v>-0.28984457469307867</v>
      </c>
      <c r="Q219" s="75">
        <v>80</v>
      </c>
      <c r="R219" s="76">
        <v>0</v>
      </c>
      <c r="S219" s="6">
        <f t="shared" si="47"/>
        <v>0</v>
      </c>
      <c r="T219" s="36" t="str">
        <f t="shared" si="50"/>
        <v>Desempenho Médio</v>
      </c>
      <c r="U219" s="6">
        <f t="shared" si="53"/>
        <v>6.5053670194766225E-2</v>
      </c>
      <c r="V219" s="6">
        <f t="shared" si="53"/>
        <v>0.16010348962314203</v>
      </c>
      <c r="W219" s="6">
        <f t="shared" si="53"/>
        <v>-2.9996149233609562E-2</v>
      </c>
      <c r="X219" s="6">
        <f t="shared" si="53"/>
        <v>1.7528760480578331E-2</v>
      </c>
      <c r="Y219" s="6">
        <f t="shared" si="53"/>
        <v>9.5049819428375787E-2</v>
      </c>
    </row>
    <row r="220" spans="1:25" x14ac:dyDescent="0.25">
      <c r="A220" s="7" t="s">
        <v>74</v>
      </c>
      <c r="B220" s="7" t="s">
        <v>160</v>
      </c>
      <c r="C220" s="74">
        <v>75</v>
      </c>
      <c r="D220" s="74">
        <v>7</v>
      </c>
      <c r="E220" s="71">
        <f t="shared" si="46"/>
        <v>9.3333333333333338E-2</v>
      </c>
      <c r="F220" s="65" t="str">
        <f t="shared" si="48"/>
        <v>Desempenho Médio</v>
      </c>
      <c r="G220" s="71">
        <f t="shared" si="52"/>
        <v>0.2827891266215985</v>
      </c>
      <c r="H220" s="71">
        <f t="shared" si="52"/>
        <v>0.59134445337262298</v>
      </c>
      <c r="I220" s="71">
        <f t="shared" si="52"/>
        <v>-2.5766200129425987E-2</v>
      </c>
      <c r="J220" s="75">
        <v>70000</v>
      </c>
      <c r="K220" s="75">
        <v>0</v>
      </c>
      <c r="L220" s="6">
        <f>(SUM(K218:K220))/J219</f>
        <v>5.0000000000000001E-4</v>
      </c>
      <c r="M220" s="36" t="str">
        <f t="shared" si="49"/>
        <v>Desempenho Médio</v>
      </c>
      <c r="N220" s="6">
        <f t="shared" si="54"/>
        <v>0.17723994755342617</v>
      </c>
      <c r="O220" s="6">
        <f t="shared" si="54"/>
        <v>0.61473682715667155</v>
      </c>
      <c r="P220" s="6">
        <f t="shared" si="54"/>
        <v>-0.26025693204981915</v>
      </c>
      <c r="Q220" s="75">
        <v>80</v>
      </c>
      <c r="R220" s="76">
        <v>0</v>
      </c>
      <c r="S220" s="6">
        <f t="shared" si="47"/>
        <v>0</v>
      </c>
      <c r="T220" s="36" t="str">
        <f t="shared" si="50"/>
        <v>Desempenho Médio</v>
      </c>
      <c r="U220" s="6">
        <f t="shared" si="53"/>
        <v>0.18401218302179842</v>
      </c>
      <c r="V220" s="6">
        <f t="shared" si="53"/>
        <v>0.37883088095577799</v>
      </c>
      <c r="W220" s="6">
        <f t="shared" si="53"/>
        <v>-1.0806514912181153E-2</v>
      </c>
      <c r="X220" s="6">
        <f t="shared" si="53"/>
        <v>8.6602834054808633E-2</v>
      </c>
      <c r="Y220" s="6">
        <f t="shared" si="53"/>
        <v>0.19481869793397957</v>
      </c>
    </row>
    <row r="221" spans="1:25" x14ac:dyDescent="0.25">
      <c r="A221" s="7" t="s">
        <v>74</v>
      </c>
      <c r="B221" s="7" t="s">
        <v>161</v>
      </c>
      <c r="C221" s="74">
        <v>75</v>
      </c>
      <c r="D221" s="74">
        <v>21</v>
      </c>
      <c r="E221" s="71">
        <f t="shared" si="46"/>
        <v>0.28000000000000003</v>
      </c>
      <c r="F221" s="65" t="str">
        <f t="shared" si="48"/>
        <v>Desempenho Médio</v>
      </c>
      <c r="G221" s="71">
        <f t="shared" si="52"/>
        <v>0.36222496935690102</v>
      </c>
      <c r="H221" s="71">
        <f t="shared" si="52"/>
        <v>0.67917151968337719</v>
      </c>
      <c r="I221" s="71">
        <f t="shared" si="52"/>
        <v>4.5278419030424844E-2</v>
      </c>
      <c r="J221" s="75">
        <v>70000</v>
      </c>
      <c r="K221" s="75">
        <v>35</v>
      </c>
      <c r="L221" s="6">
        <f>(SUM(K218:K221))/J220</f>
        <v>1E-3</v>
      </c>
      <c r="M221" s="36" t="str">
        <f t="shared" si="49"/>
        <v>Desempenho Médio</v>
      </c>
      <c r="N221" s="6">
        <f t="shared" si="54"/>
        <v>0.2271654986777647</v>
      </c>
      <c r="O221" s="6">
        <f t="shared" si="54"/>
        <v>0.71582389712396544</v>
      </c>
      <c r="P221" s="6">
        <f t="shared" si="54"/>
        <v>-0.26149289976843598</v>
      </c>
      <c r="Q221" s="75">
        <v>80</v>
      </c>
      <c r="R221" s="76">
        <v>0</v>
      </c>
      <c r="S221" s="6">
        <f t="shared" si="47"/>
        <v>0</v>
      </c>
      <c r="T221" s="36" t="str">
        <f t="shared" si="50"/>
        <v>Desempenho Médio</v>
      </c>
      <c r="U221" s="6">
        <f t="shared" si="53"/>
        <v>0.18401218302179842</v>
      </c>
      <c r="V221" s="6">
        <f t="shared" si="53"/>
        <v>0.37883088095577799</v>
      </c>
      <c r="W221" s="6">
        <f t="shared" si="53"/>
        <v>-1.0806514912181153E-2</v>
      </c>
      <c r="X221" s="6">
        <f t="shared" si="53"/>
        <v>8.6602834054808633E-2</v>
      </c>
      <c r="Y221" s="6">
        <f t="shared" si="53"/>
        <v>0.19481869793397957</v>
      </c>
    </row>
    <row r="222" spans="1:25" x14ac:dyDescent="0.25">
      <c r="A222" s="7" t="s">
        <v>74</v>
      </c>
      <c r="B222" s="7" t="s">
        <v>162</v>
      </c>
      <c r="C222" s="74">
        <v>75</v>
      </c>
      <c r="D222" s="74">
        <v>36</v>
      </c>
      <c r="E222" s="71">
        <f t="shared" si="46"/>
        <v>0.48</v>
      </c>
      <c r="F222" s="65" t="str">
        <f t="shared" si="48"/>
        <v>Desempenho Bom</v>
      </c>
      <c r="G222" s="71">
        <f t="shared" si="52"/>
        <v>0.44825178806664662</v>
      </c>
      <c r="H222" s="71">
        <f t="shared" si="52"/>
        <v>0.78548221403733831</v>
      </c>
      <c r="I222" s="71">
        <f t="shared" si="52"/>
        <v>0.11102136209595498</v>
      </c>
      <c r="J222" s="75">
        <v>70000</v>
      </c>
      <c r="K222" s="75">
        <v>1260</v>
      </c>
      <c r="L222" s="6">
        <f>(SUM(K218:K222))/J221</f>
        <v>1.9E-2</v>
      </c>
      <c r="M222" s="36" t="str">
        <f t="shared" si="49"/>
        <v>Desempenho Médio</v>
      </c>
      <c r="N222" s="6">
        <f t="shared" si="54"/>
        <v>0.27284258705105507</v>
      </c>
      <c r="O222" s="6">
        <f t="shared" si="54"/>
        <v>0.75981161093062477</v>
      </c>
      <c r="P222" s="6">
        <f t="shared" si="54"/>
        <v>-0.21412643682851468</v>
      </c>
      <c r="Q222" s="75">
        <v>80</v>
      </c>
      <c r="R222" s="76">
        <v>0</v>
      </c>
      <c r="S222" s="6">
        <f t="shared" si="47"/>
        <v>0</v>
      </c>
      <c r="T222" s="36" t="str">
        <f t="shared" si="50"/>
        <v>Desempenho Médio</v>
      </c>
      <c r="U222" s="6">
        <f t="shared" si="53"/>
        <v>0.23278475191631845</v>
      </c>
      <c r="V222" s="6">
        <f t="shared" si="53"/>
        <v>0.51017789992422413</v>
      </c>
      <c r="W222" s="6">
        <f t="shared" si="53"/>
        <v>-4.460839609158726E-2</v>
      </c>
      <c r="X222" s="6">
        <f t="shared" si="53"/>
        <v>9.4088177912365595E-2</v>
      </c>
      <c r="Y222" s="6">
        <f t="shared" si="53"/>
        <v>0.27739314800790571</v>
      </c>
    </row>
    <row r="223" spans="1:25" x14ac:dyDescent="0.25">
      <c r="A223" s="7" t="s">
        <v>74</v>
      </c>
      <c r="B223" s="7" t="s">
        <v>163</v>
      </c>
      <c r="C223" s="74">
        <v>75</v>
      </c>
      <c r="D223" s="74">
        <v>36</v>
      </c>
      <c r="E223" s="71">
        <f t="shared" si="46"/>
        <v>0.48</v>
      </c>
      <c r="F223" s="65" t="str">
        <f t="shared" si="48"/>
        <v>Desempenho Médio</v>
      </c>
      <c r="G223" s="71">
        <f t="shared" si="52"/>
        <v>0.54231176602906361</v>
      </c>
      <c r="H223" s="71">
        <f t="shared" si="52"/>
        <v>0.92735502699565786</v>
      </c>
      <c r="I223" s="71">
        <f t="shared" si="52"/>
        <v>0.15726850506246942</v>
      </c>
      <c r="J223" s="75">
        <v>70000</v>
      </c>
      <c r="K223" s="75">
        <v>0</v>
      </c>
      <c r="L223" s="6">
        <f>(SUM(K218:K223))/J222</f>
        <v>1.9E-2</v>
      </c>
      <c r="M223" s="36" t="str">
        <f t="shared" si="49"/>
        <v>Desempenho Médio</v>
      </c>
      <c r="N223" s="6">
        <f t="shared" si="54"/>
        <v>0.31451673641638933</v>
      </c>
      <c r="O223" s="6">
        <f t="shared" si="54"/>
        <v>0.80702132782766356</v>
      </c>
      <c r="P223" s="6">
        <f t="shared" si="54"/>
        <v>-0.1779878549948849</v>
      </c>
      <c r="Q223" s="75">
        <v>80</v>
      </c>
      <c r="R223" s="76">
        <v>14</v>
      </c>
      <c r="S223" s="6">
        <f t="shared" si="47"/>
        <v>0.17499999999999999</v>
      </c>
      <c r="T223" s="36" t="str">
        <f t="shared" si="50"/>
        <v>Desempenho Médio</v>
      </c>
      <c r="U223" s="6">
        <f t="shared" ref="U223:Y238" si="55">U211</f>
        <v>0.46105014853915682</v>
      </c>
      <c r="V223" s="6">
        <f t="shared" si="55"/>
        <v>0.84756736419379908</v>
      </c>
      <c r="W223" s="6">
        <f t="shared" si="55"/>
        <v>7.4532932884514569E-2</v>
      </c>
      <c r="X223" s="6">
        <f t="shared" si="55"/>
        <v>7.4532932884514569E-2</v>
      </c>
      <c r="Y223" s="6">
        <f t="shared" si="55"/>
        <v>0.38651721565464225</v>
      </c>
    </row>
    <row r="224" spans="1:25" x14ac:dyDescent="0.25">
      <c r="A224" s="7" t="s">
        <v>74</v>
      </c>
      <c r="B224" s="7" t="s">
        <v>164</v>
      </c>
      <c r="C224" s="74">
        <v>75</v>
      </c>
      <c r="D224" s="74">
        <v>36</v>
      </c>
      <c r="E224" s="71">
        <f t="shared" si="46"/>
        <v>0.48</v>
      </c>
      <c r="F224" s="65" t="str">
        <f t="shared" si="48"/>
        <v>Desempenho Médio</v>
      </c>
      <c r="G224" s="71">
        <f t="shared" si="52"/>
        <v>0.63634637719050002</v>
      </c>
      <c r="H224" s="71">
        <f t="shared" si="52"/>
        <v>1.0512878703900039</v>
      </c>
      <c r="I224" s="71">
        <f t="shared" si="52"/>
        <v>0.22140488399099606</v>
      </c>
      <c r="J224" s="75">
        <v>70000</v>
      </c>
      <c r="K224" s="75">
        <v>0</v>
      </c>
      <c r="L224" s="6">
        <f>(SUM(K218:K224))/J223</f>
        <v>1.9E-2</v>
      </c>
      <c r="M224" s="36" t="str">
        <f t="shared" si="49"/>
        <v>Desempenho Médio</v>
      </c>
      <c r="N224" s="6">
        <f t="shared" si="54"/>
        <v>0.38334713342809434</v>
      </c>
      <c r="O224" s="6">
        <f t="shared" si="54"/>
        <v>0.88375935483946089</v>
      </c>
      <c r="P224" s="6">
        <f t="shared" si="54"/>
        <v>-0.1170650879832722</v>
      </c>
      <c r="Q224" s="75">
        <v>80</v>
      </c>
      <c r="R224" s="76">
        <v>14</v>
      </c>
      <c r="S224" s="6">
        <f t="shared" si="47"/>
        <v>0.17499999999999999</v>
      </c>
      <c r="T224" s="36" t="str">
        <f t="shared" si="50"/>
        <v>Desempenho Médio</v>
      </c>
      <c r="U224" s="6">
        <f t="shared" si="55"/>
        <v>0.46105014853915682</v>
      </c>
      <c r="V224" s="6">
        <f t="shared" si="55"/>
        <v>0.84756736419379908</v>
      </c>
      <c r="W224" s="6">
        <f t="shared" si="55"/>
        <v>7.4532932884514569E-2</v>
      </c>
      <c r="X224" s="6">
        <f t="shared" si="55"/>
        <v>7.4532932884514569E-2</v>
      </c>
      <c r="Y224" s="6">
        <f t="shared" si="55"/>
        <v>0.38651721565464225</v>
      </c>
    </row>
    <row r="225" spans="1:25" x14ac:dyDescent="0.25">
      <c r="A225" s="7" t="s">
        <v>74</v>
      </c>
      <c r="B225" s="7" t="s">
        <v>165</v>
      </c>
      <c r="C225" s="74">
        <v>75</v>
      </c>
      <c r="D225" s="74">
        <v>36</v>
      </c>
      <c r="E225" s="71">
        <f t="shared" si="46"/>
        <v>0.48</v>
      </c>
      <c r="F225" s="65" t="str">
        <f t="shared" si="48"/>
        <v>Desempenho Médio</v>
      </c>
      <c r="G225" s="71">
        <f t="shared" si="52"/>
        <v>0.70660866675940681</v>
      </c>
      <c r="H225" s="71">
        <f t="shared" si="52"/>
        <v>1.1341225514190425</v>
      </c>
      <c r="I225" s="71">
        <f t="shared" si="52"/>
        <v>0.27909478209977112</v>
      </c>
      <c r="J225" s="75">
        <v>70000</v>
      </c>
      <c r="K225" s="75">
        <v>0</v>
      </c>
      <c r="L225" s="6">
        <f>(SUM(K218:K225))/J224</f>
        <v>1.9E-2</v>
      </c>
      <c r="M225" s="36" t="str">
        <f t="shared" si="49"/>
        <v>Desempenho Médio</v>
      </c>
      <c r="N225" s="6">
        <f t="shared" si="54"/>
        <v>0.45719521320533213</v>
      </c>
      <c r="O225" s="6">
        <f t="shared" si="54"/>
        <v>0.97356755068321044</v>
      </c>
      <c r="P225" s="6">
        <f t="shared" si="54"/>
        <v>-5.9177124272546122E-2</v>
      </c>
      <c r="Q225" s="75">
        <v>80</v>
      </c>
      <c r="R225" s="76">
        <v>14</v>
      </c>
      <c r="S225" s="6">
        <f t="shared" si="47"/>
        <v>0.17499999999999999</v>
      </c>
      <c r="T225" s="36" t="str">
        <f t="shared" si="50"/>
        <v>Desempenho Médio</v>
      </c>
      <c r="U225" s="6">
        <f t="shared" si="55"/>
        <v>0.46105014853915682</v>
      </c>
      <c r="V225" s="6">
        <f t="shared" si="55"/>
        <v>0.84756736419379908</v>
      </c>
      <c r="W225" s="6">
        <f t="shared" si="55"/>
        <v>7.4532932884514569E-2</v>
      </c>
      <c r="X225" s="6">
        <f t="shared" si="55"/>
        <v>7.4532932884514569E-2</v>
      </c>
      <c r="Y225" s="6">
        <f t="shared" si="55"/>
        <v>0.38651721565464225</v>
      </c>
    </row>
    <row r="226" spans="1:25" x14ac:dyDescent="0.25">
      <c r="A226" s="7" t="s">
        <v>74</v>
      </c>
      <c r="B226" s="7" t="s">
        <v>166</v>
      </c>
      <c r="C226" s="74">
        <v>75</v>
      </c>
      <c r="D226" s="74">
        <v>36</v>
      </c>
      <c r="E226" s="71">
        <f t="shared" si="46"/>
        <v>0.48</v>
      </c>
      <c r="F226" s="65" t="str">
        <f t="shared" si="48"/>
        <v>Desempenho Médio</v>
      </c>
      <c r="G226" s="71">
        <f t="shared" si="52"/>
        <v>0.73663014244586189</v>
      </c>
      <c r="H226" s="71">
        <f t="shared" si="52"/>
        <v>1.1737360935948695</v>
      </c>
      <c r="I226" s="71">
        <f t="shared" si="52"/>
        <v>0.29952419129685426</v>
      </c>
      <c r="J226" s="75">
        <v>70000</v>
      </c>
      <c r="K226" s="75">
        <v>900</v>
      </c>
      <c r="L226" s="6">
        <f>(SUM(K218:K226))/J225</f>
        <v>3.1857142857142855E-2</v>
      </c>
      <c r="M226" s="36" t="str">
        <f t="shared" si="49"/>
        <v>Desempenho Médio</v>
      </c>
      <c r="N226" s="6">
        <f t="shared" si="54"/>
        <v>0.50336729135060976</v>
      </c>
      <c r="O226" s="6">
        <f t="shared" si="54"/>
        <v>1.0150591886201059</v>
      </c>
      <c r="P226" s="6">
        <f t="shared" si="54"/>
        <v>-8.3246059188863963E-3</v>
      </c>
      <c r="Q226" s="75">
        <v>80</v>
      </c>
      <c r="R226" s="76">
        <v>79</v>
      </c>
      <c r="S226" s="6">
        <f t="shared" si="47"/>
        <v>0.98750000000000004</v>
      </c>
      <c r="T226" s="36" t="str">
        <f t="shared" si="50"/>
        <v>Desempenho Bom</v>
      </c>
      <c r="U226" s="6">
        <f t="shared" si="55"/>
        <v>0.74232771533595698</v>
      </c>
      <c r="V226" s="6">
        <f t="shared" si="55"/>
        <v>1.1540802341555996</v>
      </c>
      <c r="W226" s="6">
        <f t="shared" si="55"/>
        <v>0.33057519651631434</v>
      </c>
      <c r="X226" s="6">
        <f t="shared" si="55"/>
        <v>0.33057519651631434</v>
      </c>
      <c r="Y226" s="6">
        <f t="shared" si="55"/>
        <v>0.41175251881964264</v>
      </c>
    </row>
    <row r="227" spans="1:25" x14ac:dyDescent="0.25">
      <c r="A227" s="7" t="s">
        <v>74</v>
      </c>
      <c r="B227" s="7" t="s">
        <v>167</v>
      </c>
      <c r="C227" s="74">
        <v>75</v>
      </c>
      <c r="D227" s="74">
        <v>36</v>
      </c>
      <c r="E227" s="71">
        <f t="shared" si="46"/>
        <v>0.48</v>
      </c>
      <c r="F227" s="65" t="str">
        <f t="shared" si="48"/>
        <v>Desempenho Médio</v>
      </c>
      <c r="G227" s="71">
        <f t="shared" si="52"/>
        <v>0.82061442726694189</v>
      </c>
      <c r="H227" s="71">
        <f t="shared" si="52"/>
        <v>1.2607833515834532</v>
      </c>
      <c r="I227" s="71">
        <f t="shared" si="52"/>
        <v>0.38044550295043061</v>
      </c>
      <c r="J227" s="75">
        <v>70000</v>
      </c>
      <c r="K227" s="75">
        <v>0</v>
      </c>
      <c r="L227" s="6">
        <f>(SUM(K218:K227))/J226</f>
        <v>3.1857142857142855E-2</v>
      </c>
      <c r="M227" s="36" t="str">
        <f t="shared" si="49"/>
        <v>Desempenho Deficitário</v>
      </c>
      <c r="N227" s="6">
        <f t="shared" si="54"/>
        <v>0.58006775555216661</v>
      </c>
      <c r="O227" s="6">
        <f t="shared" si="54"/>
        <v>1.099948635873619</v>
      </c>
      <c r="P227" s="6">
        <f t="shared" si="54"/>
        <v>6.0186875230714088E-2</v>
      </c>
      <c r="Q227" s="75">
        <v>80</v>
      </c>
      <c r="R227" s="76">
        <v>86</v>
      </c>
      <c r="S227" s="6">
        <f t="shared" si="47"/>
        <v>1.075</v>
      </c>
      <c r="T227" s="36" t="str">
        <f t="shared" si="50"/>
        <v>Desempenho Bom</v>
      </c>
      <c r="U227" s="6">
        <f t="shared" si="55"/>
        <v>0.82347447721763523</v>
      </c>
      <c r="V227" s="6">
        <f t="shared" si="55"/>
        <v>1.2398542522675045</v>
      </c>
      <c r="W227" s="6">
        <f t="shared" si="55"/>
        <v>0.40709470216776611</v>
      </c>
      <c r="X227" s="6">
        <f t="shared" si="55"/>
        <v>0.40709470216776611</v>
      </c>
      <c r="Y227" s="6">
        <f t="shared" si="55"/>
        <v>0.41637977504986912</v>
      </c>
    </row>
    <row r="228" spans="1:25" x14ac:dyDescent="0.25">
      <c r="A228" s="7" t="s">
        <v>74</v>
      </c>
      <c r="B228" s="7" t="s">
        <v>168</v>
      </c>
      <c r="C228" s="74">
        <v>75</v>
      </c>
      <c r="D228" s="74">
        <v>36</v>
      </c>
      <c r="E228" s="71">
        <f t="shared" si="46"/>
        <v>0.48</v>
      </c>
      <c r="F228" s="65" t="str">
        <f t="shared" si="48"/>
        <v>Desempenho Médio</v>
      </c>
      <c r="G228" s="71">
        <f t="shared" si="52"/>
        <v>0.94582556715526966</v>
      </c>
      <c r="H228" s="71">
        <f t="shared" si="52"/>
        <v>1.4311117173682604</v>
      </c>
      <c r="I228" s="71">
        <f t="shared" si="52"/>
        <v>0.46053941694227907</v>
      </c>
      <c r="J228" s="75">
        <v>70000</v>
      </c>
      <c r="K228" s="75">
        <v>0</v>
      </c>
      <c r="L228" s="6">
        <f>(SUM(K218:K228))/J227</f>
        <v>3.1857142857142855E-2</v>
      </c>
      <c r="M228" s="36" t="str">
        <f t="shared" si="49"/>
        <v>Desempenho Deficitário</v>
      </c>
      <c r="N228" s="6">
        <f t="shared" si="54"/>
        <v>0.72282137340514951</v>
      </c>
      <c r="O228" s="6">
        <f t="shared" si="54"/>
        <v>1.2463651595014014</v>
      </c>
      <c r="P228" s="6">
        <f t="shared" si="54"/>
        <v>0.19927758730889755</v>
      </c>
      <c r="Q228" s="75">
        <v>80</v>
      </c>
      <c r="R228" s="76">
        <v>86</v>
      </c>
      <c r="S228" s="6">
        <f t="shared" si="47"/>
        <v>1.075</v>
      </c>
      <c r="T228" s="36" t="str">
        <f t="shared" si="50"/>
        <v>Desempenho Bom</v>
      </c>
      <c r="U228" s="6">
        <f t="shared" si="55"/>
        <v>0.91825333306001944</v>
      </c>
      <c r="V228" s="6">
        <f t="shared" si="55"/>
        <v>1.402047931898428</v>
      </c>
      <c r="W228" s="6">
        <f t="shared" si="55"/>
        <v>0.43445873422161085</v>
      </c>
      <c r="X228" s="6">
        <f t="shared" si="55"/>
        <v>0.43445873422161085</v>
      </c>
      <c r="Y228" s="6">
        <f t="shared" si="55"/>
        <v>0.48379459883840858</v>
      </c>
    </row>
    <row r="229" spans="1:25" x14ac:dyDescent="0.25">
      <c r="A229" s="7" t="s">
        <v>74</v>
      </c>
      <c r="B229" s="7" t="s">
        <v>169</v>
      </c>
      <c r="C229" s="74">
        <v>75</v>
      </c>
      <c r="D229" s="74">
        <v>36</v>
      </c>
      <c r="E229" s="71">
        <f t="shared" si="46"/>
        <v>0.48</v>
      </c>
      <c r="F229" s="65" t="str">
        <f t="shared" si="48"/>
        <v>Desempenho Deficitário</v>
      </c>
      <c r="G229" s="71">
        <f t="shared" si="52"/>
        <v>1.0016849877757958</v>
      </c>
      <c r="H229" s="71">
        <f t="shared" si="52"/>
        <v>1.521489991464148</v>
      </c>
      <c r="I229" s="71">
        <f t="shared" si="52"/>
        <v>0.48187998408744359</v>
      </c>
      <c r="J229" s="75">
        <v>70000</v>
      </c>
      <c r="K229" s="75">
        <v>0</v>
      </c>
      <c r="L229" s="6">
        <f>(SUM(K218:K229))/J228</f>
        <v>3.1857142857142855E-2</v>
      </c>
      <c r="M229" s="36" t="str">
        <f t="shared" si="49"/>
        <v>Desempenho Deficitário</v>
      </c>
      <c r="N229" s="6">
        <f t="shared" si="54"/>
        <v>0.82421983567812696</v>
      </c>
      <c r="O229" s="6">
        <f t="shared" si="54"/>
        <v>1.3730394926064369</v>
      </c>
      <c r="P229" s="6">
        <f t="shared" si="54"/>
        <v>0.27540017874981693</v>
      </c>
      <c r="Q229" s="75">
        <v>80</v>
      </c>
      <c r="R229" s="76">
        <v>86</v>
      </c>
      <c r="S229" s="6">
        <f t="shared" si="47"/>
        <v>1.075</v>
      </c>
      <c r="T229" s="36" t="str">
        <f t="shared" si="50"/>
        <v>Desempenho Bom</v>
      </c>
      <c r="U229" s="6">
        <f t="shared" si="55"/>
        <v>0.91825333306001944</v>
      </c>
      <c r="V229" s="6">
        <f t="shared" si="55"/>
        <v>1.402047931898428</v>
      </c>
      <c r="W229" s="6">
        <f t="shared" si="55"/>
        <v>0.43445873422161085</v>
      </c>
      <c r="X229" s="6">
        <f t="shared" si="55"/>
        <v>0.43445873422161085</v>
      </c>
      <c r="Y229" s="6">
        <f t="shared" si="55"/>
        <v>0.48379459883840858</v>
      </c>
    </row>
    <row r="230" spans="1:25" x14ac:dyDescent="0.25">
      <c r="A230" s="7" t="s">
        <v>57</v>
      </c>
      <c r="B230" s="7" t="s">
        <v>158</v>
      </c>
      <c r="C230" s="74">
        <v>66</v>
      </c>
      <c r="D230" s="74">
        <v>0</v>
      </c>
      <c r="E230" s="71">
        <f t="shared" si="46"/>
        <v>0</v>
      </c>
      <c r="F230" s="65" t="str">
        <f t="shared" si="48"/>
        <v>Desempenho Médio</v>
      </c>
      <c r="G230" s="71">
        <f t="shared" si="52"/>
        <v>0.11573204891712785</v>
      </c>
      <c r="H230" s="71">
        <f t="shared" si="52"/>
        <v>0.30218524997148988</v>
      </c>
      <c r="I230" s="71">
        <f t="shared" si="52"/>
        <v>-7.0721152137234206E-2</v>
      </c>
      <c r="J230" s="75">
        <v>29008.75</v>
      </c>
      <c r="K230" s="75">
        <v>0</v>
      </c>
      <c r="L230" s="6">
        <f>K230/J230</f>
        <v>0</v>
      </c>
      <c r="M230" s="36" t="str">
        <f t="shared" si="49"/>
        <v>Desempenho Médio</v>
      </c>
      <c r="N230" s="6">
        <f t="shared" ref="N230:P245" si="56">N218</f>
        <v>0.11129468122233216</v>
      </c>
      <c r="O230" s="6">
        <f t="shared" si="56"/>
        <v>0.54990456699293522</v>
      </c>
      <c r="P230" s="6">
        <f t="shared" si="56"/>
        <v>-0.32731520454827095</v>
      </c>
      <c r="Q230" s="75">
        <v>70</v>
      </c>
      <c r="R230" s="76">
        <v>0</v>
      </c>
      <c r="S230" s="6">
        <f t="shared" si="47"/>
        <v>0</v>
      </c>
      <c r="T230" s="36" t="str">
        <f t="shared" si="50"/>
        <v>Desempenho Médio</v>
      </c>
      <c r="U230" s="6">
        <f t="shared" si="55"/>
        <v>6.5053670194766225E-2</v>
      </c>
      <c r="V230" s="6">
        <f t="shared" si="55"/>
        <v>0.16010348962314203</v>
      </c>
      <c r="W230" s="6">
        <f t="shared" si="55"/>
        <v>-2.9996149233609562E-2</v>
      </c>
      <c r="X230" s="6">
        <f t="shared" si="55"/>
        <v>1.7528760480578331E-2</v>
      </c>
      <c r="Y230" s="6">
        <f t="shared" si="55"/>
        <v>9.5049819428375787E-2</v>
      </c>
    </row>
    <row r="231" spans="1:25" x14ac:dyDescent="0.25">
      <c r="A231" s="7" t="s">
        <v>57</v>
      </c>
      <c r="B231" s="7" t="s">
        <v>159</v>
      </c>
      <c r="C231" s="74">
        <v>66</v>
      </c>
      <c r="D231" s="74">
        <v>14</v>
      </c>
      <c r="E231" s="71">
        <f t="shared" si="46"/>
        <v>0.21212121212121213</v>
      </c>
      <c r="F231" s="65" t="str">
        <f t="shared" si="48"/>
        <v>Desempenho Médio</v>
      </c>
      <c r="G231" s="71">
        <f t="shared" si="52"/>
        <v>0.22598075676513599</v>
      </c>
      <c r="H231" s="71">
        <f t="shared" si="52"/>
        <v>0.51894873552035481</v>
      </c>
      <c r="I231" s="71">
        <f t="shared" si="52"/>
        <v>-6.6987221990082807E-2</v>
      </c>
      <c r="J231" s="75">
        <v>29008.75</v>
      </c>
      <c r="K231" s="75">
        <v>500</v>
      </c>
      <c r="L231" s="6">
        <f>(SUM(K230:K231))/J230</f>
        <v>1.7236178739173526E-2</v>
      </c>
      <c r="M231" s="36" t="str">
        <f t="shared" si="49"/>
        <v>Desempenho Médio</v>
      </c>
      <c r="N231" s="6">
        <f t="shared" si="56"/>
        <v>0.14992070801509372</v>
      </c>
      <c r="O231" s="6">
        <f t="shared" si="56"/>
        <v>0.58968599072326611</v>
      </c>
      <c r="P231" s="6">
        <f t="shared" si="56"/>
        <v>-0.28984457469307867</v>
      </c>
      <c r="Q231" s="75">
        <v>70</v>
      </c>
      <c r="R231" s="76">
        <v>0</v>
      </c>
      <c r="S231" s="6">
        <f t="shared" si="47"/>
        <v>0</v>
      </c>
      <c r="T231" s="36" t="str">
        <f t="shared" si="50"/>
        <v>Desempenho Médio</v>
      </c>
      <c r="U231" s="6">
        <f t="shared" si="55"/>
        <v>6.5053670194766225E-2</v>
      </c>
      <c r="V231" s="6">
        <f t="shared" si="55"/>
        <v>0.16010348962314203</v>
      </c>
      <c r="W231" s="6">
        <f t="shared" si="55"/>
        <v>-2.9996149233609562E-2</v>
      </c>
      <c r="X231" s="6">
        <f t="shared" si="55"/>
        <v>1.7528760480578331E-2</v>
      </c>
      <c r="Y231" s="6">
        <f t="shared" si="55"/>
        <v>9.5049819428375787E-2</v>
      </c>
    </row>
    <row r="232" spans="1:25" x14ac:dyDescent="0.25">
      <c r="A232" s="7" t="s">
        <v>57</v>
      </c>
      <c r="B232" s="7" t="s">
        <v>160</v>
      </c>
      <c r="C232" s="74">
        <v>66</v>
      </c>
      <c r="D232" s="74">
        <v>14</v>
      </c>
      <c r="E232" s="71">
        <f t="shared" si="46"/>
        <v>0.21212121212121213</v>
      </c>
      <c r="F232" s="65" t="str">
        <f t="shared" si="48"/>
        <v>Desempenho Médio</v>
      </c>
      <c r="G232" s="71">
        <f t="shared" si="52"/>
        <v>0.2827891266215985</v>
      </c>
      <c r="H232" s="71">
        <f t="shared" si="52"/>
        <v>0.59134445337262298</v>
      </c>
      <c r="I232" s="71">
        <f t="shared" si="52"/>
        <v>-2.5766200129425987E-2</v>
      </c>
      <c r="J232" s="75">
        <v>29008.75</v>
      </c>
      <c r="K232" s="75">
        <v>0</v>
      </c>
      <c r="L232" s="6">
        <f>(SUM(K230:K232))/J231</f>
        <v>1.7236178739173526E-2</v>
      </c>
      <c r="M232" s="36" t="str">
        <f t="shared" si="49"/>
        <v>Desempenho Médio</v>
      </c>
      <c r="N232" s="6">
        <f t="shared" si="56"/>
        <v>0.17723994755342617</v>
      </c>
      <c r="O232" s="6">
        <f t="shared" si="56"/>
        <v>0.61473682715667155</v>
      </c>
      <c r="P232" s="6">
        <f t="shared" si="56"/>
        <v>-0.26025693204981915</v>
      </c>
      <c r="Q232" s="75">
        <v>70</v>
      </c>
      <c r="R232" s="76">
        <v>0</v>
      </c>
      <c r="S232" s="6">
        <f t="shared" si="47"/>
        <v>0</v>
      </c>
      <c r="T232" s="36" t="str">
        <f t="shared" si="50"/>
        <v>Desempenho Médio</v>
      </c>
      <c r="U232" s="6">
        <f t="shared" si="55"/>
        <v>0.18401218302179842</v>
      </c>
      <c r="V232" s="6">
        <f t="shared" si="55"/>
        <v>0.37883088095577799</v>
      </c>
      <c r="W232" s="6">
        <f t="shared" si="55"/>
        <v>-1.0806514912181153E-2</v>
      </c>
      <c r="X232" s="6">
        <f t="shared" si="55"/>
        <v>8.6602834054808633E-2</v>
      </c>
      <c r="Y232" s="6">
        <f t="shared" si="55"/>
        <v>0.19481869793397957</v>
      </c>
    </row>
    <row r="233" spans="1:25" x14ac:dyDescent="0.25">
      <c r="A233" s="7" t="s">
        <v>57</v>
      </c>
      <c r="B233" s="7" t="s">
        <v>161</v>
      </c>
      <c r="C233" s="74">
        <v>66</v>
      </c>
      <c r="D233" s="74">
        <v>27</v>
      </c>
      <c r="E233" s="71">
        <f t="shared" si="46"/>
        <v>0.40909090909090912</v>
      </c>
      <c r="F233" s="65" t="str">
        <f t="shared" si="48"/>
        <v>Desempenho Bom</v>
      </c>
      <c r="G233" s="71">
        <f t="shared" si="52"/>
        <v>0.36222496935690102</v>
      </c>
      <c r="H233" s="71">
        <f t="shared" si="52"/>
        <v>0.67917151968337719</v>
      </c>
      <c r="I233" s="71">
        <f t="shared" si="52"/>
        <v>4.5278419030424844E-2</v>
      </c>
      <c r="J233" s="75">
        <v>29008.75</v>
      </c>
      <c r="K233" s="75">
        <v>1580</v>
      </c>
      <c r="L233" s="6">
        <f>(SUM(K230:K233))/J232</f>
        <v>7.1702503554961869E-2</v>
      </c>
      <c r="M233" s="36" t="str">
        <f t="shared" si="49"/>
        <v>Desempenho Médio</v>
      </c>
      <c r="N233" s="6">
        <f t="shared" si="56"/>
        <v>0.2271654986777647</v>
      </c>
      <c r="O233" s="6">
        <f t="shared" si="56"/>
        <v>0.71582389712396544</v>
      </c>
      <c r="P233" s="6">
        <f t="shared" si="56"/>
        <v>-0.26149289976843598</v>
      </c>
      <c r="Q233" s="75">
        <v>70</v>
      </c>
      <c r="R233" s="76">
        <v>0</v>
      </c>
      <c r="S233" s="6">
        <f t="shared" si="47"/>
        <v>0</v>
      </c>
      <c r="T233" s="36" t="str">
        <f t="shared" si="50"/>
        <v>Desempenho Médio</v>
      </c>
      <c r="U233" s="6">
        <f t="shared" si="55"/>
        <v>0.18401218302179842</v>
      </c>
      <c r="V233" s="6">
        <f t="shared" si="55"/>
        <v>0.37883088095577799</v>
      </c>
      <c r="W233" s="6">
        <f t="shared" si="55"/>
        <v>-1.0806514912181153E-2</v>
      </c>
      <c r="X233" s="6">
        <f t="shared" si="55"/>
        <v>8.6602834054808633E-2</v>
      </c>
      <c r="Y233" s="6">
        <f t="shared" si="55"/>
        <v>0.19481869793397957</v>
      </c>
    </row>
    <row r="234" spans="1:25" x14ac:dyDescent="0.25">
      <c r="A234" s="7" t="s">
        <v>57</v>
      </c>
      <c r="B234" s="7" t="s">
        <v>162</v>
      </c>
      <c r="C234" s="74">
        <v>66</v>
      </c>
      <c r="D234" s="74">
        <v>55</v>
      </c>
      <c r="E234" s="71">
        <f t="shared" si="46"/>
        <v>0.83333333333333337</v>
      </c>
      <c r="F234" s="65" t="str">
        <f t="shared" si="48"/>
        <v>Desempenho Ótimo</v>
      </c>
      <c r="G234" s="71">
        <f t="shared" si="52"/>
        <v>0.44825178806664662</v>
      </c>
      <c r="H234" s="71">
        <f t="shared" si="52"/>
        <v>0.78548221403733831</v>
      </c>
      <c r="I234" s="71">
        <f t="shared" si="52"/>
        <v>0.11102136209595498</v>
      </c>
      <c r="J234" s="75">
        <v>29008.75</v>
      </c>
      <c r="K234" s="75">
        <v>9240</v>
      </c>
      <c r="L234" s="6">
        <f>(SUM(K230:K234))/J233</f>
        <v>0.39022708665488859</v>
      </c>
      <c r="M234" s="36" t="str">
        <f t="shared" si="49"/>
        <v>Desempenho Bom</v>
      </c>
      <c r="N234" s="6">
        <f t="shared" si="56"/>
        <v>0.27284258705105507</v>
      </c>
      <c r="O234" s="6">
        <f t="shared" si="56"/>
        <v>0.75981161093062477</v>
      </c>
      <c r="P234" s="6">
        <f t="shared" si="56"/>
        <v>-0.21412643682851468</v>
      </c>
      <c r="Q234" s="75">
        <v>70</v>
      </c>
      <c r="R234" s="76">
        <v>0</v>
      </c>
      <c r="S234" s="6">
        <f t="shared" si="47"/>
        <v>0</v>
      </c>
      <c r="T234" s="36" t="str">
        <f t="shared" si="50"/>
        <v>Desempenho Médio</v>
      </c>
      <c r="U234" s="6">
        <f t="shared" si="55"/>
        <v>0.23278475191631845</v>
      </c>
      <c r="V234" s="6">
        <f t="shared" si="55"/>
        <v>0.51017789992422413</v>
      </c>
      <c r="W234" s="6">
        <f t="shared" si="55"/>
        <v>-4.460839609158726E-2</v>
      </c>
      <c r="X234" s="6">
        <f t="shared" si="55"/>
        <v>9.4088177912365595E-2</v>
      </c>
      <c r="Y234" s="6">
        <f t="shared" si="55"/>
        <v>0.27739314800790571</v>
      </c>
    </row>
    <row r="235" spans="1:25" x14ac:dyDescent="0.25">
      <c r="A235" s="7" t="s">
        <v>57</v>
      </c>
      <c r="B235" s="7" t="s">
        <v>163</v>
      </c>
      <c r="C235" s="74">
        <v>66</v>
      </c>
      <c r="D235" s="74">
        <v>55</v>
      </c>
      <c r="E235" s="71">
        <f t="shared" si="46"/>
        <v>0.83333333333333337</v>
      </c>
      <c r="F235" s="65" t="str">
        <f t="shared" si="48"/>
        <v>Desempenho Bom</v>
      </c>
      <c r="G235" s="71">
        <f t="shared" si="52"/>
        <v>0.54231176602906361</v>
      </c>
      <c r="H235" s="71">
        <f t="shared" si="52"/>
        <v>0.92735502699565786</v>
      </c>
      <c r="I235" s="71">
        <f t="shared" si="52"/>
        <v>0.15726850506246942</v>
      </c>
      <c r="J235" s="75">
        <v>29008.75</v>
      </c>
      <c r="K235" s="75">
        <v>0</v>
      </c>
      <c r="L235" s="6">
        <f>(SUM(K230:K235))/J234</f>
        <v>0.39022708665488859</v>
      </c>
      <c r="M235" s="36" t="str">
        <f t="shared" si="49"/>
        <v>Desempenho Bom</v>
      </c>
      <c r="N235" s="6">
        <f t="shared" si="56"/>
        <v>0.31451673641638933</v>
      </c>
      <c r="O235" s="6">
        <f t="shared" si="56"/>
        <v>0.80702132782766356</v>
      </c>
      <c r="P235" s="6">
        <f t="shared" si="56"/>
        <v>-0.1779878549948849</v>
      </c>
      <c r="Q235" s="75">
        <v>70</v>
      </c>
      <c r="R235" s="76">
        <v>0</v>
      </c>
      <c r="S235" s="6">
        <f t="shared" si="47"/>
        <v>0</v>
      </c>
      <c r="T235" s="36" t="str">
        <f t="shared" si="50"/>
        <v>Desempenho Deficitário</v>
      </c>
      <c r="U235" s="6">
        <f t="shared" si="55"/>
        <v>0.46105014853915682</v>
      </c>
      <c r="V235" s="6">
        <f t="shared" si="55"/>
        <v>0.84756736419379908</v>
      </c>
      <c r="W235" s="6">
        <f t="shared" si="55"/>
        <v>7.4532932884514569E-2</v>
      </c>
      <c r="X235" s="6">
        <f t="shared" si="55"/>
        <v>7.4532932884514569E-2</v>
      </c>
      <c r="Y235" s="6">
        <f t="shared" si="55"/>
        <v>0.38651721565464225</v>
      </c>
    </row>
    <row r="236" spans="1:25" x14ac:dyDescent="0.25">
      <c r="A236" s="7" t="s">
        <v>57</v>
      </c>
      <c r="B236" s="7" t="s">
        <v>164</v>
      </c>
      <c r="C236" s="74">
        <v>66</v>
      </c>
      <c r="D236" s="74">
        <v>64</v>
      </c>
      <c r="E236" s="71">
        <f t="shared" si="46"/>
        <v>0.96969696969696972</v>
      </c>
      <c r="F236" s="65" t="str">
        <f t="shared" si="48"/>
        <v>Desempenho Bom</v>
      </c>
      <c r="G236" s="71">
        <f t="shared" si="52"/>
        <v>0.63634637719050002</v>
      </c>
      <c r="H236" s="71">
        <f t="shared" si="52"/>
        <v>1.0512878703900039</v>
      </c>
      <c r="I236" s="71">
        <f t="shared" si="52"/>
        <v>0.22140488399099606</v>
      </c>
      <c r="J236" s="75">
        <v>29008.75</v>
      </c>
      <c r="K236" s="75">
        <v>10223.16</v>
      </c>
      <c r="L236" s="6">
        <f>(SUM(K230:K236))/J235</f>
        <v>0.74264351273322704</v>
      </c>
      <c r="M236" s="36" t="str">
        <f t="shared" si="49"/>
        <v>Desempenho Bom</v>
      </c>
      <c r="N236" s="6">
        <f t="shared" si="56"/>
        <v>0.38334713342809434</v>
      </c>
      <c r="O236" s="6">
        <f t="shared" si="56"/>
        <v>0.88375935483946089</v>
      </c>
      <c r="P236" s="6">
        <f t="shared" si="56"/>
        <v>-0.1170650879832722</v>
      </c>
      <c r="Q236" s="75">
        <v>70</v>
      </c>
      <c r="R236" s="76">
        <v>0</v>
      </c>
      <c r="S236" s="6">
        <f t="shared" si="47"/>
        <v>0</v>
      </c>
      <c r="T236" s="36" t="str">
        <f t="shared" si="50"/>
        <v>Desempenho Deficitário</v>
      </c>
      <c r="U236" s="6">
        <f t="shared" si="55"/>
        <v>0.46105014853915682</v>
      </c>
      <c r="V236" s="6">
        <f t="shared" si="55"/>
        <v>0.84756736419379908</v>
      </c>
      <c r="W236" s="6">
        <f t="shared" si="55"/>
        <v>7.4532932884514569E-2</v>
      </c>
      <c r="X236" s="6">
        <f t="shared" si="55"/>
        <v>7.4532932884514569E-2</v>
      </c>
      <c r="Y236" s="6">
        <f t="shared" si="55"/>
        <v>0.38651721565464225</v>
      </c>
    </row>
    <row r="237" spans="1:25" x14ac:dyDescent="0.25">
      <c r="A237" s="7" t="s">
        <v>57</v>
      </c>
      <c r="B237" s="7" t="s">
        <v>165</v>
      </c>
      <c r="C237" s="74">
        <v>66</v>
      </c>
      <c r="D237" s="74">
        <v>64</v>
      </c>
      <c r="E237" s="71">
        <f t="shared" si="46"/>
        <v>0.96969696969696972</v>
      </c>
      <c r="F237" s="65" t="str">
        <f t="shared" si="48"/>
        <v>Desempenho Bom</v>
      </c>
      <c r="G237" s="71">
        <f t="shared" si="52"/>
        <v>0.70660866675940681</v>
      </c>
      <c r="H237" s="71">
        <f t="shared" si="52"/>
        <v>1.1341225514190425</v>
      </c>
      <c r="I237" s="71">
        <f t="shared" si="52"/>
        <v>0.27909478209977112</v>
      </c>
      <c r="J237" s="75">
        <v>29008.75</v>
      </c>
      <c r="K237" s="75">
        <v>9000</v>
      </c>
      <c r="L237" s="6">
        <f>(SUM(K230:K237))/J236</f>
        <v>1.0528947300383504</v>
      </c>
      <c r="M237" s="36" t="str">
        <f t="shared" si="49"/>
        <v>Desempenho Ótimo</v>
      </c>
      <c r="N237" s="6">
        <f t="shared" si="56"/>
        <v>0.45719521320533213</v>
      </c>
      <c r="O237" s="6">
        <f t="shared" si="56"/>
        <v>0.97356755068321044</v>
      </c>
      <c r="P237" s="6">
        <f t="shared" si="56"/>
        <v>-5.9177124272546122E-2</v>
      </c>
      <c r="Q237" s="75">
        <v>70</v>
      </c>
      <c r="R237" s="76">
        <v>0</v>
      </c>
      <c r="S237" s="6">
        <f t="shared" si="47"/>
        <v>0</v>
      </c>
      <c r="T237" s="36" t="str">
        <f t="shared" si="50"/>
        <v>Desempenho Deficitário</v>
      </c>
      <c r="U237" s="6">
        <f t="shared" si="55"/>
        <v>0.46105014853915682</v>
      </c>
      <c r="V237" s="6">
        <f t="shared" si="55"/>
        <v>0.84756736419379908</v>
      </c>
      <c r="W237" s="6">
        <f t="shared" si="55"/>
        <v>7.4532932884514569E-2</v>
      </c>
      <c r="X237" s="6">
        <f t="shared" si="55"/>
        <v>7.4532932884514569E-2</v>
      </c>
      <c r="Y237" s="6">
        <f t="shared" si="55"/>
        <v>0.38651721565464225</v>
      </c>
    </row>
    <row r="238" spans="1:25" x14ac:dyDescent="0.25">
      <c r="A238" s="7" t="s">
        <v>57</v>
      </c>
      <c r="B238" s="7" t="s">
        <v>166</v>
      </c>
      <c r="C238" s="74">
        <v>66</v>
      </c>
      <c r="D238" s="74">
        <v>64</v>
      </c>
      <c r="E238" s="71">
        <f t="shared" si="46"/>
        <v>0.96969696969696972</v>
      </c>
      <c r="F238" s="65" t="str">
        <f t="shared" si="48"/>
        <v>Desempenho Bom</v>
      </c>
      <c r="G238" s="71">
        <f t="shared" si="52"/>
        <v>0.73663014244586189</v>
      </c>
      <c r="H238" s="71">
        <f t="shared" si="52"/>
        <v>1.1737360935948695</v>
      </c>
      <c r="I238" s="71">
        <f t="shared" si="52"/>
        <v>0.29952419129685426</v>
      </c>
      <c r="J238" s="75">
        <v>29008.75</v>
      </c>
      <c r="K238" s="75">
        <v>0</v>
      </c>
      <c r="L238" s="6">
        <f>(SUM(K230:K238))/J237</f>
        <v>1.0528947300383504</v>
      </c>
      <c r="M238" s="36" t="str">
        <f t="shared" si="49"/>
        <v>Desempenho Ótimo</v>
      </c>
      <c r="N238" s="6">
        <f t="shared" si="56"/>
        <v>0.50336729135060976</v>
      </c>
      <c r="O238" s="6">
        <f t="shared" si="56"/>
        <v>1.0150591886201059</v>
      </c>
      <c r="P238" s="6">
        <f t="shared" si="56"/>
        <v>-8.3246059188863963E-3</v>
      </c>
      <c r="Q238" s="75">
        <v>70</v>
      </c>
      <c r="R238" s="76">
        <v>55</v>
      </c>
      <c r="S238" s="6">
        <f t="shared" si="47"/>
        <v>0.7857142857142857</v>
      </c>
      <c r="T238" s="36" t="str">
        <f t="shared" si="50"/>
        <v>Desempenho Bom</v>
      </c>
      <c r="U238" s="6">
        <f t="shared" si="55"/>
        <v>0.74232771533595698</v>
      </c>
      <c r="V238" s="6">
        <f t="shared" si="55"/>
        <v>1.1540802341555996</v>
      </c>
      <c r="W238" s="6">
        <f t="shared" si="55"/>
        <v>0.33057519651631434</v>
      </c>
      <c r="X238" s="6">
        <f t="shared" si="55"/>
        <v>0.33057519651631434</v>
      </c>
      <c r="Y238" s="6">
        <f t="shared" si="55"/>
        <v>0.41175251881964264</v>
      </c>
    </row>
    <row r="239" spans="1:25" x14ac:dyDescent="0.25">
      <c r="A239" s="7" t="s">
        <v>57</v>
      </c>
      <c r="B239" s="7" t="s">
        <v>167</v>
      </c>
      <c r="C239" s="74">
        <v>66</v>
      </c>
      <c r="D239" s="74">
        <v>68</v>
      </c>
      <c r="E239" s="71">
        <f t="shared" si="46"/>
        <v>1.0303030303030303</v>
      </c>
      <c r="F239" s="65" t="str">
        <f t="shared" si="48"/>
        <v>Desempenho Bom</v>
      </c>
      <c r="G239" s="71">
        <f t="shared" si="52"/>
        <v>0.82061442726694189</v>
      </c>
      <c r="H239" s="71">
        <f t="shared" si="52"/>
        <v>1.2607833515834532</v>
      </c>
      <c r="I239" s="71">
        <f t="shared" si="52"/>
        <v>0.38044550295043061</v>
      </c>
      <c r="J239" s="75">
        <v>29008.75</v>
      </c>
      <c r="K239" s="75">
        <v>5000</v>
      </c>
      <c r="L239" s="6">
        <f>(SUM(K230:K239))/J238</f>
        <v>1.2252565174300858</v>
      </c>
      <c r="M239" s="36" t="str">
        <f t="shared" si="49"/>
        <v>Desempenho Ótimo</v>
      </c>
      <c r="N239" s="6">
        <f t="shared" si="56"/>
        <v>0.58006775555216661</v>
      </c>
      <c r="O239" s="6">
        <f t="shared" si="56"/>
        <v>1.099948635873619</v>
      </c>
      <c r="P239" s="6">
        <f t="shared" si="56"/>
        <v>6.0186875230714088E-2</v>
      </c>
      <c r="Q239" s="75">
        <v>70</v>
      </c>
      <c r="R239" s="76">
        <v>73</v>
      </c>
      <c r="S239" s="6">
        <f t="shared" si="47"/>
        <v>1.0428571428571429</v>
      </c>
      <c r="T239" s="36" t="str">
        <f t="shared" si="50"/>
        <v>Desempenho Bom</v>
      </c>
      <c r="U239" s="6">
        <f t="shared" ref="U239:Y254" si="57">U227</f>
        <v>0.82347447721763523</v>
      </c>
      <c r="V239" s="6">
        <f t="shared" si="57"/>
        <v>1.2398542522675045</v>
      </c>
      <c r="W239" s="6">
        <f t="shared" si="57"/>
        <v>0.40709470216776611</v>
      </c>
      <c r="X239" s="6">
        <f t="shared" si="57"/>
        <v>0.40709470216776611</v>
      </c>
      <c r="Y239" s="6">
        <f t="shared" si="57"/>
        <v>0.41637977504986912</v>
      </c>
    </row>
    <row r="240" spans="1:25" x14ac:dyDescent="0.25">
      <c r="A240" s="7" t="s">
        <v>57</v>
      </c>
      <c r="B240" s="7" t="s">
        <v>168</v>
      </c>
      <c r="C240" s="74">
        <v>66</v>
      </c>
      <c r="D240" s="74">
        <v>73</v>
      </c>
      <c r="E240" s="71">
        <f t="shared" si="46"/>
        <v>1.106060606060606</v>
      </c>
      <c r="F240" s="65" t="str">
        <f t="shared" si="48"/>
        <v>Desempenho Bom</v>
      </c>
      <c r="G240" s="71">
        <f t="shared" si="52"/>
        <v>0.94582556715526966</v>
      </c>
      <c r="H240" s="71">
        <f t="shared" si="52"/>
        <v>1.4311117173682604</v>
      </c>
      <c r="I240" s="71">
        <f t="shared" si="52"/>
        <v>0.46053941694227907</v>
      </c>
      <c r="J240" s="75">
        <v>29008.75</v>
      </c>
      <c r="K240" s="75">
        <v>600</v>
      </c>
      <c r="L240" s="6">
        <f>(SUM(K230:K240))/J239</f>
        <v>1.2459399319170941</v>
      </c>
      <c r="M240" s="36" t="str">
        <f t="shared" si="49"/>
        <v>Desempenho Bom</v>
      </c>
      <c r="N240" s="6">
        <f t="shared" si="56"/>
        <v>0.72282137340514951</v>
      </c>
      <c r="O240" s="6">
        <f t="shared" si="56"/>
        <v>1.2463651595014014</v>
      </c>
      <c r="P240" s="6">
        <f t="shared" si="56"/>
        <v>0.19927758730889755</v>
      </c>
      <c r="Q240" s="75">
        <v>70</v>
      </c>
      <c r="R240" s="76">
        <v>73</v>
      </c>
      <c r="S240" s="6">
        <f t="shared" si="47"/>
        <v>1.0428571428571429</v>
      </c>
      <c r="T240" s="36" t="str">
        <f t="shared" si="50"/>
        <v>Desempenho Bom</v>
      </c>
      <c r="U240" s="6">
        <f t="shared" si="57"/>
        <v>0.91825333306001944</v>
      </c>
      <c r="V240" s="6">
        <f t="shared" si="57"/>
        <v>1.402047931898428</v>
      </c>
      <c r="W240" s="6">
        <f t="shared" si="57"/>
        <v>0.43445873422161085</v>
      </c>
      <c r="X240" s="6">
        <f t="shared" si="57"/>
        <v>0.43445873422161085</v>
      </c>
      <c r="Y240" s="6">
        <f t="shared" si="57"/>
        <v>0.48379459883840858</v>
      </c>
    </row>
    <row r="241" spans="1:25" x14ac:dyDescent="0.25">
      <c r="A241" s="7" t="s">
        <v>57</v>
      </c>
      <c r="B241" s="7" t="s">
        <v>169</v>
      </c>
      <c r="C241" s="74">
        <v>66</v>
      </c>
      <c r="D241" s="74">
        <v>73</v>
      </c>
      <c r="E241" s="71">
        <f t="shared" si="46"/>
        <v>1.106060606060606</v>
      </c>
      <c r="F241" s="65" t="str">
        <f t="shared" si="48"/>
        <v>Desempenho Bom</v>
      </c>
      <c r="G241" s="71">
        <f t="shared" si="52"/>
        <v>1.0016849877757958</v>
      </c>
      <c r="H241" s="71">
        <f t="shared" si="52"/>
        <v>1.521489991464148</v>
      </c>
      <c r="I241" s="71">
        <f t="shared" si="52"/>
        <v>0.48187998408744359</v>
      </c>
      <c r="J241" s="75">
        <v>29008.75</v>
      </c>
      <c r="K241" s="75">
        <v>0</v>
      </c>
      <c r="L241" s="6">
        <f>(SUM(K230:K241))/J240</f>
        <v>1.2459399319170941</v>
      </c>
      <c r="M241" s="36" t="str">
        <f t="shared" si="49"/>
        <v>Desempenho Bom</v>
      </c>
      <c r="N241" s="6">
        <f t="shared" si="56"/>
        <v>0.82421983567812696</v>
      </c>
      <c r="O241" s="6">
        <f t="shared" si="56"/>
        <v>1.3730394926064369</v>
      </c>
      <c r="P241" s="6">
        <f t="shared" si="56"/>
        <v>0.27540017874981693</v>
      </c>
      <c r="Q241" s="75">
        <v>70</v>
      </c>
      <c r="R241" s="76">
        <v>73</v>
      </c>
      <c r="S241" s="6">
        <f t="shared" si="47"/>
        <v>1.0428571428571429</v>
      </c>
      <c r="T241" s="36" t="str">
        <f t="shared" si="50"/>
        <v>Desempenho Bom</v>
      </c>
      <c r="U241" s="6">
        <f t="shared" si="57"/>
        <v>0.91825333306001944</v>
      </c>
      <c r="V241" s="6">
        <f t="shared" si="57"/>
        <v>1.402047931898428</v>
      </c>
      <c r="W241" s="6">
        <f t="shared" si="57"/>
        <v>0.43445873422161085</v>
      </c>
      <c r="X241" s="6">
        <f t="shared" si="57"/>
        <v>0.43445873422161085</v>
      </c>
      <c r="Y241" s="6">
        <f t="shared" si="57"/>
        <v>0.48379459883840858</v>
      </c>
    </row>
    <row r="242" spans="1:25" x14ac:dyDescent="0.25">
      <c r="A242" s="7" t="s">
        <v>94</v>
      </c>
      <c r="B242" s="7" t="s">
        <v>158</v>
      </c>
      <c r="C242" s="74">
        <v>75</v>
      </c>
      <c r="D242" s="74">
        <v>0</v>
      </c>
      <c r="E242" s="71">
        <f t="shared" si="46"/>
        <v>0</v>
      </c>
      <c r="F242" s="65" t="str">
        <f t="shared" si="48"/>
        <v>Desempenho Médio</v>
      </c>
      <c r="G242" s="71">
        <f t="shared" si="52"/>
        <v>0.11573204891712785</v>
      </c>
      <c r="H242" s="71">
        <f t="shared" si="52"/>
        <v>0.30218524997148988</v>
      </c>
      <c r="I242" s="71">
        <f t="shared" si="52"/>
        <v>-7.0721152137234206E-2</v>
      </c>
      <c r="J242" s="75">
        <v>370000</v>
      </c>
      <c r="K242" s="75">
        <v>0</v>
      </c>
      <c r="L242" s="6">
        <f>K242/J242</f>
        <v>0</v>
      </c>
      <c r="M242" s="36" t="str">
        <f t="shared" si="49"/>
        <v>Desempenho Médio</v>
      </c>
      <c r="N242" s="6">
        <f t="shared" si="56"/>
        <v>0.11129468122233216</v>
      </c>
      <c r="O242" s="6">
        <f t="shared" si="56"/>
        <v>0.54990456699293522</v>
      </c>
      <c r="P242" s="6">
        <f t="shared" si="56"/>
        <v>-0.32731520454827095</v>
      </c>
      <c r="Q242" s="75">
        <v>80</v>
      </c>
      <c r="R242" s="76">
        <v>13</v>
      </c>
      <c r="S242" s="6">
        <f t="shared" si="47"/>
        <v>0.16250000000000001</v>
      </c>
      <c r="T242" s="36" t="str">
        <f t="shared" si="50"/>
        <v>Desempenho Ótimo</v>
      </c>
      <c r="U242" s="6">
        <f t="shared" si="57"/>
        <v>6.5053670194766225E-2</v>
      </c>
      <c r="V242" s="6">
        <f t="shared" si="57"/>
        <v>0.16010348962314203</v>
      </c>
      <c r="W242" s="6">
        <f t="shared" si="57"/>
        <v>-2.9996149233609562E-2</v>
      </c>
      <c r="X242" s="6">
        <f t="shared" si="57"/>
        <v>1.7528760480578331E-2</v>
      </c>
      <c r="Y242" s="6">
        <f t="shared" si="57"/>
        <v>9.5049819428375787E-2</v>
      </c>
    </row>
    <row r="243" spans="1:25" x14ac:dyDescent="0.25">
      <c r="A243" s="7" t="s">
        <v>94</v>
      </c>
      <c r="B243" s="7" t="s">
        <v>159</v>
      </c>
      <c r="C243" s="74">
        <v>75</v>
      </c>
      <c r="D243" s="74">
        <v>28</v>
      </c>
      <c r="E243" s="71">
        <f t="shared" si="46"/>
        <v>0.37333333333333335</v>
      </c>
      <c r="F243" s="65" t="str">
        <f t="shared" si="48"/>
        <v>Desempenho Bom</v>
      </c>
      <c r="G243" s="71">
        <f t="shared" si="52"/>
        <v>0.22598075676513599</v>
      </c>
      <c r="H243" s="71">
        <f t="shared" si="52"/>
        <v>0.51894873552035481</v>
      </c>
      <c r="I243" s="71">
        <f t="shared" si="52"/>
        <v>-6.6987221990082807E-2</v>
      </c>
      <c r="J243" s="75">
        <v>370000</v>
      </c>
      <c r="K243" s="75">
        <v>59420</v>
      </c>
      <c r="L243" s="6">
        <f>(SUM(K242:K243))/J242</f>
        <v>0.1605945945945946</v>
      </c>
      <c r="M243" s="36" t="str">
        <f t="shared" si="49"/>
        <v>Desempenho Bom</v>
      </c>
      <c r="N243" s="6">
        <f t="shared" si="56"/>
        <v>0.14992070801509372</v>
      </c>
      <c r="O243" s="6">
        <f t="shared" si="56"/>
        <v>0.58968599072326611</v>
      </c>
      <c r="P243" s="6">
        <f t="shared" si="56"/>
        <v>-0.28984457469307867</v>
      </c>
      <c r="Q243" s="75">
        <v>80</v>
      </c>
      <c r="R243" s="76">
        <v>13</v>
      </c>
      <c r="S243" s="6">
        <f t="shared" si="47"/>
        <v>0.16250000000000001</v>
      </c>
      <c r="T243" s="36" t="str">
        <f t="shared" si="50"/>
        <v>Desempenho Ótimo</v>
      </c>
      <c r="U243" s="6">
        <f t="shared" si="57"/>
        <v>6.5053670194766225E-2</v>
      </c>
      <c r="V243" s="6">
        <f t="shared" si="57"/>
        <v>0.16010348962314203</v>
      </c>
      <c r="W243" s="6">
        <f t="shared" si="57"/>
        <v>-2.9996149233609562E-2</v>
      </c>
      <c r="X243" s="6">
        <f t="shared" si="57"/>
        <v>1.7528760480578331E-2</v>
      </c>
      <c r="Y243" s="6">
        <f t="shared" si="57"/>
        <v>9.5049819428375787E-2</v>
      </c>
    </row>
    <row r="244" spans="1:25" x14ac:dyDescent="0.25">
      <c r="A244" s="7" t="s">
        <v>94</v>
      </c>
      <c r="B244" s="7" t="s">
        <v>160</v>
      </c>
      <c r="C244" s="74">
        <v>75</v>
      </c>
      <c r="D244" s="74">
        <v>45</v>
      </c>
      <c r="E244" s="71">
        <f t="shared" si="46"/>
        <v>0.6</v>
      </c>
      <c r="F244" s="65" t="str">
        <f t="shared" si="48"/>
        <v>Desempenho Ótimo</v>
      </c>
      <c r="G244" s="71">
        <f t="shared" si="52"/>
        <v>0.2827891266215985</v>
      </c>
      <c r="H244" s="71">
        <f t="shared" si="52"/>
        <v>0.59134445337262298</v>
      </c>
      <c r="I244" s="71">
        <f t="shared" si="52"/>
        <v>-2.5766200129425987E-2</v>
      </c>
      <c r="J244" s="75">
        <v>370000</v>
      </c>
      <c r="K244" s="75">
        <v>25500</v>
      </c>
      <c r="L244" s="6">
        <f>(SUM(K242:K244))/J243</f>
        <v>0.22951351351351351</v>
      </c>
      <c r="M244" s="36" t="str">
        <f t="shared" si="49"/>
        <v>Desempenho Bom</v>
      </c>
      <c r="N244" s="6">
        <f t="shared" si="56"/>
        <v>0.17723994755342617</v>
      </c>
      <c r="O244" s="6">
        <f t="shared" si="56"/>
        <v>0.61473682715667155</v>
      </c>
      <c r="P244" s="6">
        <f t="shared" si="56"/>
        <v>-0.26025693204981915</v>
      </c>
      <c r="Q244" s="75">
        <v>80</v>
      </c>
      <c r="R244" s="76">
        <v>13</v>
      </c>
      <c r="S244" s="6">
        <f t="shared" si="47"/>
        <v>0.16250000000000001</v>
      </c>
      <c r="T244" s="36" t="str">
        <f t="shared" si="50"/>
        <v>Desempenho Médio</v>
      </c>
      <c r="U244" s="6">
        <f t="shared" si="57"/>
        <v>0.18401218302179842</v>
      </c>
      <c r="V244" s="6">
        <f t="shared" si="57"/>
        <v>0.37883088095577799</v>
      </c>
      <c r="W244" s="6">
        <f t="shared" si="57"/>
        <v>-1.0806514912181153E-2</v>
      </c>
      <c r="X244" s="6">
        <f t="shared" si="57"/>
        <v>8.6602834054808633E-2</v>
      </c>
      <c r="Y244" s="6">
        <f t="shared" si="57"/>
        <v>0.19481869793397957</v>
      </c>
    </row>
    <row r="245" spans="1:25" x14ac:dyDescent="0.25">
      <c r="A245" s="7" t="s">
        <v>94</v>
      </c>
      <c r="B245" s="7" t="s">
        <v>161</v>
      </c>
      <c r="C245" s="74">
        <v>75</v>
      </c>
      <c r="D245" s="74">
        <v>47</v>
      </c>
      <c r="E245" s="71">
        <f t="shared" si="46"/>
        <v>0.62666666666666671</v>
      </c>
      <c r="F245" s="65" t="str">
        <f t="shared" si="48"/>
        <v>Desempenho Bom</v>
      </c>
      <c r="G245" s="71">
        <f t="shared" si="52"/>
        <v>0.36222496935690102</v>
      </c>
      <c r="H245" s="71">
        <f t="shared" si="52"/>
        <v>0.67917151968337719</v>
      </c>
      <c r="I245" s="71">
        <f t="shared" si="52"/>
        <v>4.5278419030424844E-2</v>
      </c>
      <c r="J245" s="75">
        <v>370000</v>
      </c>
      <c r="K245" s="75">
        <v>9900</v>
      </c>
      <c r="L245" s="6">
        <f>(SUM(K242:K245))/J244</f>
        <v>0.25627027027027027</v>
      </c>
      <c r="M245" s="36" t="str">
        <f t="shared" si="49"/>
        <v>Desempenho Bom</v>
      </c>
      <c r="N245" s="6">
        <f t="shared" si="56"/>
        <v>0.2271654986777647</v>
      </c>
      <c r="O245" s="6">
        <f t="shared" si="56"/>
        <v>0.71582389712396544</v>
      </c>
      <c r="P245" s="6">
        <f t="shared" si="56"/>
        <v>-0.26149289976843598</v>
      </c>
      <c r="Q245" s="75">
        <v>80</v>
      </c>
      <c r="R245" s="76">
        <v>13</v>
      </c>
      <c r="S245" s="6">
        <f t="shared" si="47"/>
        <v>0.16250000000000001</v>
      </c>
      <c r="T245" s="36" t="str">
        <f t="shared" si="50"/>
        <v>Desempenho Médio</v>
      </c>
      <c r="U245" s="6">
        <f t="shared" si="57"/>
        <v>0.18401218302179842</v>
      </c>
      <c r="V245" s="6">
        <f t="shared" si="57"/>
        <v>0.37883088095577799</v>
      </c>
      <c r="W245" s="6">
        <f t="shared" si="57"/>
        <v>-1.0806514912181153E-2</v>
      </c>
      <c r="X245" s="6">
        <f t="shared" si="57"/>
        <v>8.6602834054808633E-2</v>
      </c>
      <c r="Y245" s="6">
        <f t="shared" si="57"/>
        <v>0.19481869793397957</v>
      </c>
    </row>
    <row r="246" spans="1:25" x14ac:dyDescent="0.25">
      <c r="A246" s="7" t="s">
        <v>94</v>
      </c>
      <c r="B246" s="7" t="s">
        <v>162</v>
      </c>
      <c r="C246" s="74">
        <v>75</v>
      </c>
      <c r="D246" s="74">
        <v>50</v>
      </c>
      <c r="E246" s="71">
        <f t="shared" si="46"/>
        <v>0.66666666666666663</v>
      </c>
      <c r="F246" s="65" t="str">
        <f t="shared" si="48"/>
        <v>Desempenho Bom</v>
      </c>
      <c r="G246" s="71">
        <f t="shared" si="52"/>
        <v>0.44825178806664662</v>
      </c>
      <c r="H246" s="71">
        <f t="shared" si="52"/>
        <v>0.78548221403733831</v>
      </c>
      <c r="I246" s="71">
        <f t="shared" si="52"/>
        <v>0.11102136209595498</v>
      </c>
      <c r="J246" s="75">
        <v>370000</v>
      </c>
      <c r="K246" s="75">
        <v>36300</v>
      </c>
      <c r="L246" s="6">
        <f>(SUM(K242:K246))/J245</f>
        <v>0.35437837837837838</v>
      </c>
      <c r="M246" s="36" t="str">
        <f t="shared" si="49"/>
        <v>Desempenho Bom</v>
      </c>
      <c r="N246" s="6">
        <f t="shared" ref="N246:P261" si="58">N234</f>
        <v>0.27284258705105507</v>
      </c>
      <c r="O246" s="6">
        <f t="shared" si="58"/>
        <v>0.75981161093062477</v>
      </c>
      <c r="P246" s="6">
        <f t="shared" si="58"/>
        <v>-0.21412643682851468</v>
      </c>
      <c r="Q246" s="75">
        <v>80</v>
      </c>
      <c r="R246" s="76">
        <v>13</v>
      </c>
      <c r="S246" s="6">
        <f t="shared" si="47"/>
        <v>0.16250000000000001</v>
      </c>
      <c r="T246" s="36" t="str">
        <f t="shared" si="50"/>
        <v>Desempenho Médio</v>
      </c>
      <c r="U246" s="6">
        <f t="shared" si="57"/>
        <v>0.23278475191631845</v>
      </c>
      <c r="V246" s="6">
        <f t="shared" si="57"/>
        <v>0.51017789992422413</v>
      </c>
      <c r="W246" s="6">
        <f t="shared" si="57"/>
        <v>-4.460839609158726E-2</v>
      </c>
      <c r="X246" s="6">
        <f t="shared" si="57"/>
        <v>9.4088177912365595E-2</v>
      </c>
      <c r="Y246" s="6">
        <f t="shared" si="57"/>
        <v>0.27739314800790571</v>
      </c>
    </row>
    <row r="247" spans="1:25" x14ac:dyDescent="0.25">
      <c r="A247" s="7" t="s">
        <v>94</v>
      </c>
      <c r="B247" s="7" t="s">
        <v>163</v>
      </c>
      <c r="C247" s="74">
        <v>75</v>
      </c>
      <c r="D247" s="74">
        <v>68</v>
      </c>
      <c r="E247" s="71">
        <f t="shared" si="46"/>
        <v>0.90666666666666662</v>
      </c>
      <c r="F247" s="65" t="str">
        <f t="shared" si="48"/>
        <v>Desempenho Bom</v>
      </c>
      <c r="G247" s="71">
        <f t="shared" si="52"/>
        <v>0.54231176602906361</v>
      </c>
      <c r="H247" s="71">
        <f t="shared" si="52"/>
        <v>0.92735502699565786</v>
      </c>
      <c r="I247" s="71">
        <f t="shared" si="52"/>
        <v>0.15726850506246942</v>
      </c>
      <c r="J247" s="75">
        <v>370000</v>
      </c>
      <c r="K247" s="75">
        <v>91100</v>
      </c>
      <c r="L247" s="6">
        <f>(SUM(K242:K247))/J246</f>
        <v>0.60059459459459463</v>
      </c>
      <c r="M247" s="36" t="str">
        <f t="shared" si="49"/>
        <v>Desempenho Bom</v>
      </c>
      <c r="N247" s="6">
        <f t="shared" si="58"/>
        <v>0.31451673641638933</v>
      </c>
      <c r="O247" s="6">
        <f t="shared" si="58"/>
        <v>0.80702132782766356</v>
      </c>
      <c r="P247" s="6">
        <f t="shared" si="58"/>
        <v>-0.1779878549948849</v>
      </c>
      <c r="Q247" s="75">
        <v>80</v>
      </c>
      <c r="R247" s="76">
        <v>55</v>
      </c>
      <c r="S247" s="6">
        <f t="shared" si="47"/>
        <v>0.6875</v>
      </c>
      <c r="T247" s="36" t="str">
        <f t="shared" si="50"/>
        <v>Desempenho Bom</v>
      </c>
      <c r="U247" s="6">
        <f t="shared" si="57"/>
        <v>0.46105014853915682</v>
      </c>
      <c r="V247" s="6">
        <f t="shared" si="57"/>
        <v>0.84756736419379908</v>
      </c>
      <c r="W247" s="6">
        <f t="shared" si="57"/>
        <v>7.4532932884514569E-2</v>
      </c>
      <c r="X247" s="6">
        <f t="shared" si="57"/>
        <v>7.4532932884514569E-2</v>
      </c>
      <c r="Y247" s="6">
        <f t="shared" si="57"/>
        <v>0.38651721565464225</v>
      </c>
    </row>
    <row r="248" spans="1:25" x14ac:dyDescent="0.25">
      <c r="A248" s="7" t="s">
        <v>94</v>
      </c>
      <c r="B248" s="7" t="s">
        <v>164</v>
      </c>
      <c r="C248" s="74">
        <v>75</v>
      </c>
      <c r="D248" s="74">
        <v>68</v>
      </c>
      <c r="E248" s="71">
        <f t="shared" si="46"/>
        <v>0.90666666666666662</v>
      </c>
      <c r="F248" s="65" t="str">
        <f t="shared" si="48"/>
        <v>Desempenho Bom</v>
      </c>
      <c r="G248" s="71">
        <f t="shared" si="52"/>
        <v>0.63634637719050002</v>
      </c>
      <c r="H248" s="71">
        <f t="shared" si="52"/>
        <v>1.0512878703900039</v>
      </c>
      <c r="I248" s="71">
        <f t="shared" si="52"/>
        <v>0.22140488399099606</v>
      </c>
      <c r="J248" s="75">
        <v>370000</v>
      </c>
      <c r="K248" s="75">
        <v>0</v>
      </c>
      <c r="L248" s="6">
        <f>(SUM(K242:K248))/J247</f>
        <v>0.60059459459459463</v>
      </c>
      <c r="M248" s="36" t="str">
        <f t="shared" si="49"/>
        <v>Desempenho Bom</v>
      </c>
      <c r="N248" s="6">
        <f t="shared" si="58"/>
        <v>0.38334713342809434</v>
      </c>
      <c r="O248" s="6">
        <f t="shared" si="58"/>
        <v>0.88375935483946089</v>
      </c>
      <c r="P248" s="6">
        <f t="shared" si="58"/>
        <v>-0.1170650879832722</v>
      </c>
      <c r="Q248" s="75">
        <v>80</v>
      </c>
      <c r="R248" s="76">
        <v>55</v>
      </c>
      <c r="S248" s="6">
        <f t="shared" si="47"/>
        <v>0.6875</v>
      </c>
      <c r="T248" s="36" t="str">
        <f t="shared" si="50"/>
        <v>Desempenho Bom</v>
      </c>
      <c r="U248" s="6">
        <f t="shared" si="57"/>
        <v>0.46105014853915682</v>
      </c>
      <c r="V248" s="6">
        <f t="shared" si="57"/>
        <v>0.84756736419379908</v>
      </c>
      <c r="W248" s="6">
        <f t="shared" si="57"/>
        <v>7.4532932884514569E-2</v>
      </c>
      <c r="X248" s="6">
        <f t="shared" si="57"/>
        <v>7.4532932884514569E-2</v>
      </c>
      <c r="Y248" s="6">
        <f t="shared" si="57"/>
        <v>0.38651721565464225</v>
      </c>
    </row>
    <row r="249" spans="1:25" x14ac:dyDescent="0.25">
      <c r="A249" s="7" t="s">
        <v>94</v>
      </c>
      <c r="B249" s="7" t="s">
        <v>165</v>
      </c>
      <c r="C249" s="74">
        <v>75</v>
      </c>
      <c r="D249" s="74">
        <v>74</v>
      </c>
      <c r="E249" s="71">
        <f t="shared" si="46"/>
        <v>0.98666666666666669</v>
      </c>
      <c r="F249" s="65" t="str">
        <f t="shared" si="48"/>
        <v>Desempenho Bom</v>
      </c>
      <c r="G249" s="71">
        <f t="shared" si="52"/>
        <v>0.70660866675940681</v>
      </c>
      <c r="H249" s="71">
        <f t="shared" si="52"/>
        <v>1.1341225514190425</v>
      </c>
      <c r="I249" s="71">
        <f t="shared" si="52"/>
        <v>0.27909478209977112</v>
      </c>
      <c r="J249" s="75">
        <v>370000</v>
      </c>
      <c r="K249" s="75">
        <v>18700</v>
      </c>
      <c r="L249" s="6">
        <f>(SUM(K242:K249))/J248</f>
        <v>0.6511351351351351</v>
      </c>
      <c r="M249" s="36" t="str">
        <f t="shared" si="49"/>
        <v>Desempenho Bom</v>
      </c>
      <c r="N249" s="6">
        <f t="shared" si="58"/>
        <v>0.45719521320533213</v>
      </c>
      <c r="O249" s="6">
        <f t="shared" si="58"/>
        <v>0.97356755068321044</v>
      </c>
      <c r="P249" s="6">
        <f t="shared" si="58"/>
        <v>-5.9177124272546122E-2</v>
      </c>
      <c r="Q249" s="75">
        <v>80</v>
      </c>
      <c r="R249" s="76">
        <v>55</v>
      </c>
      <c r="S249" s="6">
        <f t="shared" si="47"/>
        <v>0.6875</v>
      </c>
      <c r="T249" s="36" t="str">
        <f t="shared" si="50"/>
        <v>Desempenho Bom</v>
      </c>
      <c r="U249" s="6">
        <f t="shared" si="57"/>
        <v>0.46105014853915682</v>
      </c>
      <c r="V249" s="6">
        <f t="shared" si="57"/>
        <v>0.84756736419379908</v>
      </c>
      <c r="W249" s="6">
        <f t="shared" si="57"/>
        <v>7.4532932884514569E-2</v>
      </c>
      <c r="X249" s="6">
        <f t="shared" si="57"/>
        <v>7.4532932884514569E-2</v>
      </c>
      <c r="Y249" s="6">
        <f t="shared" si="57"/>
        <v>0.38651721565464225</v>
      </c>
    </row>
    <row r="250" spans="1:25" x14ac:dyDescent="0.25">
      <c r="A250" s="7" t="s">
        <v>94</v>
      </c>
      <c r="B250" s="7" t="s">
        <v>166</v>
      </c>
      <c r="C250" s="74">
        <v>75</v>
      </c>
      <c r="D250" s="74">
        <v>82</v>
      </c>
      <c r="E250" s="71">
        <f t="shared" si="46"/>
        <v>1.0933333333333333</v>
      </c>
      <c r="F250" s="65" t="str">
        <f t="shared" si="48"/>
        <v>Desempenho Bom</v>
      </c>
      <c r="G250" s="71">
        <f t="shared" si="52"/>
        <v>0.73663014244586189</v>
      </c>
      <c r="H250" s="71">
        <f t="shared" si="52"/>
        <v>1.1737360935948695</v>
      </c>
      <c r="I250" s="71">
        <f t="shared" si="52"/>
        <v>0.29952419129685426</v>
      </c>
      <c r="J250" s="75">
        <v>370000</v>
      </c>
      <c r="K250" s="75">
        <v>54200</v>
      </c>
      <c r="L250" s="6">
        <f>(SUM(K242:K250))/J249</f>
        <v>0.79762162162162165</v>
      </c>
      <c r="M250" s="36" t="str">
        <f t="shared" si="49"/>
        <v>Desempenho Bom</v>
      </c>
      <c r="N250" s="6">
        <f t="shared" si="58"/>
        <v>0.50336729135060976</v>
      </c>
      <c r="O250" s="6">
        <f t="shared" si="58"/>
        <v>1.0150591886201059</v>
      </c>
      <c r="P250" s="6">
        <f t="shared" si="58"/>
        <v>-8.3246059188863963E-3</v>
      </c>
      <c r="Q250" s="75">
        <v>80</v>
      </c>
      <c r="R250" s="76">
        <v>89</v>
      </c>
      <c r="S250" s="6">
        <f t="shared" si="47"/>
        <v>1.1125</v>
      </c>
      <c r="T250" s="36" t="str">
        <f t="shared" si="50"/>
        <v>Desempenho Bom</v>
      </c>
      <c r="U250" s="6">
        <f t="shared" si="57"/>
        <v>0.74232771533595698</v>
      </c>
      <c r="V250" s="6">
        <f t="shared" si="57"/>
        <v>1.1540802341555996</v>
      </c>
      <c r="W250" s="6">
        <f t="shared" si="57"/>
        <v>0.33057519651631434</v>
      </c>
      <c r="X250" s="6">
        <f t="shared" si="57"/>
        <v>0.33057519651631434</v>
      </c>
      <c r="Y250" s="6">
        <f t="shared" si="57"/>
        <v>0.41175251881964264</v>
      </c>
    </row>
    <row r="251" spans="1:25" x14ac:dyDescent="0.25">
      <c r="A251" s="7" t="s">
        <v>94</v>
      </c>
      <c r="B251" s="7" t="s">
        <v>167</v>
      </c>
      <c r="C251" s="74">
        <v>75</v>
      </c>
      <c r="D251" s="74">
        <v>84</v>
      </c>
      <c r="E251" s="71">
        <f t="shared" si="46"/>
        <v>1.1200000000000001</v>
      </c>
      <c r="F251" s="65" t="str">
        <f t="shared" si="48"/>
        <v>Desempenho Bom</v>
      </c>
      <c r="G251" s="71">
        <f t="shared" si="52"/>
        <v>0.82061442726694189</v>
      </c>
      <c r="H251" s="71">
        <f t="shared" si="52"/>
        <v>1.2607833515834532</v>
      </c>
      <c r="I251" s="71">
        <f t="shared" si="52"/>
        <v>0.38044550295043061</v>
      </c>
      <c r="J251" s="75">
        <v>370000</v>
      </c>
      <c r="K251" s="75">
        <v>25700</v>
      </c>
      <c r="L251" s="6">
        <f>(SUM(K242:K251))/J250</f>
        <v>0.86708108108108106</v>
      </c>
      <c r="M251" s="36" t="str">
        <f t="shared" si="49"/>
        <v>Desempenho Bom</v>
      </c>
      <c r="N251" s="6">
        <f t="shared" si="58"/>
        <v>0.58006775555216661</v>
      </c>
      <c r="O251" s="6">
        <f t="shared" si="58"/>
        <v>1.099948635873619</v>
      </c>
      <c r="P251" s="6">
        <f t="shared" si="58"/>
        <v>6.0186875230714088E-2</v>
      </c>
      <c r="Q251" s="75">
        <v>80</v>
      </c>
      <c r="R251" s="76">
        <v>89</v>
      </c>
      <c r="S251" s="6">
        <f t="shared" si="47"/>
        <v>1.1125</v>
      </c>
      <c r="T251" s="36" t="str">
        <f t="shared" si="50"/>
        <v>Desempenho Bom</v>
      </c>
      <c r="U251" s="6">
        <f t="shared" si="57"/>
        <v>0.82347447721763523</v>
      </c>
      <c r="V251" s="6">
        <f t="shared" si="57"/>
        <v>1.2398542522675045</v>
      </c>
      <c r="W251" s="6">
        <f t="shared" si="57"/>
        <v>0.40709470216776611</v>
      </c>
      <c r="X251" s="6">
        <f t="shared" si="57"/>
        <v>0.40709470216776611</v>
      </c>
      <c r="Y251" s="6">
        <f t="shared" si="57"/>
        <v>0.41637977504986912</v>
      </c>
    </row>
    <row r="252" spans="1:25" x14ac:dyDescent="0.25">
      <c r="A252" s="7" t="s">
        <v>94</v>
      </c>
      <c r="B252" s="7" t="s">
        <v>168</v>
      </c>
      <c r="C252" s="74">
        <v>75</v>
      </c>
      <c r="D252" s="74">
        <v>84</v>
      </c>
      <c r="E252" s="71">
        <f t="shared" si="46"/>
        <v>1.1200000000000001</v>
      </c>
      <c r="F252" s="65" t="str">
        <f t="shared" si="48"/>
        <v>Desempenho Bom</v>
      </c>
      <c r="G252" s="71">
        <f t="shared" si="52"/>
        <v>0.94582556715526966</v>
      </c>
      <c r="H252" s="71">
        <f t="shared" si="52"/>
        <v>1.4311117173682604</v>
      </c>
      <c r="I252" s="71">
        <f t="shared" si="52"/>
        <v>0.46053941694227907</v>
      </c>
      <c r="J252" s="75">
        <v>370000</v>
      </c>
      <c r="K252" s="75">
        <v>27400</v>
      </c>
      <c r="L252" s="6">
        <f>(SUM(K242:K252))/J251</f>
        <v>0.94113513513513514</v>
      </c>
      <c r="M252" s="36" t="str">
        <f t="shared" si="49"/>
        <v>Desempenho Bom</v>
      </c>
      <c r="N252" s="6">
        <f t="shared" si="58"/>
        <v>0.72282137340514951</v>
      </c>
      <c r="O252" s="6">
        <f t="shared" si="58"/>
        <v>1.2463651595014014</v>
      </c>
      <c r="P252" s="6">
        <f t="shared" si="58"/>
        <v>0.19927758730889755</v>
      </c>
      <c r="Q252" s="75">
        <v>80</v>
      </c>
      <c r="R252" s="76">
        <v>89</v>
      </c>
      <c r="S252" s="6">
        <f t="shared" si="47"/>
        <v>1.1125</v>
      </c>
      <c r="T252" s="36" t="str">
        <f t="shared" si="50"/>
        <v>Desempenho Bom</v>
      </c>
      <c r="U252" s="6">
        <f t="shared" si="57"/>
        <v>0.91825333306001944</v>
      </c>
      <c r="V252" s="6">
        <f t="shared" si="57"/>
        <v>1.402047931898428</v>
      </c>
      <c r="W252" s="6">
        <f t="shared" si="57"/>
        <v>0.43445873422161085</v>
      </c>
      <c r="X252" s="6">
        <f t="shared" si="57"/>
        <v>0.43445873422161085</v>
      </c>
      <c r="Y252" s="6">
        <f t="shared" si="57"/>
        <v>0.48379459883840858</v>
      </c>
    </row>
    <row r="253" spans="1:25" x14ac:dyDescent="0.25">
      <c r="A253" s="7" t="s">
        <v>94</v>
      </c>
      <c r="B253" s="7" t="s">
        <v>169</v>
      </c>
      <c r="C253" s="74">
        <v>75</v>
      </c>
      <c r="D253" s="74">
        <v>95</v>
      </c>
      <c r="E253" s="71">
        <f t="shared" si="46"/>
        <v>1.2666666666666666</v>
      </c>
      <c r="F253" s="65" t="str">
        <f t="shared" si="48"/>
        <v>Desempenho Bom</v>
      </c>
      <c r="G253" s="71">
        <f t="shared" si="52"/>
        <v>1.0016849877757958</v>
      </c>
      <c r="H253" s="71">
        <f t="shared" si="52"/>
        <v>1.521489991464148</v>
      </c>
      <c r="I253" s="71">
        <f t="shared" si="52"/>
        <v>0.48187998408744359</v>
      </c>
      <c r="J253" s="75">
        <v>370000</v>
      </c>
      <c r="K253" s="75">
        <v>83450</v>
      </c>
      <c r="L253" s="6">
        <f>(SUM(K242:K253))/J252</f>
        <v>1.1666756756756758</v>
      </c>
      <c r="M253" s="36" t="str">
        <f t="shared" si="49"/>
        <v>Desempenho Bom</v>
      </c>
      <c r="N253" s="6">
        <f t="shared" si="58"/>
        <v>0.82421983567812696</v>
      </c>
      <c r="O253" s="6">
        <f t="shared" si="58"/>
        <v>1.3730394926064369</v>
      </c>
      <c r="P253" s="6">
        <f t="shared" si="58"/>
        <v>0.27540017874981693</v>
      </c>
      <c r="Q253" s="75">
        <v>80</v>
      </c>
      <c r="R253" s="76">
        <v>89</v>
      </c>
      <c r="S253" s="6">
        <f t="shared" si="47"/>
        <v>1.1125</v>
      </c>
      <c r="T253" s="36" t="str">
        <f t="shared" si="50"/>
        <v>Desempenho Bom</v>
      </c>
      <c r="U253" s="6">
        <f t="shared" si="57"/>
        <v>0.91825333306001944</v>
      </c>
      <c r="V253" s="6">
        <f t="shared" si="57"/>
        <v>1.402047931898428</v>
      </c>
      <c r="W253" s="6">
        <f t="shared" si="57"/>
        <v>0.43445873422161085</v>
      </c>
      <c r="X253" s="6">
        <f t="shared" si="57"/>
        <v>0.43445873422161085</v>
      </c>
      <c r="Y253" s="6">
        <f t="shared" si="57"/>
        <v>0.48379459883840858</v>
      </c>
    </row>
    <row r="254" spans="1:25" x14ac:dyDescent="0.25">
      <c r="A254" s="7" t="s">
        <v>55</v>
      </c>
      <c r="B254" s="7" t="s">
        <v>158</v>
      </c>
      <c r="C254" s="74">
        <v>68</v>
      </c>
      <c r="D254" s="74">
        <v>21</v>
      </c>
      <c r="E254" s="71">
        <f t="shared" si="46"/>
        <v>0.30882352941176472</v>
      </c>
      <c r="F254" s="65" t="str">
        <f t="shared" si="48"/>
        <v>Desempenho Ótimo</v>
      </c>
      <c r="G254" s="71">
        <f t="shared" si="52"/>
        <v>0.11573204891712785</v>
      </c>
      <c r="H254" s="71">
        <f t="shared" si="52"/>
        <v>0.30218524997148988</v>
      </c>
      <c r="I254" s="71">
        <f t="shared" si="52"/>
        <v>-7.0721152137234206E-2</v>
      </c>
      <c r="J254" s="75">
        <v>55960</v>
      </c>
      <c r="K254" s="75">
        <v>6475</v>
      </c>
      <c r="L254" s="6">
        <f>K254/J254</f>
        <v>0.11570764832022873</v>
      </c>
      <c r="M254" s="36" t="str">
        <f t="shared" si="49"/>
        <v>Desempenho Bom</v>
      </c>
      <c r="N254" s="6">
        <f t="shared" si="58"/>
        <v>0.11129468122233216</v>
      </c>
      <c r="O254" s="6">
        <f t="shared" si="58"/>
        <v>0.54990456699293522</v>
      </c>
      <c r="P254" s="6">
        <f t="shared" si="58"/>
        <v>-0.32731520454827095</v>
      </c>
      <c r="Q254" s="75">
        <v>65</v>
      </c>
      <c r="R254" s="76">
        <v>6</v>
      </c>
      <c r="S254" s="6">
        <f t="shared" si="47"/>
        <v>9.2307692307692313E-2</v>
      </c>
      <c r="T254" s="36" t="str">
        <f t="shared" si="50"/>
        <v>Desempenho Bom</v>
      </c>
      <c r="U254" s="6">
        <f t="shared" si="57"/>
        <v>6.5053670194766225E-2</v>
      </c>
      <c r="V254" s="6">
        <f t="shared" si="57"/>
        <v>0.16010348962314203</v>
      </c>
      <c r="W254" s="6">
        <f t="shared" si="57"/>
        <v>-2.9996149233609562E-2</v>
      </c>
      <c r="X254" s="6">
        <f t="shared" si="57"/>
        <v>1.7528760480578331E-2</v>
      </c>
      <c r="Y254" s="6">
        <f t="shared" si="57"/>
        <v>9.5049819428375787E-2</v>
      </c>
    </row>
    <row r="255" spans="1:25" x14ac:dyDescent="0.25">
      <c r="A255" s="7" t="s">
        <v>55</v>
      </c>
      <c r="B255" s="7" t="s">
        <v>159</v>
      </c>
      <c r="C255" s="74">
        <v>68</v>
      </c>
      <c r="D255" s="74">
        <v>24</v>
      </c>
      <c r="E255" s="71">
        <f t="shared" si="46"/>
        <v>0.35294117647058826</v>
      </c>
      <c r="F255" s="65" t="str">
        <f t="shared" si="48"/>
        <v>Desempenho Bom</v>
      </c>
      <c r="G255" s="71">
        <f t="shared" si="52"/>
        <v>0.22598075676513599</v>
      </c>
      <c r="H255" s="71">
        <f t="shared" si="52"/>
        <v>0.51894873552035481</v>
      </c>
      <c r="I255" s="71">
        <f t="shared" si="52"/>
        <v>-6.6987221990082807E-2</v>
      </c>
      <c r="J255" s="75">
        <v>55960</v>
      </c>
      <c r="K255" s="75">
        <v>9405</v>
      </c>
      <c r="L255" s="6">
        <f>(SUM(K254:K255))/J254</f>
        <v>0.28377412437455324</v>
      </c>
      <c r="M255" s="36" t="str">
        <f t="shared" si="49"/>
        <v>Desempenho Bom</v>
      </c>
      <c r="N255" s="6">
        <f t="shared" si="58"/>
        <v>0.14992070801509372</v>
      </c>
      <c r="O255" s="6">
        <f t="shared" si="58"/>
        <v>0.58968599072326611</v>
      </c>
      <c r="P255" s="6">
        <f t="shared" si="58"/>
        <v>-0.28984457469307867</v>
      </c>
      <c r="Q255" s="75">
        <v>65</v>
      </c>
      <c r="R255" s="76">
        <v>6</v>
      </c>
      <c r="S255" s="6">
        <f t="shared" si="47"/>
        <v>9.2307692307692313E-2</v>
      </c>
      <c r="T255" s="36" t="str">
        <f t="shared" si="50"/>
        <v>Desempenho Bom</v>
      </c>
      <c r="U255" s="6">
        <f t="shared" ref="U255:Y270" si="59">U243</f>
        <v>6.5053670194766225E-2</v>
      </c>
      <c r="V255" s="6">
        <f t="shared" si="59"/>
        <v>0.16010348962314203</v>
      </c>
      <c r="W255" s="6">
        <f t="shared" si="59"/>
        <v>-2.9996149233609562E-2</v>
      </c>
      <c r="X255" s="6">
        <f t="shared" si="59"/>
        <v>1.7528760480578331E-2</v>
      </c>
      <c r="Y255" s="6">
        <f t="shared" si="59"/>
        <v>9.5049819428375787E-2</v>
      </c>
    </row>
    <row r="256" spans="1:25" x14ac:dyDescent="0.25">
      <c r="A256" s="7" t="s">
        <v>55</v>
      </c>
      <c r="B256" s="7" t="s">
        <v>160</v>
      </c>
      <c r="C256" s="74">
        <v>68</v>
      </c>
      <c r="D256" s="74">
        <v>28</v>
      </c>
      <c r="E256" s="71">
        <f t="shared" si="46"/>
        <v>0.41176470588235292</v>
      </c>
      <c r="F256" s="65" t="str">
        <f t="shared" si="48"/>
        <v>Desempenho Bom</v>
      </c>
      <c r="G256" s="71">
        <f t="shared" si="52"/>
        <v>0.2827891266215985</v>
      </c>
      <c r="H256" s="71">
        <f t="shared" si="52"/>
        <v>0.59134445337262298</v>
      </c>
      <c r="I256" s="71">
        <f t="shared" si="52"/>
        <v>-2.5766200129425987E-2</v>
      </c>
      <c r="J256" s="75">
        <v>55960</v>
      </c>
      <c r="K256" s="75">
        <v>3350</v>
      </c>
      <c r="L256" s="6">
        <f>(SUM(K254:K256))/J255</f>
        <v>0.34363831308077197</v>
      </c>
      <c r="M256" s="36" t="str">
        <f t="shared" si="49"/>
        <v>Desempenho Bom</v>
      </c>
      <c r="N256" s="6">
        <f t="shared" si="58"/>
        <v>0.17723994755342617</v>
      </c>
      <c r="O256" s="6">
        <f t="shared" si="58"/>
        <v>0.61473682715667155</v>
      </c>
      <c r="P256" s="6">
        <f t="shared" si="58"/>
        <v>-0.26025693204981915</v>
      </c>
      <c r="Q256" s="75">
        <v>65</v>
      </c>
      <c r="R256" s="76">
        <v>24</v>
      </c>
      <c r="S256" s="6">
        <f t="shared" si="47"/>
        <v>0.36923076923076925</v>
      </c>
      <c r="T256" s="36" t="str">
        <f t="shared" si="50"/>
        <v>Desempenho Bom</v>
      </c>
      <c r="U256" s="6">
        <f t="shared" si="59"/>
        <v>0.18401218302179842</v>
      </c>
      <c r="V256" s="6">
        <f t="shared" si="59"/>
        <v>0.37883088095577799</v>
      </c>
      <c r="W256" s="6">
        <f t="shared" si="59"/>
        <v>-1.0806514912181153E-2</v>
      </c>
      <c r="X256" s="6">
        <f t="shared" si="59"/>
        <v>8.6602834054808633E-2</v>
      </c>
      <c r="Y256" s="6">
        <f t="shared" si="59"/>
        <v>0.19481869793397957</v>
      </c>
    </row>
    <row r="257" spans="1:25" x14ac:dyDescent="0.25">
      <c r="A257" s="7" t="s">
        <v>55</v>
      </c>
      <c r="B257" s="7" t="s">
        <v>161</v>
      </c>
      <c r="C257" s="74">
        <v>68</v>
      </c>
      <c r="D257" s="74">
        <v>28</v>
      </c>
      <c r="E257" s="71">
        <f t="shared" si="46"/>
        <v>0.41176470588235292</v>
      </c>
      <c r="F257" s="65" t="str">
        <f t="shared" si="48"/>
        <v>Desempenho Bom</v>
      </c>
      <c r="G257" s="71">
        <f t="shared" si="52"/>
        <v>0.36222496935690102</v>
      </c>
      <c r="H257" s="71">
        <f t="shared" si="52"/>
        <v>0.67917151968337719</v>
      </c>
      <c r="I257" s="71">
        <f t="shared" si="52"/>
        <v>4.5278419030424844E-2</v>
      </c>
      <c r="J257" s="75">
        <v>55960</v>
      </c>
      <c r="K257" s="75">
        <v>4825</v>
      </c>
      <c r="L257" s="6">
        <f>(SUM(K254:K257))/J256</f>
        <v>0.42986061472480341</v>
      </c>
      <c r="M257" s="36" t="str">
        <f t="shared" si="49"/>
        <v>Desempenho Bom</v>
      </c>
      <c r="N257" s="6">
        <f t="shared" si="58"/>
        <v>0.2271654986777647</v>
      </c>
      <c r="O257" s="6">
        <f t="shared" si="58"/>
        <v>0.71582389712396544</v>
      </c>
      <c r="P257" s="6">
        <f t="shared" si="58"/>
        <v>-0.26149289976843598</v>
      </c>
      <c r="Q257" s="75">
        <v>65</v>
      </c>
      <c r="R257" s="76">
        <v>24</v>
      </c>
      <c r="S257" s="6">
        <f t="shared" si="47"/>
        <v>0.36923076923076925</v>
      </c>
      <c r="T257" s="36" t="str">
        <f t="shared" si="50"/>
        <v>Desempenho Bom</v>
      </c>
      <c r="U257" s="6">
        <f t="shared" si="59"/>
        <v>0.18401218302179842</v>
      </c>
      <c r="V257" s="6">
        <f t="shared" si="59"/>
        <v>0.37883088095577799</v>
      </c>
      <c r="W257" s="6">
        <f t="shared" si="59"/>
        <v>-1.0806514912181153E-2</v>
      </c>
      <c r="X257" s="6">
        <f t="shared" si="59"/>
        <v>8.6602834054808633E-2</v>
      </c>
      <c r="Y257" s="6">
        <f t="shared" si="59"/>
        <v>0.19481869793397957</v>
      </c>
    </row>
    <row r="258" spans="1:25" x14ac:dyDescent="0.25">
      <c r="A258" s="7" t="s">
        <v>55</v>
      </c>
      <c r="B258" s="7" t="s">
        <v>162</v>
      </c>
      <c r="C258" s="74">
        <v>68</v>
      </c>
      <c r="D258" s="74">
        <v>28</v>
      </c>
      <c r="E258" s="71">
        <f t="shared" ref="E258:E321" si="60">D258/C258</f>
        <v>0.41176470588235292</v>
      </c>
      <c r="F258" s="65" t="str">
        <f t="shared" si="48"/>
        <v>Desempenho Médio</v>
      </c>
      <c r="G258" s="71">
        <f t="shared" si="52"/>
        <v>0.44825178806664662</v>
      </c>
      <c r="H258" s="71">
        <f t="shared" si="52"/>
        <v>0.78548221403733831</v>
      </c>
      <c r="I258" s="71">
        <f t="shared" si="52"/>
        <v>0.11102136209595498</v>
      </c>
      <c r="J258" s="75">
        <v>55960</v>
      </c>
      <c r="K258" s="75">
        <v>400</v>
      </c>
      <c r="L258" s="6">
        <f>(SUM(K254:K258))/J257</f>
        <v>0.43700857755539674</v>
      </c>
      <c r="M258" s="36" t="str">
        <f t="shared" si="49"/>
        <v>Desempenho Bom</v>
      </c>
      <c r="N258" s="6">
        <f t="shared" si="58"/>
        <v>0.27284258705105507</v>
      </c>
      <c r="O258" s="6">
        <f t="shared" si="58"/>
        <v>0.75981161093062477</v>
      </c>
      <c r="P258" s="6">
        <f t="shared" si="58"/>
        <v>-0.21412643682851468</v>
      </c>
      <c r="Q258" s="75">
        <v>65</v>
      </c>
      <c r="R258" s="76">
        <v>24</v>
      </c>
      <c r="S258" s="6">
        <f t="shared" ref="S258:S321" si="61">R258/Q258</f>
        <v>0.36923076923076925</v>
      </c>
      <c r="T258" s="36" t="str">
        <f t="shared" si="50"/>
        <v>Desempenho Bom</v>
      </c>
      <c r="U258" s="6">
        <f t="shared" si="59"/>
        <v>0.23278475191631845</v>
      </c>
      <c r="V258" s="6">
        <f t="shared" si="59"/>
        <v>0.51017789992422413</v>
      </c>
      <c r="W258" s="6">
        <f t="shared" si="59"/>
        <v>-4.460839609158726E-2</v>
      </c>
      <c r="X258" s="6">
        <f t="shared" si="59"/>
        <v>9.4088177912365595E-2</v>
      </c>
      <c r="Y258" s="6">
        <f t="shared" si="59"/>
        <v>0.27739314800790571</v>
      </c>
    </row>
    <row r="259" spans="1:25" x14ac:dyDescent="0.25">
      <c r="A259" s="7" t="s">
        <v>55</v>
      </c>
      <c r="B259" s="7" t="s">
        <v>163</v>
      </c>
      <c r="C259" s="74">
        <v>68</v>
      </c>
      <c r="D259" s="74">
        <v>28</v>
      </c>
      <c r="E259" s="71">
        <f t="shared" si="60"/>
        <v>0.41176470588235292</v>
      </c>
      <c r="F259" s="65" t="str">
        <f t="shared" ref="F259:F322" si="62">IF(E259&gt;=H259,"Desempenho Ótimo",(IF(E259&gt;G259,"Desempenho Bom",(IF(E259&gt;I259,"Desempenho Médio",IF(E259&lt;=I259,"Desempenho Deficitário",0))))))</f>
        <v>Desempenho Médio</v>
      </c>
      <c r="G259" s="71">
        <f t="shared" si="52"/>
        <v>0.54231176602906361</v>
      </c>
      <c r="H259" s="71">
        <f t="shared" si="52"/>
        <v>0.92735502699565786</v>
      </c>
      <c r="I259" s="71">
        <f t="shared" si="52"/>
        <v>0.15726850506246942</v>
      </c>
      <c r="J259" s="75">
        <v>55960</v>
      </c>
      <c r="K259" s="75">
        <v>385</v>
      </c>
      <c r="L259" s="6">
        <f>(SUM(K254:K259))/J258</f>
        <v>0.44388849177984274</v>
      </c>
      <c r="M259" s="36" t="str">
        <f t="shared" ref="M259:M322" si="63">IF(L259&gt;=O259,"Desempenho Ótimo",(IF(L259&gt;N259,"Desempenho Bom",(IF(L259&gt;P259,"Desempenho Médio",IF(L259&lt;=P259,"Desempenho Deficitário",0))))))</f>
        <v>Desempenho Bom</v>
      </c>
      <c r="N259" s="6">
        <f t="shared" si="58"/>
        <v>0.31451673641638933</v>
      </c>
      <c r="O259" s="6">
        <f t="shared" si="58"/>
        <v>0.80702132782766356</v>
      </c>
      <c r="P259" s="6">
        <f t="shared" si="58"/>
        <v>-0.1779878549948849</v>
      </c>
      <c r="Q259" s="75">
        <v>65</v>
      </c>
      <c r="R259" s="76">
        <v>28</v>
      </c>
      <c r="S259" s="6">
        <f t="shared" si="61"/>
        <v>0.43076923076923079</v>
      </c>
      <c r="T259" s="36" t="str">
        <f t="shared" ref="T259:T322" si="64">IF(S259&gt;=V259,"Desempenho Ótimo",(IF(S259&gt;U259,"Desempenho Bom",(IF(S259&gt;W259,"Desempenho Médio",IF(S259&lt;=W259,"Desempenho Deficitário",0))))))</f>
        <v>Desempenho Médio</v>
      </c>
      <c r="U259" s="6">
        <f t="shared" si="59"/>
        <v>0.46105014853915682</v>
      </c>
      <c r="V259" s="6">
        <f t="shared" si="59"/>
        <v>0.84756736419379908</v>
      </c>
      <c r="W259" s="6">
        <f t="shared" si="59"/>
        <v>7.4532932884514569E-2</v>
      </c>
      <c r="X259" s="6">
        <f t="shared" si="59"/>
        <v>7.4532932884514569E-2</v>
      </c>
      <c r="Y259" s="6">
        <f t="shared" si="59"/>
        <v>0.38651721565464225</v>
      </c>
    </row>
    <row r="260" spans="1:25" x14ac:dyDescent="0.25">
      <c r="A260" s="7" t="s">
        <v>55</v>
      </c>
      <c r="B260" s="7" t="s">
        <v>164</v>
      </c>
      <c r="C260" s="74">
        <v>68</v>
      </c>
      <c r="D260" s="74">
        <v>56</v>
      </c>
      <c r="E260" s="71">
        <f t="shared" si="60"/>
        <v>0.82352941176470584</v>
      </c>
      <c r="F260" s="65" t="str">
        <f t="shared" si="62"/>
        <v>Desempenho Bom</v>
      </c>
      <c r="G260" s="71">
        <f t="shared" si="52"/>
        <v>0.63634637719050002</v>
      </c>
      <c r="H260" s="71">
        <f t="shared" si="52"/>
        <v>1.0512878703900039</v>
      </c>
      <c r="I260" s="71">
        <f t="shared" si="52"/>
        <v>0.22140488399099606</v>
      </c>
      <c r="J260" s="75">
        <v>55960</v>
      </c>
      <c r="K260" s="75">
        <v>11555</v>
      </c>
      <c r="L260" s="6">
        <f>(SUM(K254:K260))/J259</f>
        <v>0.65037526804860613</v>
      </c>
      <c r="M260" s="36" t="str">
        <f t="shared" si="63"/>
        <v>Desempenho Bom</v>
      </c>
      <c r="N260" s="6">
        <f t="shared" si="58"/>
        <v>0.38334713342809434</v>
      </c>
      <c r="O260" s="6">
        <f t="shared" si="58"/>
        <v>0.88375935483946089</v>
      </c>
      <c r="P260" s="6">
        <f t="shared" si="58"/>
        <v>-0.1170650879832722</v>
      </c>
      <c r="Q260" s="75">
        <v>65</v>
      </c>
      <c r="R260" s="76">
        <v>28</v>
      </c>
      <c r="S260" s="6">
        <f t="shared" si="61"/>
        <v>0.43076923076923079</v>
      </c>
      <c r="T260" s="36" t="str">
        <f t="shared" si="64"/>
        <v>Desempenho Médio</v>
      </c>
      <c r="U260" s="6">
        <f t="shared" si="59"/>
        <v>0.46105014853915682</v>
      </c>
      <c r="V260" s="6">
        <f t="shared" si="59"/>
        <v>0.84756736419379908</v>
      </c>
      <c r="W260" s="6">
        <f t="shared" si="59"/>
        <v>7.4532932884514569E-2</v>
      </c>
      <c r="X260" s="6">
        <f t="shared" si="59"/>
        <v>7.4532932884514569E-2</v>
      </c>
      <c r="Y260" s="6">
        <f t="shared" si="59"/>
        <v>0.38651721565464225</v>
      </c>
    </row>
    <row r="261" spans="1:25" x14ac:dyDescent="0.25">
      <c r="A261" s="7" t="s">
        <v>55</v>
      </c>
      <c r="B261" s="7" t="s">
        <v>165</v>
      </c>
      <c r="C261" s="74">
        <v>68</v>
      </c>
      <c r="D261" s="74">
        <v>59</v>
      </c>
      <c r="E261" s="71">
        <f t="shared" si="60"/>
        <v>0.86764705882352944</v>
      </c>
      <c r="F261" s="65" t="str">
        <f t="shared" si="62"/>
        <v>Desempenho Bom</v>
      </c>
      <c r="G261" s="71">
        <f t="shared" si="52"/>
        <v>0.70660866675940681</v>
      </c>
      <c r="H261" s="71">
        <f t="shared" si="52"/>
        <v>1.1341225514190425</v>
      </c>
      <c r="I261" s="71">
        <f t="shared" si="52"/>
        <v>0.27909478209977112</v>
      </c>
      <c r="J261" s="75">
        <v>55960</v>
      </c>
      <c r="K261" s="75">
        <v>2280</v>
      </c>
      <c r="L261" s="6">
        <f>(SUM(K254:K261))/J260</f>
        <v>0.69111865618298784</v>
      </c>
      <c r="M261" s="36" t="str">
        <f t="shared" si="63"/>
        <v>Desempenho Bom</v>
      </c>
      <c r="N261" s="6">
        <f t="shared" si="58"/>
        <v>0.45719521320533213</v>
      </c>
      <c r="O261" s="6">
        <f t="shared" si="58"/>
        <v>0.97356755068321044</v>
      </c>
      <c r="P261" s="6">
        <f t="shared" si="58"/>
        <v>-5.9177124272546122E-2</v>
      </c>
      <c r="Q261" s="75">
        <v>65</v>
      </c>
      <c r="R261" s="76">
        <v>28</v>
      </c>
      <c r="S261" s="6">
        <f t="shared" si="61"/>
        <v>0.43076923076923079</v>
      </c>
      <c r="T261" s="36" t="str">
        <f t="shared" si="64"/>
        <v>Desempenho Médio</v>
      </c>
      <c r="U261" s="6">
        <f t="shared" si="59"/>
        <v>0.46105014853915682</v>
      </c>
      <c r="V261" s="6">
        <f t="shared" si="59"/>
        <v>0.84756736419379908</v>
      </c>
      <c r="W261" s="6">
        <f t="shared" si="59"/>
        <v>7.4532932884514569E-2</v>
      </c>
      <c r="X261" s="6">
        <f t="shared" si="59"/>
        <v>7.4532932884514569E-2</v>
      </c>
      <c r="Y261" s="6">
        <f t="shared" si="59"/>
        <v>0.38651721565464225</v>
      </c>
    </row>
    <row r="262" spans="1:25" x14ac:dyDescent="0.25">
      <c r="A262" s="7" t="s">
        <v>55</v>
      </c>
      <c r="B262" s="7" t="s">
        <v>166</v>
      </c>
      <c r="C262" s="74">
        <v>68</v>
      </c>
      <c r="D262" s="74">
        <v>59</v>
      </c>
      <c r="E262" s="71">
        <f t="shared" si="60"/>
        <v>0.86764705882352944</v>
      </c>
      <c r="F262" s="65" t="str">
        <f t="shared" si="62"/>
        <v>Desempenho Bom</v>
      </c>
      <c r="G262" s="71">
        <f t="shared" si="52"/>
        <v>0.73663014244586189</v>
      </c>
      <c r="H262" s="71">
        <f t="shared" si="52"/>
        <v>1.1737360935948695</v>
      </c>
      <c r="I262" s="71">
        <f t="shared" si="52"/>
        <v>0.29952419129685426</v>
      </c>
      <c r="J262" s="75">
        <v>55960</v>
      </c>
      <c r="K262" s="75">
        <v>3955</v>
      </c>
      <c r="L262" s="6">
        <f>(SUM(K254:K262))/J261</f>
        <v>0.76179413867047896</v>
      </c>
      <c r="M262" s="36" t="str">
        <f t="shared" si="63"/>
        <v>Desempenho Bom</v>
      </c>
      <c r="N262" s="6">
        <f t="shared" ref="N262:P277" si="65">N250</f>
        <v>0.50336729135060976</v>
      </c>
      <c r="O262" s="6">
        <f t="shared" si="65"/>
        <v>1.0150591886201059</v>
      </c>
      <c r="P262" s="6">
        <f t="shared" si="65"/>
        <v>-8.3246059188863963E-3</v>
      </c>
      <c r="Q262" s="75">
        <v>65</v>
      </c>
      <c r="R262" s="76">
        <v>47</v>
      </c>
      <c r="S262" s="6">
        <f t="shared" si="61"/>
        <v>0.72307692307692306</v>
      </c>
      <c r="T262" s="36" t="str">
        <f t="shared" si="64"/>
        <v>Desempenho Médio</v>
      </c>
      <c r="U262" s="6">
        <f t="shared" si="59"/>
        <v>0.74232771533595698</v>
      </c>
      <c r="V262" s="6">
        <f t="shared" si="59"/>
        <v>1.1540802341555996</v>
      </c>
      <c r="W262" s="6">
        <f t="shared" si="59"/>
        <v>0.33057519651631434</v>
      </c>
      <c r="X262" s="6">
        <f t="shared" si="59"/>
        <v>0.33057519651631434</v>
      </c>
      <c r="Y262" s="6">
        <f t="shared" si="59"/>
        <v>0.41175251881964264</v>
      </c>
    </row>
    <row r="263" spans="1:25" x14ac:dyDescent="0.25">
      <c r="A263" s="7" t="s">
        <v>55</v>
      </c>
      <c r="B263" s="7" t="s">
        <v>167</v>
      </c>
      <c r="C263" s="74">
        <v>68</v>
      </c>
      <c r="D263" s="74">
        <v>59</v>
      </c>
      <c r="E263" s="71">
        <f t="shared" si="60"/>
        <v>0.86764705882352944</v>
      </c>
      <c r="F263" s="65" t="str">
        <f t="shared" si="62"/>
        <v>Desempenho Bom</v>
      </c>
      <c r="G263" s="71">
        <f t="shared" si="52"/>
        <v>0.82061442726694189</v>
      </c>
      <c r="H263" s="71">
        <f t="shared" si="52"/>
        <v>1.2607833515834532</v>
      </c>
      <c r="I263" s="71">
        <f t="shared" si="52"/>
        <v>0.38044550295043061</v>
      </c>
      <c r="J263" s="75">
        <v>55960</v>
      </c>
      <c r="K263" s="75">
        <v>1235</v>
      </c>
      <c r="L263" s="6">
        <f>(SUM(K254:K263))/J262</f>
        <v>0.78386347390993572</v>
      </c>
      <c r="M263" s="36" t="str">
        <f t="shared" si="63"/>
        <v>Desempenho Bom</v>
      </c>
      <c r="N263" s="6">
        <f t="shared" si="65"/>
        <v>0.58006775555216661</v>
      </c>
      <c r="O263" s="6">
        <f t="shared" si="65"/>
        <v>1.099948635873619</v>
      </c>
      <c r="P263" s="6">
        <f t="shared" si="65"/>
        <v>6.0186875230714088E-2</v>
      </c>
      <c r="Q263" s="75">
        <v>65</v>
      </c>
      <c r="R263" s="76">
        <v>71</v>
      </c>
      <c r="S263" s="6">
        <f t="shared" si="61"/>
        <v>1.0923076923076922</v>
      </c>
      <c r="T263" s="36" t="str">
        <f t="shared" si="64"/>
        <v>Desempenho Bom</v>
      </c>
      <c r="U263" s="6">
        <f t="shared" si="59"/>
        <v>0.82347447721763523</v>
      </c>
      <c r="V263" s="6">
        <f t="shared" si="59"/>
        <v>1.2398542522675045</v>
      </c>
      <c r="W263" s="6">
        <f t="shared" si="59"/>
        <v>0.40709470216776611</v>
      </c>
      <c r="X263" s="6">
        <f t="shared" si="59"/>
        <v>0.40709470216776611</v>
      </c>
      <c r="Y263" s="6">
        <f t="shared" si="59"/>
        <v>0.41637977504986912</v>
      </c>
    </row>
    <row r="264" spans="1:25" x14ac:dyDescent="0.25">
      <c r="A264" s="7" t="s">
        <v>55</v>
      </c>
      <c r="B264" s="7" t="s">
        <v>168</v>
      </c>
      <c r="C264" s="74">
        <v>68</v>
      </c>
      <c r="D264" s="74">
        <v>71</v>
      </c>
      <c r="E264" s="71">
        <f t="shared" si="60"/>
        <v>1.0441176470588236</v>
      </c>
      <c r="F264" s="65" t="str">
        <f t="shared" si="62"/>
        <v>Desempenho Bom</v>
      </c>
      <c r="G264" s="71">
        <f t="shared" si="52"/>
        <v>0.94582556715526966</v>
      </c>
      <c r="H264" s="71">
        <f t="shared" si="52"/>
        <v>1.4311117173682604</v>
      </c>
      <c r="I264" s="71">
        <f t="shared" si="52"/>
        <v>0.46053941694227907</v>
      </c>
      <c r="J264" s="75">
        <v>55960</v>
      </c>
      <c r="K264" s="75">
        <v>11500</v>
      </c>
      <c r="L264" s="6">
        <f>(SUM(K254:K264))/J263</f>
        <v>0.98936740528949252</v>
      </c>
      <c r="M264" s="36" t="str">
        <f t="shared" si="63"/>
        <v>Desempenho Bom</v>
      </c>
      <c r="N264" s="6">
        <f t="shared" si="65"/>
        <v>0.72282137340514951</v>
      </c>
      <c r="O264" s="6">
        <f t="shared" si="65"/>
        <v>1.2463651595014014</v>
      </c>
      <c r="P264" s="6">
        <f t="shared" si="65"/>
        <v>0.19927758730889755</v>
      </c>
      <c r="Q264" s="75">
        <v>65</v>
      </c>
      <c r="R264" s="76">
        <v>71</v>
      </c>
      <c r="S264" s="6">
        <f t="shared" si="61"/>
        <v>1.0923076923076922</v>
      </c>
      <c r="T264" s="36" t="str">
        <f t="shared" si="64"/>
        <v>Desempenho Bom</v>
      </c>
      <c r="U264" s="6">
        <f t="shared" si="59"/>
        <v>0.91825333306001944</v>
      </c>
      <c r="V264" s="6">
        <f t="shared" si="59"/>
        <v>1.402047931898428</v>
      </c>
      <c r="W264" s="6">
        <f t="shared" si="59"/>
        <v>0.43445873422161085</v>
      </c>
      <c r="X264" s="6">
        <f t="shared" si="59"/>
        <v>0.43445873422161085</v>
      </c>
      <c r="Y264" s="6">
        <f t="shared" si="59"/>
        <v>0.48379459883840858</v>
      </c>
    </row>
    <row r="265" spans="1:25" x14ac:dyDescent="0.25">
      <c r="A265" s="7" t="s">
        <v>55</v>
      </c>
      <c r="B265" s="7" t="s">
        <v>169</v>
      </c>
      <c r="C265" s="74">
        <v>68</v>
      </c>
      <c r="D265" s="74">
        <v>74</v>
      </c>
      <c r="E265" s="71">
        <f t="shared" si="60"/>
        <v>1.088235294117647</v>
      </c>
      <c r="F265" s="65" t="str">
        <f t="shared" si="62"/>
        <v>Desempenho Bom</v>
      </c>
      <c r="G265" s="71">
        <f t="shared" si="52"/>
        <v>1.0016849877757958</v>
      </c>
      <c r="H265" s="71">
        <f t="shared" si="52"/>
        <v>1.521489991464148</v>
      </c>
      <c r="I265" s="71">
        <f t="shared" si="52"/>
        <v>0.48187998408744359</v>
      </c>
      <c r="J265" s="75">
        <v>55960</v>
      </c>
      <c r="K265" s="75">
        <v>720</v>
      </c>
      <c r="L265" s="6">
        <f>(SUM(K254:K265))/J264</f>
        <v>1.0022337383845603</v>
      </c>
      <c r="M265" s="36" t="str">
        <f t="shared" si="63"/>
        <v>Desempenho Bom</v>
      </c>
      <c r="N265" s="6">
        <f t="shared" si="65"/>
        <v>0.82421983567812696</v>
      </c>
      <c r="O265" s="6">
        <f t="shared" si="65"/>
        <v>1.3730394926064369</v>
      </c>
      <c r="P265" s="6">
        <f t="shared" si="65"/>
        <v>0.27540017874981693</v>
      </c>
      <c r="Q265" s="75">
        <v>65</v>
      </c>
      <c r="R265" s="76">
        <v>71</v>
      </c>
      <c r="S265" s="6">
        <f t="shared" si="61"/>
        <v>1.0923076923076922</v>
      </c>
      <c r="T265" s="36" t="str">
        <f t="shared" si="64"/>
        <v>Desempenho Bom</v>
      </c>
      <c r="U265" s="6">
        <f t="shared" si="59"/>
        <v>0.91825333306001944</v>
      </c>
      <c r="V265" s="6">
        <f t="shared" si="59"/>
        <v>1.402047931898428</v>
      </c>
      <c r="W265" s="6">
        <f t="shared" si="59"/>
        <v>0.43445873422161085</v>
      </c>
      <c r="X265" s="6">
        <f t="shared" si="59"/>
        <v>0.43445873422161085</v>
      </c>
      <c r="Y265" s="6">
        <f t="shared" si="59"/>
        <v>0.48379459883840858</v>
      </c>
    </row>
    <row r="266" spans="1:25" x14ac:dyDescent="0.25">
      <c r="A266" s="7" t="s">
        <v>154</v>
      </c>
      <c r="B266" s="7" t="s">
        <v>158</v>
      </c>
      <c r="C266" s="74">
        <v>0</v>
      </c>
      <c r="D266" s="74">
        <v>0</v>
      </c>
      <c r="E266" s="71" t="e">
        <f t="shared" si="60"/>
        <v>#DIV/0!</v>
      </c>
      <c r="F266" s="65" t="e">
        <f t="shared" si="62"/>
        <v>#DIV/0!</v>
      </c>
      <c r="G266" s="71">
        <f t="shared" si="52"/>
        <v>0.11573204891712785</v>
      </c>
      <c r="H266" s="71">
        <f t="shared" si="52"/>
        <v>0.30218524997148988</v>
      </c>
      <c r="I266" s="71">
        <f t="shared" si="52"/>
        <v>-7.0721152137234206E-2</v>
      </c>
      <c r="J266" s="75">
        <v>0</v>
      </c>
      <c r="K266" s="75">
        <v>0</v>
      </c>
      <c r="L266" s="6" t="e">
        <f>K266/J266</f>
        <v>#DIV/0!</v>
      </c>
      <c r="M266" s="36" t="e">
        <f t="shared" si="63"/>
        <v>#DIV/0!</v>
      </c>
      <c r="N266" s="6">
        <f t="shared" si="65"/>
        <v>0.11129468122233216</v>
      </c>
      <c r="O266" s="6">
        <f t="shared" si="65"/>
        <v>0.54990456699293522</v>
      </c>
      <c r="P266" s="6">
        <f t="shared" si="65"/>
        <v>-0.32731520454827095</v>
      </c>
      <c r="Q266" s="75">
        <v>0</v>
      </c>
      <c r="R266" s="76">
        <v>0</v>
      </c>
      <c r="S266" s="6" t="e">
        <f t="shared" si="61"/>
        <v>#DIV/0!</v>
      </c>
      <c r="T266" s="36" t="e">
        <f t="shared" si="64"/>
        <v>#DIV/0!</v>
      </c>
      <c r="U266" s="6">
        <f t="shared" si="59"/>
        <v>6.5053670194766225E-2</v>
      </c>
      <c r="V266" s="6">
        <f t="shared" si="59"/>
        <v>0.16010348962314203</v>
      </c>
      <c r="W266" s="6">
        <f t="shared" si="59"/>
        <v>-2.9996149233609562E-2</v>
      </c>
      <c r="X266" s="6">
        <f t="shared" si="59"/>
        <v>1.7528760480578331E-2</v>
      </c>
      <c r="Y266" s="6">
        <f t="shared" si="59"/>
        <v>9.5049819428375787E-2</v>
      </c>
    </row>
    <row r="267" spans="1:25" x14ac:dyDescent="0.25">
      <c r="A267" s="7" t="s">
        <v>154</v>
      </c>
      <c r="B267" s="7" t="s">
        <v>159</v>
      </c>
      <c r="C267" s="74">
        <v>0</v>
      </c>
      <c r="D267" s="74">
        <v>0</v>
      </c>
      <c r="E267" s="71" t="e">
        <f t="shared" si="60"/>
        <v>#DIV/0!</v>
      </c>
      <c r="F267" s="65" t="e">
        <f t="shared" si="62"/>
        <v>#DIV/0!</v>
      </c>
      <c r="G267" s="71">
        <f t="shared" si="52"/>
        <v>0.22598075676513599</v>
      </c>
      <c r="H267" s="71">
        <f t="shared" si="52"/>
        <v>0.51894873552035481</v>
      </c>
      <c r="I267" s="71">
        <f t="shared" si="52"/>
        <v>-6.6987221990082807E-2</v>
      </c>
      <c r="J267" s="75">
        <v>0</v>
      </c>
      <c r="K267" s="75">
        <v>0</v>
      </c>
      <c r="L267" s="6" t="e">
        <f>(SUM(K266:K267))/J266</f>
        <v>#DIV/0!</v>
      </c>
      <c r="M267" s="36" t="e">
        <f t="shared" si="63"/>
        <v>#DIV/0!</v>
      </c>
      <c r="N267" s="6">
        <f t="shared" si="65"/>
        <v>0.14992070801509372</v>
      </c>
      <c r="O267" s="6">
        <f t="shared" si="65"/>
        <v>0.58968599072326611</v>
      </c>
      <c r="P267" s="6">
        <f t="shared" si="65"/>
        <v>-0.28984457469307867</v>
      </c>
      <c r="Q267" s="75">
        <v>0</v>
      </c>
      <c r="R267" s="76">
        <v>0</v>
      </c>
      <c r="S267" s="6" t="e">
        <f t="shared" si="61"/>
        <v>#DIV/0!</v>
      </c>
      <c r="T267" s="36" t="e">
        <f t="shared" si="64"/>
        <v>#DIV/0!</v>
      </c>
      <c r="U267" s="6">
        <f t="shared" si="59"/>
        <v>6.5053670194766225E-2</v>
      </c>
      <c r="V267" s="6">
        <f t="shared" si="59"/>
        <v>0.16010348962314203</v>
      </c>
      <c r="W267" s="6">
        <f t="shared" si="59"/>
        <v>-2.9996149233609562E-2</v>
      </c>
      <c r="X267" s="6">
        <f t="shared" si="59"/>
        <v>1.7528760480578331E-2</v>
      </c>
      <c r="Y267" s="6">
        <f t="shared" si="59"/>
        <v>9.5049819428375787E-2</v>
      </c>
    </row>
    <row r="268" spans="1:25" x14ac:dyDescent="0.25">
      <c r="A268" s="7" t="s">
        <v>154</v>
      </c>
      <c r="B268" s="7" t="s">
        <v>160</v>
      </c>
      <c r="C268" s="74">
        <v>0</v>
      </c>
      <c r="D268" s="74">
        <v>0</v>
      </c>
      <c r="E268" s="71" t="e">
        <f t="shared" si="60"/>
        <v>#DIV/0!</v>
      </c>
      <c r="F268" s="65" t="e">
        <f t="shared" si="62"/>
        <v>#DIV/0!</v>
      </c>
      <c r="G268" s="71">
        <f t="shared" si="52"/>
        <v>0.2827891266215985</v>
      </c>
      <c r="H268" s="71">
        <f t="shared" si="52"/>
        <v>0.59134445337262298</v>
      </c>
      <c r="I268" s="71">
        <f t="shared" si="52"/>
        <v>-2.5766200129425987E-2</v>
      </c>
      <c r="J268" s="75">
        <v>0</v>
      </c>
      <c r="K268" s="75">
        <v>0</v>
      </c>
      <c r="L268" s="6" t="e">
        <f>(SUM(K266:K268))/J267</f>
        <v>#DIV/0!</v>
      </c>
      <c r="M268" s="36" t="e">
        <f t="shared" si="63"/>
        <v>#DIV/0!</v>
      </c>
      <c r="N268" s="6">
        <f t="shared" si="65"/>
        <v>0.17723994755342617</v>
      </c>
      <c r="O268" s="6">
        <f t="shared" si="65"/>
        <v>0.61473682715667155</v>
      </c>
      <c r="P268" s="6">
        <f t="shared" si="65"/>
        <v>-0.26025693204981915</v>
      </c>
      <c r="Q268" s="75">
        <v>0</v>
      </c>
      <c r="R268" s="76">
        <v>0</v>
      </c>
      <c r="S268" s="6" t="e">
        <f t="shared" si="61"/>
        <v>#DIV/0!</v>
      </c>
      <c r="T268" s="36" t="e">
        <f t="shared" si="64"/>
        <v>#DIV/0!</v>
      </c>
      <c r="U268" s="6">
        <f t="shared" si="59"/>
        <v>0.18401218302179842</v>
      </c>
      <c r="V268" s="6">
        <f t="shared" si="59"/>
        <v>0.37883088095577799</v>
      </c>
      <c r="W268" s="6">
        <f t="shared" si="59"/>
        <v>-1.0806514912181153E-2</v>
      </c>
      <c r="X268" s="6">
        <f t="shared" si="59"/>
        <v>8.6602834054808633E-2</v>
      </c>
      <c r="Y268" s="6">
        <f t="shared" si="59"/>
        <v>0.19481869793397957</v>
      </c>
    </row>
    <row r="269" spans="1:25" x14ac:dyDescent="0.25">
      <c r="A269" s="7" t="s">
        <v>154</v>
      </c>
      <c r="B269" s="7" t="s">
        <v>161</v>
      </c>
      <c r="C269" s="74">
        <v>0</v>
      </c>
      <c r="D269" s="74">
        <v>0</v>
      </c>
      <c r="E269" s="71" t="e">
        <f t="shared" si="60"/>
        <v>#DIV/0!</v>
      </c>
      <c r="F269" s="65" t="e">
        <f t="shared" si="62"/>
        <v>#DIV/0!</v>
      </c>
      <c r="G269" s="71">
        <f t="shared" si="52"/>
        <v>0.36222496935690102</v>
      </c>
      <c r="H269" s="71">
        <f t="shared" si="52"/>
        <v>0.67917151968337719</v>
      </c>
      <c r="I269" s="71">
        <f t="shared" si="52"/>
        <v>4.5278419030424844E-2</v>
      </c>
      <c r="J269" s="75">
        <v>0</v>
      </c>
      <c r="K269" s="75">
        <v>0</v>
      </c>
      <c r="L269" s="6" t="e">
        <f>(SUM(K266:K269))/J268</f>
        <v>#DIV/0!</v>
      </c>
      <c r="M269" s="36" t="e">
        <f t="shared" si="63"/>
        <v>#DIV/0!</v>
      </c>
      <c r="N269" s="6">
        <f t="shared" si="65"/>
        <v>0.2271654986777647</v>
      </c>
      <c r="O269" s="6">
        <f t="shared" si="65"/>
        <v>0.71582389712396544</v>
      </c>
      <c r="P269" s="6">
        <f t="shared" si="65"/>
        <v>-0.26149289976843598</v>
      </c>
      <c r="Q269" s="75">
        <v>0</v>
      </c>
      <c r="R269" s="76">
        <v>0</v>
      </c>
      <c r="S269" s="6" t="e">
        <f t="shared" si="61"/>
        <v>#DIV/0!</v>
      </c>
      <c r="T269" s="36" t="e">
        <f t="shared" si="64"/>
        <v>#DIV/0!</v>
      </c>
      <c r="U269" s="6">
        <f t="shared" si="59"/>
        <v>0.18401218302179842</v>
      </c>
      <c r="V269" s="6">
        <f t="shared" si="59"/>
        <v>0.37883088095577799</v>
      </c>
      <c r="W269" s="6">
        <f t="shared" si="59"/>
        <v>-1.0806514912181153E-2</v>
      </c>
      <c r="X269" s="6">
        <f t="shared" si="59"/>
        <v>8.6602834054808633E-2</v>
      </c>
      <c r="Y269" s="6">
        <f t="shared" si="59"/>
        <v>0.19481869793397957</v>
      </c>
    </row>
    <row r="270" spans="1:25" x14ac:dyDescent="0.25">
      <c r="A270" s="7" t="s">
        <v>154</v>
      </c>
      <c r="B270" s="7" t="s">
        <v>162</v>
      </c>
      <c r="C270" s="74">
        <v>0</v>
      </c>
      <c r="D270" s="74">
        <v>0</v>
      </c>
      <c r="E270" s="71" t="e">
        <f t="shared" si="60"/>
        <v>#DIV/0!</v>
      </c>
      <c r="F270" s="65" t="e">
        <f t="shared" si="62"/>
        <v>#DIV/0!</v>
      </c>
      <c r="G270" s="71">
        <f t="shared" si="52"/>
        <v>0.44825178806664662</v>
      </c>
      <c r="H270" s="71">
        <f t="shared" si="52"/>
        <v>0.78548221403733831</v>
      </c>
      <c r="I270" s="71">
        <f t="shared" si="52"/>
        <v>0.11102136209595498</v>
      </c>
      <c r="J270" s="75">
        <v>0</v>
      </c>
      <c r="K270" s="75">
        <v>0</v>
      </c>
      <c r="L270" s="6" t="e">
        <f>(SUM(K266:K270))/J269</f>
        <v>#DIV/0!</v>
      </c>
      <c r="M270" s="36" t="e">
        <f t="shared" si="63"/>
        <v>#DIV/0!</v>
      </c>
      <c r="N270" s="6">
        <f t="shared" si="65"/>
        <v>0.27284258705105507</v>
      </c>
      <c r="O270" s="6">
        <f t="shared" si="65"/>
        <v>0.75981161093062477</v>
      </c>
      <c r="P270" s="6">
        <f t="shared" si="65"/>
        <v>-0.21412643682851468</v>
      </c>
      <c r="Q270" s="75">
        <v>0</v>
      </c>
      <c r="R270" s="76">
        <v>0</v>
      </c>
      <c r="S270" s="6" t="e">
        <f t="shared" si="61"/>
        <v>#DIV/0!</v>
      </c>
      <c r="T270" s="36" t="e">
        <f t="shared" si="64"/>
        <v>#DIV/0!</v>
      </c>
      <c r="U270" s="6">
        <f t="shared" si="59"/>
        <v>0.23278475191631845</v>
      </c>
      <c r="V270" s="6">
        <f t="shared" si="59"/>
        <v>0.51017789992422413</v>
      </c>
      <c r="W270" s="6">
        <f t="shared" si="59"/>
        <v>-4.460839609158726E-2</v>
      </c>
      <c r="X270" s="6">
        <f t="shared" si="59"/>
        <v>9.4088177912365595E-2</v>
      </c>
      <c r="Y270" s="6">
        <f t="shared" si="59"/>
        <v>0.27739314800790571</v>
      </c>
    </row>
    <row r="271" spans="1:25" x14ac:dyDescent="0.25">
      <c r="A271" s="7" t="s">
        <v>154</v>
      </c>
      <c r="B271" s="7" t="s">
        <v>163</v>
      </c>
      <c r="C271" s="74">
        <v>0</v>
      </c>
      <c r="D271" s="74">
        <v>0</v>
      </c>
      <c r="E271" s="71" t="e">
        <f t="shared" si="60"/>
        <v>#DIV/0!</v>
      </c>
      <c r="F271" s="65" t="e">
        <f t="shared" si="62"/>
        <v>#DIV/0!</v>
      </c>
      <c r="G271" s="71">
        <f t="shared" ref="G271:I334" si="66">G259</f>
        <v>0.54231176602906361</v>
      </c>
      <c r="H271" s="71">
        <f t="shared" si="66"/>
        <v>0.92735502699565786</v>
      </c>
      <c r="I271" s="71">
        <f t="shared" si="66"/>
        <v>0.15726850506246942</v>
      </c>
      <c r="J271" s="75">
        <v>0</v>
      </c>
      <c r="K271" s="75">
        <v>0</v>
      </c>
      <c r="L271" s="6" t="e">
        <f>(SUM(K266:K271))/J270</f>
        <v>#DIV/0!</v>
      </c>
      <c r="M271" s="36" t="e">
        <f t="shared" si="63"/>
        <v>#DIV/0!</v>
      </c>
      <c r="N271" s="6">
        <f t="shared" si="65"/>
        <v>0.31451673641638933</v>
      </c>
      <c r="O271" s="6">
        <f t="shared" si="65"/>
        <v>0.80702132782766356</v>
      </c>
      <c r="P271" s="6">
        <f t="shared" si="65"/>
        <v>-0.1779878549948849</v>
      </c>
      <c r="Q271" s="75">
        <v>0</v>
      </c>
      <c r="R271" s="76">
        <v>0</v>
      </c>
      <c r="S271" s="6" t="e">
        <f t="shared" si="61"/>
        <v>#DIV/0!</v>
      </c>
      <c r="T271" s="36" t="e">
        <f t="shared" si="64"/>
        <v>#DIV/0!</v>
      </c>
      <c r="U271" s="6">
        <f t="shared" ref="U271:Y286" si="67">U259</f>
        <v>0.46105014853915682</v>
      </c>
      <c r="V271" s="6">
        <f t="shared" si="67"/>
        <v>0.84756736419379908</v>
      </c>
      <c r="W271" s="6">
        <f t="shared" si="67"/>
        <v>7.4532932884514569E-2</v>
      </c>
      <c r="X271" s="6">
        <f t="shared" si="67"/>
        <v>7.4532932884514569E-2</v>
      </c>
      <c r="Y271" s="6">
        <f t="shared" si="67"/>
        <v>0.38651721565464225</v>
      </c>
    </row>
    <row r="272" spans="1:25" x14ac:dyDescent="0.25">
      <c r="A272" s="7" t="s">
        <v>154</v>
      </c>
      <c r="B272" s="7" t="s">
        <v>164</v>
      </c>
      <c r="C272" s="74">
        <v>0</v>
      </c>
      <c r="D272" s="74">
        <v>0</v>
      </c>
      <c r="E272" s="71" t="e">
        <f t="shared" si="60"/>
        <v>#DIV/0!</v>
      </c>
      <c r="F272" s="65" t="e">
        <f t="shared" si="62"/>
        <v>#DIV/0!</v>
      </c>
      <c r="G272" s="71">
        <f t="shared" si="66"/>
        <v>0.63634637719050002</v>
      </c>
      <c r="H272" s="71">
        <f t="shared" si="66"/>
        <v>1.0512878703900039</v>
      </c>
      <c r="I272" s="71">
        <f t="shared" si="66"/>
        <v>0.22140488399099606</v>
      </c>
      <c r="J272" s="75">
        <v>0</v>
      </c>
      <c r="K272" s="75">
        <v>0</v>
      </c>
      <c r="L272" s="6" t="e">
        <f>(SUM(K266:K272))/J271</f>
        <v>#DIV/0!</v>
      </c>
      <c r="M272" s="36" t="e">
        <f t="shared" si="63"/>
        <v>#DIV/0!</v>
      </c>
      <c r="N272" s="6">
        <f t="shared" si="65"/>
        <v>0.38334713342809434</v>
      </c>
      <c r="O272" s="6">
        <f t="shared" si="65"/>
        <v>0.88375935483946089</v>
      </c>
      <c r="P272" s="6">
        <f t="shared" si="65"/>
        <v>-0.1170650879832722</v>
      </c>
      <c r="Q272" s="75">
        <v>0</v>
      </c>
      <c r="R272" s="76">
        <v>0</v>
      </c>
      <c r="S272" s="6" t="e">
        <f t="shared" si="61"/>
        <v>#DIV/0!</v>
      </c>
      <c r="T272" s="36" t="e">
        <f t="shared" si="64"/>
        <v>#DIV/0!</v>
      </c>
      <c r="U272" s="6">
        <f t="shared" si="67"/>
        <v>0.46105014853915682</v>
      </c>
      <c r="V272" s="6">
        <f t="shared" si="67"/>
        <v>0.84756736419379908</v>
      </c>
      <c r="W272" s="6">
        <f t="shared" si="67"/>
        <v>7.4532932884514569E-2</v>
      </c>
      <c r="X272" s="6">
        <f t="shared" si="67"/>
        <v>7.4532932884514569E-2</v>
      </c>
      <c r="Y272" s="6">
        <f t="shared" si="67"/>
        <v>0.38651721565464225</v>
      </c>
    </row>
    <row r="273" spans="1:25" x14ac:dyDescent="0.25">
      <c r="A273" s="7" t="s">
        <v>154</v>
      </c>
      <c r="B273" s="7" t="s">
        <v>165</v>
      </c>
      <c r="C273" s="74">
        <v>0</v>
      </c>
      <c r="D273" s="74">
        <v>0</v>
      </c>
      <c r="E273" s="71" t="e">
        <f t="shared" si="60"/>
        <v>#DIV/0!</v>
      </c>
      <c r="F273" s="65" t="e">
        <f t="shared" si="62"/>
        <v>#DIV/0!</v>
      </c>
      <c r="G273" s="71">
        <f t="shared" si="66"/>
        <v>0.70660866675940681</v>
      </c>
      <c r="H273" s="71">
        <f t="shared" si="66"/>
        <v>1.1341225514190425</v>
      </c>
      <c r="I273" s="71">
        <f t="shared" si="66"/>
        <v>0.27909478209977112</v>
      </c>
      <c r="J273" s="75">
        <v>0</v>
      </c>
      <c r="K273" s="75">
        <v>0</v>
      </c>
      <c r="L273" s="6" t="e">
        <f>(SUM(K266:K273))/J272</f>
        <v>#DIV/0!</v>
      </c>
      <c r="M273" s="36" t="e">
        <f t="shared" si="63"/>
        <v>#DIV/0!</v>
      </c>
      <c r="N273" s="6">
        <f t="shared" si="65"/>
        <v>0.45719521320533213</v>
      </c>
      <c r="O273" s="6">
        <f t="shared" si="65"/>
        <v>0.97356755068321044</v>
      </c>
      <c r="P273" s="6">
        <f t="shared" si="65"/>
        <v>-5.9177124272546122E-2</v>
      </c>
      <c r="Q273" s="75">
        <v>0</v>
      </c>
      <c r="R273" s="76">
        <v>0</v>
      </c>
      <c r="S273" s="6" t="e">
        <f t="shared" si="61"/>
        <v>#DIV/0!</v>
      </c>
      <c r="T273" s="36" t="e">
        <f t="shared" si="64"/>
        <v>#DIV/0!</v>
      </c>
      <c r="U273" s="6">
        <f t="shared" si="67"/>
        <v>0.46105014853915682</v>
      </c>
      <c r="V273" s="6">
        <f t="shared" si="67"/>
        <v>0.84756736419379908</v>
      </c>
      <c r="W273" s="6">
        <f t="shared" si="67"/>
        <v>7.4532932884514569E-2</v>
      </c>
      <c r="X273" s="6">
        <f t="shared" si="67"/>
        <v>7.4532932884514569E-2</v>
      </c>
      <c r="Y273" s="6">
        <f t="shared" si="67"/>
        <v>0.38651721565464225</v>
      </c>
    </row>
    <row r="274" spans="1:25" x14ac:dyDescent="0.25">
      <c r="A274" s="7" t="s">
        <v>154</v>
      </c>
      <c r="B274" s="7" t="s">
        <v>166</v>
      </c>
      <c r="C274" s="74">
        <v>0</v>
      </c>
      <c r="D274" s="74">
        <v>0</v>
      </c>
      <c r="E274" s="71" t="e">
        <f t="shared" si="60"/>
        <v>#DIV/0!</v>
      </c>
      <c r="F274" s="65" t="e">
        <f t="shared" si="62"/>
        <v>#DIV/0!</v>
      </c>
      <c r="G274" s="71">
        <f t="shared" si="66"/>
        <v>0.73663014244586189</v>
      </c>
      <c r="H274" s="71">
        <f t="shared" si="66"/>
        <v>1.1737360935948695</v>
      </c>
      <c r="I274" s="71">
        <f t="shared" si="66"/>
        <v>0.29952419129685426</v>
      </c>
      <c r="J274" s="75">
        <v>0</v>
      </c>
      <c r="K274" s="75">
        <v>0</v>
      </c>
      <c r="L274" s="6" t="e">
        <f>(SUM(K266:K274))/J273</f>
        <v>#DIV/0!</v>
      </c>
      <c r="M274" s="36" t="e">
        <f t="shared" si="63"/>
        <v>#DIV/0!</v>
      </c>
      <c r="N274" s="6">
        <f t="shared" si="65"/>
        <v>0.50336729135060976</v>
      </c>
      <c r="O274" s="6">
        <f t="shared" si="65"/>
        <v>1.0150591886201059</v>
      </c>
      <c r="P274" s="6">
        <f t="shared" si="65"/>
        <v>-8.3246059188863963E-3</v>
      </c>
      <c r="Q274" s="75">
        <v>0</v>
      </c>
      <c r="R274" s="76">
        <v>0</v>
      </c>
      <c r="S274" s="6" t="e">
        <f t="shared" si="61"/>
        <v>#DIV/0!</v>
      </c>
      <c r="T274" s="36" t="e">
        <f t="shared" si="64"/>
        <v>#DIV/0!</v>
      </c>
      <c r="U274" s="6">
        <f t="shared" si="67"/>
        <v>0.74232771533595698</v>
      </c>
      <c r="V274" s="6">
        <f t="shared" si="67"/>
        <v>1.1540802341555996</v>
      </c>
      <c r="W274" s="6">
        <f t="shared" si="67"/>
        <v>0.33057519651631434</v>
      </c>
      <c r="X274" s="6">
        <f t="shared" si="67"/>
        <v>0.33057519651631434</v>
      </c>
      <c r="Y274" s="6">
        <f t="shared" si="67"/>
        <v>0.41175251881964264</v>
      </c>
    </row>
    <row r="275" spans="1:25" x14ac:dyDescent="0.25">
      <c r="A275" s="7" t="s">
        <v>154</v>
      </c>
      <c r="B275" s="7" t="s">
        <v>167</v>
      </c>
      <c r="C275" s="74">
        <v>0</v>
      </c>
      <c r="D275" s="74">
        <v>0</v>
      </c>
      <c r="E275" s="71" t="e">
        <f t="shared" si="60"/>
        <v>#DIV/0!</v>
      </c>
      <c r="F275" s="65" t="e">
        <f t="shared" si="62"/>
        <v>#DIV/0!</v>
      </c>
      <c r="G275" s="71">
        <f t="shared" si="66"/>
        <v>0.82061442726694189</v>
      </c>
      <c r="H275" s="71">
        <f t="shared" si="66"/>
        <v>1.2607833515834532</v>
      </c>
      <c r="I275" s="71">
        <f t="shared" si="66"/>
        <v>0.38044550295043061</v>
      </c>
      <c r="J275" s="75">
        <v>0</v>
      </c>
      <c r="K275" s="75">
        <v>0</v>
      </c>
      <c r="L275" s="6" t="e">
        <f>(SUM(K266:K275))/J274</f>
        <v>#DIV/0!</v>
      </c>
      <c r="M275" s="36" t="e">
        <f t="shared" si="63"/>
        <v>#DIV/0!</v>
      </c>
      <c r="N275" s="6">
        <f t="shared" si="65"/>
        <v>0.58006775555216661</v>
      </c>
      <c r="O275" s="6">
        <f t="shared" si="65"/>
        <v>1.099948635873619</v>
      </c>
      <c r="P275" s="6">
        <f t="shared" si="65"/>
        <v>6.0186875230714088E-2</v>
      </c>
      <c r="Q275" s="75">
        <v>0</v>
      </c>
      <c r="R275" s="76">
        <v>0</v>
      </c>
      <c r="S275" s="6" t="e">
        <f t="shared" si="61"/>
        <v>#DIV/0!</v>
      </c>
      <c r="T275" s="36" t="e">
        <f t="shared" si="64"/>
        <v>#DIV/0!</v>
      </c>
      <c r="U275" s="6">
        <f t="shared" si="67"/>
        <v>0.82347447721763523</v>
      </c>
      <c r="V275" s="6">
        <f t="shared" si="67"/>
        <v>1.2398542522675045</v>
      </c>
      <c r="W275" s="6">
        <f t="shared" si="67"/>
        <v>0.40709470216776611</v>
      </c>
      <c r="X275" s="6">
        <f t="shared" si="67"/>
        <v>0.40709470216776611</v>
      </c>
      <c r="Y275" s="6">
        <f t="shared" si="67"/>
        <v>0.41637977504986912</v>
      </c>
    </row>
    <row r="276" spans="1:25" x14ac:dyDescent="0.25">
      <c r="A276" s="7" t="s">
        <v>154</v>
      </c>
      <c r="B276" s="7" t="s">
        <v>168</v>
      </c>
      <c r="C276" s="74">
        <v>0</v>
      </c>
      <c r="D276" s="74">
        <v>0</v>
      </c>
      <c r="E276" s="71" t="e">
        <f t="shared" si="60"/>
        <v>#DIV/0!</v>
      </c>
      <c r="F276" s="65" t="e">
        <f t="shared" si="62"/>
        <v>#DIV/0!</v>
      </c>
      <c r="G276" s="71">
        <f t="shared" si="66"/>
        <v>0.94582556715526966</v>
      </c>
      <c r="H276" s="71">
        <f t="shared" si="66"/>
        <v>1.4311117173682604</v>
      </c>
      <c r="I276" s="71">
        <f t="shared" si="66"/>
        <v>0.46053941694227907</v>
      </c>
      <c r="J276" s="75">
        <v>0</v>
      </c>
      <c r="K276" s="75">
        <v>0</v>
      </c>
      <c r="L276" s="6" t="e">
        <f>(SUM(K266:K276))/J275</f>
        <v>#DIV/0!</v>
      </c>
      <c r="M276" s="36" t="e">
        <f t="shared" si="63"/>
        <v>#DIV/0!</v>
      </c>
      <c r="N276" s="6">
        <f t="shared" si="65"/>
        <v>0.72282137340514951</v>
      </c>
      <c r="O276" s="6">
        <f t="shared" si="65"/>
        <v>1.2463651595014014</v>
      </c>
      <c r="P276" s="6">
        <f t="shared" si="65"/>
        <v>0.19927758730889755</v>
      </c>
      <c r="Q276" s="75">
        <v>0</v>
      </c>
      <c r="R276" s="76">
        <v>0</v>
      </c>
      <c r="S276" s="6" t="e">
        <f t="shared" si="61"/>
        <v>#DIV/0!</v>
      </c>
      <c r="T276" s="36" t="e">
        <f t="shared" si="64"/>
        <v>#DIV/0!</v>
      </c>
      <c r="U276" s="6">
        <f t="shared" si="67"/>
        <v>0.91825333306001944</v>
      </c>
      <c r="V276" s="6">
        <f t="shared" si="67"/>
        <v>1.402047931898428</v>
      </c>
      <c r="W276" s="6">
        <f t="shared" si="67"/>
        <v>0.43445873422161085</v>
      </c>
      <c r="X276" s="6">
        <f t="shared" si="67"/>
        <v>0.43445873422161085</v>
      </c>
      <c r="Y276" s="6">
        <f t="shared" si="67"/>
        <v>0.48379459883840858</v>
      </c>
    </row>
    <row r="277" spans="1:25" x14ac:dyDescent="0.25">
      <c r="A277" s="7" t="s">
        <v>154</v>
      </c>
      <c r="B277" s="7" t="s">
        <v>169</v>
      </c>
      <c r="C277" s="74">
        <v>0</v>
      </c>
      <c r="D277" s="74">
        <v>0</v>
      </c>
      <c r="E277" s="71" t="e">
        <f t="shared" si="60"/>
        <v>#DIV/0!</v>
      </c>
      <c r="F277" s="65" t="e">
        <f t="shared" si="62"/>
        <v>#DIV/0!</v>
      </c>
      <c r="G277" s="71">
        <f t="shared" si="66"/>
        <v>1.0016849877757958</v>
      </c>
      <c r="H277" s="71">
        <f t="shared" si="66"/>
        <v>1.521489991464148</v>
      </c>
      <c r="I277" s="71">
        <f t="shared" si="66"/>
        <v>0.48187998408744359</v>
      </c>
      <c r="J277" s="75">
        <v>0</v>
      </c>
      <c r="K277" s="75">
        <v>0</v>
      </c>
      <c r="L277" s="6" t="e">
        <f>(SUM(K266:K277))/J276</f>
        <v>#DIV/0!</v>
      </c>
      <c r="M277" s="36" t="e">
        <f t="shared" si="63"/>
        <v>#DIV/0!</v>
      </c>
      <c r="N277" s="6">
        <f t="shared" si="65"/>
        <v>0.82421983567812696</v>
      </c>
      <c r="O277" s="6">
        <f t="shared" si="65"/>
        <v>1.3730394926064369</v>
      </c>
      <c r="P277" s="6">
        <f t="shared" si="65"/>
        <v>0.27540017874981693</v>
      </c>
      <c r="Q277" s="75">
        <v>0</v>
      </c>
      <c r="R277" s="76">
        <v>0</v>
      </c>
      <c r="S277" s="6" t="e">
        <f t="shared" si="61"/>
        <v>#DIV/0!</v>
      </c>
      <c r="T277" s="36" t="e">
        <f t="shared" si="64"/>
        <v>#DIV/0!</v>
      </c>
      <c r="U277" s="6">
        <f t="shared" si="67"/>
        <v>0.91825333306001944</v>
      </c>
      <c r="V277" s="6">
        <f t="shared" si="67"/>
        <v>1.402047931898428</v>
      </c>
      <c r="W277" s="6">
        <f t="shared" si="67"/>
        <v>0.43445873422161085</v>
      </c>
      <c r="X277" s="6">
        <f t="shared" si="67"/>
        <v>0.43445873422161085</v>
      </c>
      <c r="Y277" s="6">
        <f t="shared" si="67"/>
        <v>0.48379459883840858</v>
      </c>
    </row>
    <row r="278" spans="1:25" x14ac:dyDescent="0.25">
      <c r="A278" s="7" t="s">
        <v>72</v>
      </c>
      <c r="B278" s="7" t="s">
        <v>158</v>
      </c>
      <c r="C278" s="74">
        <v>45</v>
      </c>
      <c r="D278" s="74">
        <v>0</v>
      </c>
      <c r="E278" s="71">
        <f t="shared" si="60"/>
        <v>0</v>
      </c>
      <c r="F278" s="65" t="str">
        <f t="shared" si="62"/>
        <v>Desempenho Médio</v>
      </c>
      <c r="G278" s="71">
        <f t="shared" si="66"/>
        <v>0.11573204891712785</v>
      </c>
      <c r="H278" s="71">
        <f t="shared" si="66"/>
        <v>0.30218524997148988</v>
      </c>
      <c r="I278" s="71">
        <f t="shared" si="66"/>
        <v>-7.0721152137234206E-2</v>
      </c>
      <c r="J278" s="75">
        <v>7000</v>
      </c>
      <c r="K278" s="75">
        <v>0</v>
      </c>
      <c r="L278" s="6">
        <f>K278/J278</f>
        <v>0</v>
      </c>
      <c r="M278" s="36" t="str">
        <f t="shared" si="63"/>
        <v>Desempenho Médio</v>
      </c>
      <c r="N278" s="6">
        <f t="shared" ref="N278:P293" si="68">N266</f>
        <v>0.11129468122233216</v>
      </c>
      <c r="O278" s="6">
        <f t="shared" si="68"/>
        <v>0.54990456699293522</v>
      </c>
      <c r="P278" s="6">
        <f t="shared" si="68"/>
        <v>-0.32731520454827095</v>
      </c>
      <c r="Q278" s="75">
        <v>40</v>
      </c>
      <c r="R278" s="76">
        <v>0</v>
      </c>
      <c r="S278" s="6">
        <f t="shared" si="61"/>
        <v>0</v>
      </c>
      <c r="T278" s="36" t="str">
        <f t="shared" si="64"/>
        <v>Desempenho Médio</v>
      </c>
      <c r="U278" s="6">
        <f t="shared" si="67"/>
        <v>6.5053670194766225E-2</v>
      </c>
      <c r="V278" s="6">
        <f t="shared" si="67"/>
        <v>0.16010348962314203</v>
      </c>
      <c r="W278" s="6">
        <f t="shared" si="67"/>
        <v>-2.9996149233609562E-2</v>
      </c>
      <c r="X278" s="6">
        <f t="shared" si="67"/>
        <v>1.7528760480578331E-2</v>
      </c>
      <c r="Y278" s="6">
        <f t="shared" si="67"/>
        <v>9.5049819428375787E-2</v>
      </c>
    </row>
    <row r="279" spans="1:25" x14ac:dyDescent="0.25">
      <c r="A279" s="7" t="s">
        <v>72</v>
      </c>
      <c r="B279" s="7" t="s">
        <v>159</v>
      </c>
      <c r="C279" s="74">
        <v>45</v>
      </c>
      <c r="D279" s="74">
        <v>0</v>
      </c>
      <c r="E279" s="71">
        <f t="shared" si="60"/>
        <v>0</v>
      </c>
      <c r="F279" s="65" t="str">
        <f t="shared" si="62"/>
        <v>Desempenho Médio</v>
      </c>
      <c r="G279" s="71">
        <f t="shared" si="66"/>
        <v>0.22598075676513599</v>
      </c>
      <c r="H279" s="71">
        <f t="shared" si="66"/>
        <v>0.51894873552035481</v>
      </c>
      <c r="I279" s="71">
        <f t="shared" si="66"/>
        <v>-6.6987221990082807E-2</v>
      </c>
      <c r="J279" s="75">
        <v>7000</v>
      </c>
      <c r="K279" s="75">
        <v>0</v>
      </c>
      <c r="L279" s="6">
        <f>(SUM(K278:K279))/J278</f>
        <v>0</v>
      </c>
      <c r="M279" s="36" t="str">
        <f t="shared" si="63"/>
        <v>Desempenho Médio</v>
      </c>
      <c r="N279" s="6">
        <f t="shared" si="68"/>
        <v>0.14992070801509372</v>
      </c>
      <c r="O279" s="6">
        <f t="shared" si="68"/>
        <v>0.58968599072326611</v>
      </c>
      <c r="P279" s="6">
        <f t="shared" si="68"/>
        <v>-0.28984457469307867</v>
      </c>
      <c r="Q279" s="75">
        <v>40</v>
      </c>
      <c r="R279" s="76">
        <v>0</v>
      </c>
      <c r="S279" s="6">
        <f t="shared" si="61"/>
        <v>0</v>
      </c>
      <c r="T279" s="36" t="str">
        <f t="shared" si="64"/>
        <v>Desempenho Médio</v>
      </c>
      <c r="U279" s="6">
        <f t="shared" si="67"/>
        <v>6.5053670194766225E-2</v>
      </c>
      <c r="V279" s="6">
        <f t="shared" si="67"/>
        <v>0.16010348962314203</v>
      </c>
      <c r="W279" s="6">
        <f t="shared" si="67"/>
        <v>-2.9996149233609562E-2</v>
      </c>
      <c r="X279" s="6">
        <f t="shared" si="67"/>
        <v>1.7528760480578331E-2</v>
      </c>
      <c r="Y279" s="6">
        <f t="shared" si="67"/>
        <v>9.5049819428375787E-2</v>
      </c>
    </row>
    <row r="280" spans="1:25" x14ac:dyDescent="0.25">
      <c r="A280" s="7" t="s">
        <v>72</v>
      </c>
      <c r="B280" s="7" t="s">
        <v>160</v>
      </c>
      <c r="C280" s="74">
        <v>45</v>
      </c>
      <c r="D280" s="74">
        <v>0</v>
      </c>
      <c r="E280" s="71">
        <f t="shared" si="60"/>
        <v>0</v>
      </c>
      <c r="F280" s="65" t="str">
        <f t="shared" si="62"/>
        <v>Desempenho Médio</v>
      </c>
      <c r="G280" s="71">
        <f t="shared" si="66"/>
        <v>0.2827891266215985</v>
      </c>
      <c r="H280" s="71">
        <f t="shared" si="66"/>
        <v>0.59134445337262298</v>
      </c>
      <c r="I280" s="71">
        <f t="shared" si="66"/>
        <v>-2.5766200129425987E-2</v>
      </c>
      <c r="J280" s="75">
        <v>7000</v>
      </c>
      <c r="K280" s="75">
        <v>0</v>
      </c>
      <c r="L280" s="6">
        <f>(SUM(K278:K280))/J279</f>
        <v>0</v>
      </c>
      <c r="M280" s="36" t="str">
        <f t="shared" si="63"/>
        <v>Desempenho Médio</v>
      </c>
      <c r="N280" s="6">
        <f t="shared" si="68"/>
        <v>0.17723994755342617</v>
      </c>
      <c r="O280" s="6">
        <f t="shared" si="68"/>
        <v>0.61473682715667155</v>
      </c>
      <c r="P280" s="6">
        <f t="shared" si="68"/>
        <v>-0.26025693204981915</v>
      </c>
      <c r="Q280" s="75">
        <v>40</v>
      </c>
      <c r="R280" s="76">
        <v>0</v>
      </c>
      <c r="S280" s="6">
        <f t="shared" si="61"/>
        <v>0</v>
      </c>
      <c r="T280" s="36" t="str">
        <f t="shared" si="64"/>
        <v>Desempenho Médio</v>
      </c>
      <c r="U280" s="6">
        <f t="shared" si="67"/>
        <v>0.18401218302179842</v>
      </c>
      <c r="V280" s="6">
        <f t="shared" si="67"/>
        <v>0.37883088095577799</v>
      </c>
      <c r="W280" s="6">
        <f t="shared" si="67"/>
        <v>-1.0806514912181153E-2</v>
      </c>
      <c r="X280" s="6">
        <f t="shared" si="67"/>
        <v>8.6602834054808633E-2</v>
      </c>
      <c r="Y280" s="6">
        <f t="shared" si="67"/>
        <v>0.19481869793397957</v>
      </c>
    </row>
    <row r="281" spans="1:25" x14ac:dyDescent="0.25">
      <c r="A281" s="7" t="s">
        <v>72</v>
      </c>
      <c r="B281" s="7" t="s">
        <v>161</v>
      </c>
      <c r="C281" s="74">
        <v>45</v>
      </c>
      <c r="D281" s="74">
        <v>16</v>
      </c>
      <c r="E281" s="71">
        <f t="shared" si="60"/>
        <v>0.35555555555555557</v>
      </c>
      <c r="F281" s="65" t="str">
        <f t="shared" si="62"/>
        <v>Desempenho Médio</v>
      </c>
      <c r="G281" s="71">
        <f t="shared" si="66"/>
        <v>0.36222496935690102</v>
      </c>
      <c r="H281" s="71">
        <f t="shared" si="66"/>
        <v>0.67917151968337719</v>
      </c>
      <c r="I281" s="71">
        <f t="shared" si="66"/>
        <v>4.5278419030424844E-2</v>
      </c>
      <c r="J281" s="75">
        <v>7000</v>
      </c>
      <c r="K281" s="75">
        <v>960</v>
      </c>
      <c r="L281" s="6">
        <f>(SUM(K278:K281))/J280</f>
        <v>0.13714285714285715</v>
      </c>
      <c r="M281" s="36" t="str">
        <f t="shared" si="63"/>
        <v>Desempenho Médio</v>
      </c>
      <c r="N281" s="6">
        <f t="shared" si="68"/>
        <v>0.2271654986777647</v>
      </c>
      <c r="O281" s="6">
        <f t="shared" si="68"/>
        <v>0.71582389712396544</v>
      </c>
      <c r="P281" s="6">
        <f t="shared" si="68"/>
        <v>-0.26149289976843598</v>
      </c>
      <c r="Q281" s="75">
        <v>40</v>
      </c>
      <c r="R281" s="76">
        <v>0</v>
      </c>
      <c r="S281" s="6">
        <f t="shared" si="61"/>
        <v>0</v>
      </c>
      <c r="T281" s="36" t="str">
        <f t="shared" si="64"/>
        <v>Desempenho Médio</v>
      </c>
      <c r="U281" s="6">
        <f t="shared" si="67"/>
        <v>0.18401218302179842</v>
      </c>
      <c r="V281" s="6">
        <f t="shared" si="67"/>
        <v>0.37883088095577799</v>
      </c>
      <c r="W281" s="6">
        <f t="shared" si="67"/>
        <v>-1.0806514912181153E-2</v>
      </c>
      <c r="X281" s="6">
        <f t="shared" si="67"/>
        <v>8.6602834054808633E-2</v>
      </c>
      <c r="Y281" s="6">
        <f t="shared" si="67"/>
        <v>0.19481869793397957</v>
      </c>
    </row>
    <row r="282" spans="1:25" x14ac:dyDescent="0.25">
      <c r="A282" s="7" t="s">
        <v>72</v>
      </c>
      <c r="B282" s="7" t="s">
        <v>162</v>
      </c>
      <c r="C282" s="74">
        <v>45</v>
      </c>
      <c r="D282" s="74">
        <v>16</v>
      </c>
      <c r="E282" s="71">
        <f t="shared" si="60"/>
        <v>0.35555555555555557</v>
      </c>
      <c r="F282" s="65" t="str">
        <f t="shared" si="62"/>
        <v>Desempenho Médio</v>
      </c>
      <c r="G282" s="71">
        <f t="shared" si="66"/>
        <v>0.44825178806664662</v>
      </c>
      <c r="H282" s="71">
        <f t="shared" si="66"/>
        <v>0.78548221403733831</v>
      </c>
      <c r="I282" s="71">
        <f t="shared" si="66"/>
        <v>0.11102136209595498</v>
      </c>
      <c r="J282" s="75">
        <v>7000</v>
      </c>
      <c r="K282" s="75">
        <v>0</v>
      </c>
      <c r="L282" s="6">
        <f>(SUM(K278:K282))/J281</f>
        <v>0.13714285714285715</v>
      </c>
      <c r="M282" s="36" t="str">
        <f t="shared" si="63"/>
        <v>Desempenho Médio</v>
      </c>
      <c r="N282" s="6">
        <f t="shared" si="68"/>
        <v>0.27284258705105507</v>
      </c>
      <c r="O282" s="6">
        <f t="shared" si="68"/>
        <v>0.75981161093062477</v>
      </c>
      <c r="P282" s="6">
        <f t="shared" si="68"/>
        <v>-0.21412643682851468</v>
      </c>
      <c r="Q282" s="75">
        <v>40</v>
      </c>
      <c r="R282" s="76">
        <v>0</v>
      </c>
      <c r="S282" s="6">
        <f t="shared" si="61"/>
        <v>0</v>
      </c>
      <c r="T282" s="36" t="str">
        <f t="shared" si="64"/>
        <v>Desempenho Médio</v>
      </c>
      <c r="U282" s="6">
        <f t="shared" si="67"/>
        <v>0.23278475191631845</v>
      </c>
      <c r="V282" s="6">
        <f t="shared" si="67"/>
        <v>0.51017789992422413</v>
      </c>
      <c r="W282" s="6">
        <f t="shared" si="67"/>
        <v>-4.460839609158726E-2</v>
      </c>
      <c r="X282" s="6">
        <f t="shared" si="67"/>
        <v>9.4088177912365595E-2</v>
      </c>
      <c r="Y282" s="6">
        <f t="shared" si="67"/>
        <v>0.27739314800790571</v>
      </c>
    </row>
    <row r="283" spans="1:25" x14ac:dyDescent="0.25">
      <c r="A283" s="7" t="s">
        <v>72</v>
      </c>
      <c r="B283" s="7" t="s">
        <v>163</v>
      </c>
      <c r="C283" s="74">
        <v>45</v>
      </c>
      <c r="D283" s="74">
        <v>16</v>
      </c>
      <c r="E283" s="71">
        <f t="shared" si="60"/>
        <v>0.35555555555555557</v>
      </c>
      <c r="F283" s="65" t="str">
        <f t="shared" si="62"/>
        <v>Desempenho Médio</v>
      </c>
      <c r="G283" s="71">
        <f t="shared" si="66"/>
        <v>0.54231176602906361</v>
      </c>
      <c r="H283" s="71">
        <f t="shared" si="66"/>
        <v>0.92735502699565786</v>
      </c>
      <c r="I283" s="71">
        <f t="shared" si="66"/>
        <v>0.15726850506246942</v>
      </c>
      <c r="J283" s="75">
        <v>7000</v>
      </c>
      <c r="K283" s="75">
        <v>0</v>
      </c>
      <c r="L283" s="6">
        <f>(SUM(K278:K283))/J282</f>
        <v>0.13714285714285715</v>
      </c>
      <c r="M283" s="36" t="str">
        <f t="shared" si="63"/>
        <v>Desempenho Médio</v>
      </c>
      <c r="N283" s="6">
        <f t="shared" si="68"/>
        <v>0.31451673641638933</v>
      </c>
      <c r="O283" s="6">
        <f t="shared" si="68"/>
        <v>0.80702132782766356</v>
      </c>
      <c r="P283" s="6">
        <f t="shared" si="68"/>
        <v>-0.1779878549948849</v>
      </c>
      <c r="Q283" s="75">
        <v>40</v>
      </c>
      <c r="R283" s="76">
        <v>5</v>
      </c>
      <c r="S283" s="6">
        <f t="shared" si="61"/>
        <v>0.125</v>
      </c>
      <c r="T283" s="36" t="str">
        <f t="shared" si="64"/>
        <v>Desempenho Médio</v>
      </c>
      <c r="U283" s="6">
        <f t="shared" si="67"/>
        <v>0.46105014853915682</v>
      </c>
      <c r="V283" s="6">
        <f t="shared" si="67"/>
        <v>0.84756736419379908</v>
      </c>
      <c r="W283" s="6">
        <f t="shared" si="67"/>
        <v>7.4532932884514569E-2</v>
      </c>
      <c r="X283" s="6">
        <f t="shared" si="67"/>
        <v>7.4532932884514569E-2</v>
      </c>
      <c r="Y283" s="6">
        <f t="shared" si="67"/>
        <v>0.38651721565464225</v>
      </c>
    </row>
    <row r="284" spans="1:25" x14ac:dyDescent="0.25">
      <c r="A284" s="7" t="s">
        <v>72</v>
      </c>
      <c r="B284" s="7" t="s">
        <v>164</v>
      </c>
      <c r="C284" s="74">
        <v>45</v>
      </c>
      <c r="D284" s="74">
        <v>16</v>
      </c>
      <c r="E284" s="71">
        <f t="shared" si="60"/>
        <v>0.35555555555555557</v>
      </c>
      <c r="F284" s="65" t="str">
        <f t="shared" si="62"/>
        <v>Desempenho Médio</v>
      </c>
      <c r="G284" s="71">
        <f t="shared" si="66"/>
        <v>0.63634637719050002</v>
      </c>
      <c r="H284" s="71">
        <f t="shared" si="66"/>
        <v>1.0512878703900039</v>
      </c>
      <c r="I284" s="71">
        <f t="shared" si="66"/>
        <v>0.22140488399099606</v>
      </c>
      <c r="J284" s="75">
        <v>7000</v>
      </c>
      <c r="K284" s="75">
        <v>0</v>
      </c>
      <c r="L284" s="6">
        <f>(SUM(K278:K284))/J283</f>
        <v>0.13714285714285715</v>
      </c>
      <c r="M284" s="36" t="str">
        <f t="shared" si="63"/>
        <v>Desempenho Médio</v>
      </c>
      <c r="N284" s="6">
        <f t="shared" si="68"/>
        <v>0.38334713342809434</v>
      </c>
      <c r="O284" s="6">
        <f t="shared" si="68"/>
        <v>0.88375935483946089</v>
      </c>
      <c r="P284" s="6">
        <f t="shared" si="68"/>
        <v>-0.1170650879832722</v>
      </c>
      <c r="Q284" s="75">
        <v>40</v>
      </c>
      <c r="R284" s="76">
        <v>5</v>
      </c>
      <c r="S284" s="6">
        <f t="shared" si="61"/>
        <v>0.125</v>
      </c>
      <c r="T284" s="36" t="str">
        <f t="shared" si="64"/>
        <v>Desempenho Médio</v>
      </c>
      <c r="U284" s="6">
        <f t="shared" si="67"/>
        <v>0.46105014853915682</v>
      </c>
      <c r="V284" s="6">
        <f t="shared" si="67"/>
        <v>0.84756736419379908</v>
      </c>
      <c r="W284" s="6">
        <f t="shared" si="67"/>
        <v>7.4532932884514569E-2</v>
      </c>
      <c r="X284" s="6">
        <f t="shared" si="67"/>
        <v>7.4532932884514569E-2</v>
      </c>
      <c r="Y284" s="6">
        <f t="shared" si="67"/>
        <v>0.38651721565464225</v>
      </c>
    </row>
    <row r="285" spans="1:25" x14ac:dyDescent="0.25">
      <c r="A285" s="7" t="s">
        <v>72</v>
      </c>
      <c r="B285" s="7" t="s">
        <v>165</v>
      </c>
      <c r="C285" s="74">
        <v>45</v>
      </c>
      <c r="D285" s="74">
        <v>37</v>
      </c>
      <c r="E285" s="71">
        <f t="shared" si="60"/>
        <v>0.82222222222222219</v>
      </c>
      <c r="F285" s="65" t="str">
        <f t="shared" si="62"/>
        <v>Desempenho Bom</v>
      </c>
      <c r="G285" s="71">
        <f t="shared" si="66"/>
        <v>0.70660866675940681</v>
      </c>
      <c r="H285" s="71">
        <f t="shared" si="66"/>
        <v>1.1341225514190425</v>
      </c>
      <c r="I285" s="71">
        <f t="shared" si="66"/>
        <v>0.27909478209977112</v>
      </c>
      <c r="J285" s="75">
        <v>7000</v>
      </c>
      <c r="K285" s="75">
        <v>1290</v>
      </c>
      <c r="L285" s="6">
        <f>(SUM(K278:K285))/J284</f>
        <v>0.32142857142857145</v>
      </c>
      <c r="M285" s="36" t="str">
        <f t="shared" si="63"/>
        <v>Desempenho Médio</v>
      </c>
      <c r="N285" s="6">
        <f t="shared" si="68"/>
        <v>0.45719521320533213</v>
      </c>
      <c r="O285" s="6">
        <f t="shared" si="68"/>
        <v>0.97356755068321044</v>
      </c>
      <c r="P285" s="6">
        <f t="shared" si="68"/>
        <v>-5.9177124272546122E-2</v>
      </c>
      <c r="Q285" s="75">
        <v>40</v>
      </c>
      <c r="R285" s="76">
        <v>5</v>
      </c>
      <c r="S285" s="6">
        <f t="shared" si="61"/>
        <v>0.125</v>
      </c>
      <c r="T285" s="36" t="str">
        <f t="shared" si="64"/>
        <v>Desempenho Médio</v>
      </c>
      <c r="U285" s="6">
        <f t="shared" si="67"/>
        <v>0.46105014853915682</v>
      </c>
      <c r="V285" s="6">
        <f t="shared" si="67"/>
        <v>0.84756736419379908</v>
      </c>
      <c r="W285" s="6">
        <f t="shared" si="67"/>
        <v>7.4532932884514569E-2</v>
      </c>
      <c r="X285" s="6">
        <f t="shared" si="67"/>
        <v>7.4532932884514569E-2</v>
      </c>
      <c r="Y285" s="6">
        <f t="shared" si="67"/>
        <v>0.38651721565464225</v>
      </c>
    </row>
    <row r="286" spans="1:25" x14ac:dyDescent="0.25">
      <c r="A286" s="7" t="s">
        <v>72</v>
      </c>
      <c r="B286" s="7" t="s">
        <v>166</v>
      </c>
      <c r="C286" s="74">
        <v>45</v>
      </c>
      <c r="D286" s="74">
        <v>37</v>
      </c>
      <c r="E286" s="71">
        <f t="shared" si="60"/>
        <v>0.82222222222222219</v>
      </c>
      <c r="F286" s="65" t="str">
        <f t="shared" si="62"/>
        <v>Desempenho Bom</v>
      </c>
      <c r="G286" s="71">
        <f t="shared" si="66"/>
        <v>0.73663014244586189</v>
      </c>
      <c r="H286" s="71">
        <f t="shared" si="66"/>
        <v>1.1737360935948695</v>
      </c>
      <c r="I286" s="71">
        <f t="shared" si="66"/>
        <v>0.29952419129685426</v>
      </c>
      <c r="J286" s="75">
        <v>7000</v>
      </c>
      <c r="K286" s="75">
        <v>0</v>
      </c>
      <c r="L286" s="6">
        <f>(SUM(K278:K286))/J285</f>
        <v>0.32142857142857145</v>
      </c>
      <c r="M286" s="36" t="str">
        <f t="shared" si="63"/>
        <v>Desempenho Médio</v>
      </c>
      <c r="N286" s="6">
        <f t="shared" si="68"/>
        <v>0.50336729135060976</v>
      </c>
      <c r="O286" s="6">
        <f t="shared" si="68"/>
        <v>1.0150591886201059</v>
      </c>
      <c r="P286" s="6">
        <f t="shared" si="68"/>
        <v>-8.3246059188863963E-3</v>
      </c>
      <c r="Q286" s="75">
        <v>40</v>
      </c>
      <c r="R286" s="76">
        <v>42</v>
      </c>
      <c r="S286" s="6">
        <f t="shared" si="61"/>
        <v>1.05</v>
      </c>
      <c r="T286" s="36" t="str">
        <f t="shared" si="64"/>
        <v>Desempenho Bom</v>
      </c>
      <c r="U286" s="6">
        <f t="shared" si="67"/>
        <v>0.74232771533595698</v>
      </c>
      <c r="V286" s="6">
        <f t="shared" si="67"/>
        <v>1.1540802341555996</v>
      </c>
      <c r="W286" s="6">
        <f t="shared" si="67"/>
        <v>0.33057519651631434</v>
      </c>
      <c r="X286" s="6">
        <f t="shared" si="67"/>
        <v>0.33057519651631434</v>
      </c>
      <c r="Y286" s="6">
        <f t="shared" si="67"/>
        <v>0.41175251881964264</v>
      </c>
    </row>
    <row r="287" spans="1:25" x14ac:dyDescent="0.25">
      <c r="A287" s="7" t="s">
        <v>72</v>
      </c>
      <c r="B287" s="7" t="s">
        <v>167</v>
      </c>
      <c r="C287" s="74">
        <v>45</v>
      </c>
      <c r="D287" s="74">
        <v>37</v>
      </c>
      <c r="E287" s="71">
        <f t="shared" si="60"/>
        <v>0.82222222222222219</v>
      </c>
      <c r="F287" s="65" t="str">
        <f t="shared" si="62"/>
        <v>Desempenho Bom</v>
      </c>
      <c r="G287" s="71">
        <f t="shared" si="66"/>
        <v>0.82061442726694189</v>
      </c>
      <c r="H287" s="71">
        <f t="shared" si="66"/>
        <v>1.2607833515834532</v>
      </c>
      <c r="I287" s="71">
        <f t="shared" si="66"/>
        <v>0.38044550295043061</v>
      </c>
      <c r="J287" s="75">
        <v>7000</v>
      </c>
      <c r="K287" s="75">
        <v>0</v>
      </c>
      <c r="L287" s="6">
        <f>(SUM(K278:K287))/J286</f>
        <v>0.32142857142857145</v>
      </c>
      <c r="M287" s="36" t="str">
        <f t="shared" si="63"/>
        <v>Desempenho Médio</v>
      </c>
      <c r="N287" s="6">
        <f t="shared" si="68"/>
        <v>0.58006775555216661</v>
      </c>
      <c r="O287" s="6">
        <f t="shared" si="68"/>
        <v>1.099948635873619</v>
      </c>
      <c r="P287" s="6">
        <f t="shared" si="68"/>
        <v>6.0186875230714088E-2</v>
      </c>
      <c r="Q287" s="75">
        <v>40</v>
      </c>
      <c r="R287" s="76">
        <v>42</v>
      </c>
      <c r="S287" s="6">
        <f t="shared" si="61"/>
        <v>1.05</v>
      </c>
      <c r="T287" s="36" t="str">
        <f t="shared" si="64"/>
        <v>Desempenho Bom</v>
      </c>
      <c r="U287" s="6">
        <f t="shared" ref="U287:Y302" si="69">U275</f>
        <v>0.82347447721763523</v>
      </c>
      <c r="V287" s="6">
        <f t="shared" si="69"/>
        <v>1.2398542522675045</v>
      </c>
      <c r="W287" s="6">
        <f t="shared" si="69"/>
        <v>0.40709470216776611</v>
      </c>
      <c r="X287" s="6">
        <f t="shared" si="69"/>
        <v>0.40709470216776611</v>
      </c>
      <c r="Y287" s="6">
        <f t="shared" si="69"/>
        <v>0.41637977504986912</v>
      </c>
    </row>
    <row r="288" spans="1:25" x14ac:dyDescent="0.25">
      <c r="A288" s="7" t="s">
        <v>72</v>
      </c>
      <c r="B288" s="7" t="s">
        <v>168</v>
      </c>
      <c r="C288" s="74">
        <v>45</v>
      </c>
      <c r="D288" s="74">
        <v>37</v>
      </c>
      <c r="E288" s="71">
        <f t="shared" si="60"/>
        <v>0.82222222222222219</v>
      </c>
      <c r="F288" s="65" t="str">
        <f t="shared" si="62"/>
        <v>Desempenho Médio</v>
      </c>
      <c r="G288" s="71">
        <f t="shared" si="66"/>
        <v>0.94582556715526966</v>
      </c>
      <c r="H288" s="71">
        <f t="shared" si="66"/>
        <v>1.4311117173682604</v>
      </c>
      <c r="I288" s="71">
        <f t="shared" si="66"/>
        <v>0.46053941694227907</v>
      </c>
      <c r="J288" s="75">
        <v>7000</v>
      </c>
      <c r="K288" s="75">
        <v>0</v>
      </c>
      <c r="L288" s="6">
        <f>(SUM(K278:K288))/J287</f>
        <v>0.32142857142857145</v>
      </c>
      <c r="M288" s="36" t="str">
        <f t="shared" si="63"/>
        <v>Desempenho Médio</v>
      </c>
      <c r="N288" s="6">
        <f t="shared" si="68"/>
        <v>0.72282137340514951</v>
      </c>
      <c r="O288" s="6">
        <f t="shared" si="68"/>
        <v>1.2463651595014014</v>
      </c>
      <c r="P288" s="6">
        <f t="shared" si="68"/>
        <v>0.19927758730889755</v>
      </c>
      <c r="Q288" s="75">
        <v>40</v>
      </c>
      <c r="R288" s="76">
        <v>57</v>
      </c>
      <c r="S288" s="6">
        <f t="shared" si="61"/>
        <v>1.425</v>
      </c>
      <c r="T288" s="36" t="str">
        <f t="shared" si="64"/>
        <v>Desempenho Ótimo</v>
      </c>
      <c r="U288" s="6">
        <f t="shared" si="69"/>
        <v>0.91825333306001944</v>
      </c>
      <c r="V288" s="6">
        <f t="shared" si="69"/>
        <v>1.402047931898428</v>
      </c>
      <c r="W288" s="6">
        <f t="shared" si="69"/>
        <v>0.43445873422161085</v>
      </c>
      <c r="X288" s="6">
        <f t="shared" si="69"/>
        <v>0.43445873422161085</v>
      </c>
      <c r="Y288" s="6">
        <f t="shared" si="69"/>
        <v>0.48379459883840858</v>
      </c>
    </row>
    <row r="289" spans="1:25" x14ac:dyDescent="0.25">
      <c r="A289" s="7" t="s">
        <v>72</v>
      </c>
      <c r="B289" s="7" t="s">
        <v>169</v>
      </c>
      <c r="C289" s="74">
        <v>45</v>
      </c>
      <c r="D289" s="74">
        <v>37</v>
      </c>
      <c r="E289" s="71">
        <f t="shared" si="60"/>
        <v>0.82222222222222219</v>
      </c>
      <c r="F289" s="65" t="str">
        <f t="shared" si="62"/>
        <v>Desempenho Médio</v>
      </c>
      <c r="G289" s="71">
        <f t="shared" si="66"/>
        <v>1.0016849877757958</v>
      </c>
      <c r="H289" s="71">
        <f t="shared" si="66"/>
        <v>1.521489991464148</v>
      </c>
      <c r="I289" s="71">
        <f t="shared" si="66"/>
        <v>0.48187998408744359</v>
      </c>
      <c r="J289" s="75">
        <v>7000</v>
      </c>
      <c r="K289" s="75">
        <v>0</v>
      </c>
      <c r="L289" s="6">
        <f>(SUM(K278:K289))/J288</f>
        <v>0.32142857142857145</v>
      </c>
      <c r="M289" s="36" t="str">
        <f t="shared" si="63"/>
        <v>Desempenho Médio</v>
      </c>
      <c r="N289" s="6">
        <f t="shared" si="68"/>
        <v>0.82421983567812696</v>
      </c>
      <c r="O289" s="6">
        <f t="shared" si="68"/>
        <v>1.3730394926064369</v>
      </c>
      <c r="P289" s="6">
        <f t="shared" si="68"/>
        <v>0.27540017874981693</v>
      </c>
      <c r="Q289" s="75">
        <v>40</v>
      </c>
      <c r="R289" s="76">
        <v>57</v>
      </c>
      <c r="S289" s="6">
        <f t="shared" si="61"/>
        <v>1.425</v>
      </c>
      <c r="T289" s="36" t="str">
        <f t="shared" si="64"/>
        <v>Desempenho Ótimo</v>
      </c>
      <c r="U289" s="6">
        <f t="shared" si="69"/>
        <v>0.91825333306001944</v>
      </c>
      <c r="V289" s="6">
        <f t="shared" si="69"/>
        <v>1.402047931898428</v>
      </c>
      <c r="W289" s="6">
        <f t="shared" si="69"/>
        <v>0.43445873422161085</v>
      </c>
      <c r="X289" s="6">
        <f t="shared" si="69"/>
        <v>0.43445873422161085</v>
      </c>
      <c r="Y289" s="6">
        <f t="shared" si="69"/>
        <v>0.48379459883840858</v>
      </c>
    </row>
    <row r="290" spans="1:25" x14ac:dyDescent="0.25">
      <c r="A290" s="7" t="s">
        <v>76</v>
      </c>
      <c r="B290" s="7" t="s">
        <v>158</v>
      </c>
      <c r="C290" s="74">
        <v>75</v>
      </c>
      <c r="D290" s="74">
        <v>28</v>
      </c>
      <c r="E290" s="71">
        <f t="shared" si="60"/>
        <v>0.37333333333333335</v>
      </c>
      <c r="F290" s="65" t="str">
        <f t="shared" si="62"/>
        <v>Desempenho Ótimo</v>
      </c>
      <c r="G290" s="71">
        <f t="shared" si="66"/>
        <v>0.11573204891712785</v>
      </c>
      <c r="H290" s="71">
        <f t="shared" si="66"/>
        <v>0.30218524997148988</v>
      </c>
      <c r="I290" s="71">
        <f t="shared" si="66"/>
        <v>-7.0721152137234206E-2</v>
      </c>
      <c r="J290" s="75">
        <v>40000</v>
      </c>
      <c r="K290" s="75">
        <v>6410.18</v>
      </c>
      <c r="L290" s="6">
        <f>K290/J290</f>
        <v>0.16025449999999999</v>
      </c>
      <c r="M290" s="36" t="str">
        <f t="shared" si="63"/>
        <v>Desempenho Bom</v>
      </c>
      <c r="N290" s="6">
        <f t="shared" si="68"/>
        <v>0.11129468122233216</v>
      </c>
      <c r="O290" s="6">
        <f t="shared" si="68"/>
        <v>0.54990456699293522</v>
      </c>
      <c r="P290" s="6">
        <f t="shared" si="68"/>
        <v>-0.32731520454827095</v>
      </c>
      <c r="Q290" s="75">
        <v>80</v>
      </c>
      <c r="R290" s="76">
        <v>3</v>
      </c>
      <c r="S290" s="6">
        <f t="shared" si="61"/>
        <v>3.7499999999999999E-2</v>
      </c>
      <c r="T290" s="36" t="str">
        <f t="shared" si="64"/>
        <v>Desempenho Médio</v>
      </c>
      <c r="U290" s="6">
        <f t="shared" si="69"/>
        <v>6.5053670194766225E-2</v>
      </c>
      <c r="V290" s="6">
        <f t="shared" si="69"/>
        <v>0.16010348962314203</v>
      </c>
      <c r="W290" s="6">
        <f t="shared" si="69"/>
        <v>-2.9996149233609562E-2</v>
      </c>
      <c r="X290" s="6">
        <f t="shared" si="69"/>
        <v>1.7528760480578331E-2</v>
      </c>
      <c r="Y290" s="6">
        <f t="shared" si="69"/>
        <v>9.5049819428375787E-2</v>
      </c>
    </row>
    <row r="291" spans="1:25" x14ac:dyDescent="0.25">
      <c r="A291" s="7" t="s">
        <v>76</v>
      </c>
      <c r="B291" s="7" t="s">
        <v>159</v>
      </c>
      <c r="C291" s="74">
        <v>75</v>
      </c>
      <c r="D291" s="74">
        <v>39</v>
      </c>
      <c r="E291" s="71">
        <f t="shared" si="60"/>
        <v>0.52</v>
      </c>
      <c r="F291" s="65" t="str">
        <f t="shared" si="62"/>
        <v>Desempenho Ótimo</v>
      </c>
      <c r="G291" s="71">
        <f t="shared" si="66"/>
        <v>0.22598075676513599</v>
      </c>
      <c r="H291" s="71">
        <f t="shared" si="66"/>
        <v>0.51894873552035481</v>
      </c>
      <c r="I291" s="71">
        <f t="shared" si="66"/>
        <v>-6.6987221990082807E-2</v>
      </c>
      <c r="J291" s="75">
        <v>40000</v>
      </c>
      <c r="K291" s="75">
        <v>1200</v>
      </c>
      <c r="L291" s="6">
        <f>(SUM(K290:K291))/J290</f>
        <v>0.19025450000000002</v>
      </c>
      <c r="M291" s="36" t="str">
        <f t="shared" si="63"/>
        <v>Desempenho Bom</v>
      </c>
      <c r="N291" s="6">
        <f t="shared" si="68"/>
        <v>0.14992070801509372</v>
      </c>
      <c r="O291" s="6">
        <f t="shared" si="68"/>
        <v>0.58968599072326611</v>
      </c>
      <c r="P291" s="6">
        <f t="shared" si="68"/>
        <v>-0.28984457469307867</v>
      </c>
      <c r="Q291" s="75">
        <v>80</v>
      </c>
      <c r="R291" s="76">
        <v>3</v>
      </c>
      <c r="S291" s="6">
        <f t="shared" si="61"/>
        <v>3.7499999999999999E-2</v>
      </c>
      <c r="T291" s="36" t="str">
        <f t="shared" si="64"/>
        <v>Desempenho Médio</v>
      </c>
      <c r="U291" s="6">
        <f t="shared" si="69"/>
        <v>6.5053670194766225E-2</v>
      </c>
      <c r="V291" s="6">
        <f t="shared" si="69"/>
        <v>0.16010348962314203</v>
      </c>
      <c r="W291" s="6">
        <f t="shared" si="69"/>
        <v>-2.9996149233609562E-2</v>
      </c>
      <c r="X291" s="6">
        <f t="shared" si="69"/>
        <v>1.7528760480578331E-2</v>
      </c>
      <c r="Y291" s="6">
        <f t="shared" si="69"/>
        <v>9.5049819428375787E-2</v>
      </c>
    </row>
    <row r="292" spans="1:25" x14ac:dyDescent="0.25">
      <c r="A292" s="7" t="s">
        <v>76</v>
      </c>
      <c r="B292" s="7" t="s">
        <v>160</v>
      </c>
      <c r="C292" s="74">
        <v>75</v>
      </c>
      <c r="D292" s="74">
        <v>39</v>
      </c>
      <c r="E292" s="71">
        <f t="shared" si="60"/>
        <v>0.52</v>
      </c>
      <c r="F292" s="65" t="str">
        <f t="shared" si="62"/>
        <v>Desempenho Bom</v>
      </c>
      <c r="G292" s="71">
        <f t="shared" si="66"/>
        <v>0.2827891266215985</v>
      </c>
      <c r="H292" s="71">
        <f t="shared" si="66"/>
        <v>0.59134445337262298</v>
      </c>
      <c r="I292" s="71">
        <f t="shared" si="66"/>
        <v>-2.5766200129425987E-2</v>
      </c>
      <c r="J292" s="75">
        <v>40000</v>
      </c>
      <c r="K292" s="75">
        <v>1530</v>
      </c>
      <c r="L292" s="6">
        <f>(SUM(K290:K292))/J291</f>
        <v>0.2285045</v>
      </c>
      <c r="M292" s="36" t="str">
        <f t="shared" si="63"/>
        <v>Desempenho Bom</v>
      </c>
      <c r="N292" s="6">
        <f t="shared" si="68"/>
        <v>0.17723994755342617</v>
      </c>
      <c r="O292" s="6">
        <f t="shared" si="68"/>
        <v>0.61473682715667155</v>
      </c>
      <c r="P292" s="6">
        <f t="shared" si="68"/>
        <v>-0.26025693204981915</v>
      </c>
      <c r="Q292" s="75">
        <v>80</v>
      </c>
      <c r="R292" s="76">
        <v>3</v>
      </c>
      <c r="S292" s="6">
        <f t="shared" si="61"/>
        <v>3.7499999999999999E-2</v>
      </c>
      <c r="T292" s="36" t="str">
        <f t="shared" si="64"/>
        <v>Desempenho Médio</v>
      </c>
      <c r="U292" s="6">
        <f t="shared" si="69"/>
        <v>0.18401218302179842</v>
      </c>
      <c r="V292" s="6">
        <f t="shared" si="69"/>
        <v>0.37883088095577799</v>
      </c>
      <c r="W292" s="6">
        <f t="shared" si="69"/>
        <v>-1.0806514912181153E-2</v>
      </c>
      <c r="X292" s="6">
        <f t="shared" si="69"/>
        <v>8.6602834054808633E-2</v>
      </c>
      <c r="Y292" s="6">
        <f t="shared" si="69"/>
        <v>0.19481869793397957</v>
      </c>
    </row>
    <row r="293" spans="1:25" x14ac:dyDescent="0.25">
      <c r="A293" s="7" t="s">
        <v>76</v>
      </c>
      <c r="B293" s="7" t="s">
        <v>161</v>
      </c>
      <c r="C293" s="74">
        <v>75</v>
      </c>
      <c r="D293" s="74">
        <v>61</v>
      </c>
      <c r="E293" s="71">
        <f t="shared" si="60"/>
        <v>0.81333333333333335</v>
      </c>
      <c r="F293" s="65" t="str">
        <f t="shared" si="62"/>
        <v>Desempenho Ótimo</v>
      </c>
      <c r="G293" s="71">
        <f t="shared" si="66"/>
        <v>0.36222496935690102</v>
      </c>
      <c r="H293" s="71">
        <f t="shared" si="66"/>
        <v>0.67917151968337719</v>
      </c>
      <c r="I293" s="71">
        <f t="shared" si="66"/>
        <v>4.5278419030424844E-2</v>
      </c>
      <c r="J293" s="75">
        <v>40000</v>
      </c>
      <c r="K293" s="75">
        <v>4</v>
      </c>
      <c r="L293" s="6">
        <f>(SUM(K290:K293))/J292</f>
        <v>0.22860450000000002</v>
      </c>
      <c r="M293" s="36" t="str">
        <f t="shared" si="63"/>
        <v>Desempenho Bom</v>
      </c>
      <c r="N293" s="6">
        <f t="shared" si="68"/>
        <v>0.2271654986777647</v>
      </c>
      <c r="O293" s="6">
        <f t="shared" si="68"/>
        <v>0.71582389712396544</v>
      </c>
      <c r="P293" s="6">
        <f t="shared" si="68"/>
        <v>-0.26149289976843598</v>
      </c>
      <c r="Q293" s="75">
        <v>80</v>
      </c>
      <c r="R293" s="76">
        <v>3</v>
      </c>
      <c r="S293" s="6">
        <f t="shared" si="61"/>
        <v>3.7499999999999999E-2</v>
      </c>
      <c r="T293" s="36" t="str">
        <f t="shared" si="64"/>
        <v>Desempenho Médio</v>
      </c>
      <c r="U293" s="6">
        <f t="shared" si="69"/>
        <v>0.18401218302179842</v>
      </c>
      <c r="V293" s="6">
        <f t="shared" si="69"/>
        <v>0.37883088095577799</v>
      </c>
      <c r="W293" s="6">
        <f t="shared" si="69"/>
        <v>-1.0806514912181153E-2</v>
      </c>
      <c r="X293" s="6">
        <f t="shared" si="69"/>
        <v>8.6602834054808633E-2</v>
      </c>
      <c r="Y293" s="6">
        <f t="shared" si="69"/>
        <v>0.19481869793397957</v>
      </c>
    </row>
    <row r="294" spans="1:25" x14ac:dyDescent="0.25">
      <c r="A294" s="7" t="s">
        <v>76</v>
      </c>
      <c r="B294" s="7" t="s">
        <v>162</v>
      </c>
      <c r="C294" s="74">
        <v>75</v>
      </c>
      <c r="D294" s="74">
        <v>64</v>
      </c>
      <c r="E294" s="71">
        <f t="shared" si="60"/>
        <v>0.85333333333333339</v>
      </c>
      <c r="F294" s="65" t="str">
        <f t="shared" si="62"/>
        <v>Desempenho Ótimo</v>
      </c>
      <c r="G294" s="71">
        <f t="shared" si="66"/>
        <v>0.44825178806664662</v>
      </c>
      <c r="H294" s="71">
        <f t="shared" si="66"/>
        <v>0.78548221403733831</v>
      </c>
      <c r="I294" s="71">
        <f t="shared" si="66"/>
        <v>0.11102136209595498</v>
      </c>
      <c r="J294" s="75">
        <v>40000</v>
      </c>
      <c r="K294" s="75">
        <v>2628</v>
      </c>
      <c r="L294" s="6">
        <f>(SUM(K290:K294))/J293</f>
        <v>0.29430450000000002</v>
      </c>
      <c r="M294" s="36" t="str">
        <f t="shared" si="63"/>
        <v>Desempenho Bom</v>
      </c>
      <c r="N294" s="6">
        <f t="shared" ref="N294:P309" si="70">N282</f>
        <v>0.27284258705105507</v>
      </c>
      <c r="O294" s="6">
        <f t="shared" si="70"/>
        <v>0.75981161093062477</v>
      </c>
      <c r="P294" s="6">
        <f t="shared" si="70"/>
        <v>-0.21412643682851468</v>
      </c>
      <c r="Q294" s="75">
        <v>80</v>
      </c>
      <c r="R294" s="76">
        <v>3</v>
      </c>
      <c r="S294" s="6">
        <f t="shared" si="61"/>
        <v>3.7499999999999999E-2</v>
      </c>
      <c r="T294" s="36" t="str">
        <f t="shared" si="64"/>
        <v>Desempenho Médio</v>
      </c>
      <c r="U294" s="6">
        <f t="shared" si="69"/>
        <v>0.23278475191631845</v>
      </c>
      <c r="V294" s="6">
        <f t="shared" si="69"/>
        <v>0.51017789992422413</v>
      </c>
      <c r="W294" s="6">
        <f t="shared" si="69"/>
        <v>-4.460839609158726E-2</v>
      </c>
      <c r="X294" s="6">
        <f t="shared" si="69"/>
        <v>9.4088177912365595E-2</v>
      </c>
      <c r="Y294" s="6">
        <f t="shared" si="69"/>
        <v>0.27739314800790571</v>
      </c>
    </row>
    <row r="295" spans="1:25" x14ac:dyDescent="0.25">
      <c r="A295" s="7" t="s">
        <v>76</v>
      </c>
      <c r="B295" s="7" t="s">
        <v>163</v>
      </c>
      <c r="C295" s="74">
        <v>75</v>
      </c>
      <c r="D295" s="74">
        <v>64</v>
      </c>
      <c r="E295" s="71">
        <f t="shared" si="60"/>
        <v>0.85333333333333339</v>
      </c>
      <c r="F295" s="65" t="str">
        <f t="shared" si="62"/>
        <v>Desempenho Bom</v>
      </c>
      <c r="G295" s="71">
        <f t="shared" si="66"/>
        <v>0.54231176602906361</v>
      </c>
      <c r="H295" s="71">
        <f t="shared" si="66"/>
        <v>0.92735502699565786</v>
      </c>
      <c r="I295" s="71">
        <f t="shared" si="66"/>
        <v>0.15726850506246942</v>
      </c>
      <c r="J295" s="75">
        <v>40000</v>
      </c>
      <c r="K295" s="75">
        <v>710</v>
      </c>
      <c r="L295" s="6">
        <f>(SUM(K290:K295))/J294</f>
        <v>0.31205450000000001</v>
      </c>
      <c r="M295" s="36" t="str">
        <f t="shared" si="63"/>
        <v>Desempenho Médio</v>
      </c>
      <c r="N295" s="6">
        <f t="shared" si="70"/>
        <v>0.31451673641638933</v>
      </c>
      <c r="O295" s="6">
        <f t="shared" si="70"/>
        <v>0.80702132782766356</v>
      </c>
      <c r="P295" s="6">
        <f t="shared" si="70"/>
        <v>-0.1779878549948849</v>
      </c>
      <c r="Q295" s="75">
        <v>80</v>
      </c>
      <c r="R295" s="76">
        <v>28</v>
      </c>
      <c r="S295" s="6">
        <f t="shared" si="61"/>
        <v>0.35</v>
      </c>
      <c r="T295" s="36" t="str">
        <f t="shared" si="64"/>
        <v>Desempenho Médio</v>
      </c>
      <c r="U295" s="6">
        <f t="shared" si="69"/>
        <v>0.46105014853915682</v>
      </c>
      <c r="V295" s="6">
        <f t="shared" si="69"/>
        <v>0.84756736419379908</v>
      </c>
      <c r="W295" s="6">
        <f t="shared" si="69"/>
        <v>7.4532932884514569E-2</v>
      </c>
      <c r="X295" s="6">
        <f t="shared" si="69"/>
        <v>7.4532932884514569E-2</v>
      </c>
      <c r="Y295" s="6">
        <f t="shared" si="69"/>
        <v>0.38651721565464225</v>
      </c>
    </row>
    <row r="296" spans="1:25" x14ac:dyDescent="0.25">
      <c r="A296" s="7" t="s">
        <v>76</v>
      </c>
      <c r="B296" s="7" t="s">
        <v>164</v>
      </c>
      <c r="C296" s="74">
        <v>75</v>
      </c>
      <c r="D296" s="74">
        <v>64</v>
      </c>
      <c r="E296" s="71">
        <f t="shared" si="60"/>
        <v>0.85333333333333339</v>
      </c>
      <c r="F296" s="65" t="str">
        <f t="shared" si="62"/>
        <v>Desempenho Bom</v>
      </c>
      <c r="G296" s="71">
        <f t="shared" si="66"/>
        <v>0.63634637719050002</v>
      </c>
      <c r="H296" s="71">
        <f t="shared" si="66"/>
        <v>1.0512878703900039</v>
      </c>
      <c r="I296" s="71">
        <f t="shared" si="66"/>
        <v>0.22140488399099606</v>
      </c>
      <c r="J296" s="75">
        <v>40000</v>
      </c>
      <c r="K296" s="75">
        <v>3306</v>
      </c>
      <c r="L296" s="6">
        <f>(SUM(K290:K296))/J295</f>
        <v>0.39470450000000001</v>
      </c>
      <c r="M296" s="36" t="str">
        <f t="shared" si="63"/>
        <v>Desempenho Bom</v>
      </c>
      <c r="N296" s="6">
        <f t="shared" si="70"/>
        <v>0.38334713342809434</v>
      </c>
      <c r="O296" s="6">
        <f t="shared" si="70"/>
        <v>0.88375935483946089</v>
      </c>
      <c r="P296" s="6">
        <f t="shared" si="70"/>
        <v>-0.1170650879832722</v>
      </c>
      <c r="Q296" s="75">
        <v>80</v>
      </c>
      <c r="R296" s="76">
        <v>28</v>
      </c>
      <c r="S296" s="6">
        <f t="shared" si="61"/>
        <v>0.35</v>
      </c>
      <c r="T296" s="36" t="str">
        <f t="shared" si="64"/>
        <v>Desempenho Médio</v>
      </c>
      <c r="U296" s="6">
        <f t="shared" si="69"/>
        <v>0.46105014853915682</v>
      </c>
      <c r="V296" s="6">
        <f t="shared" si="69"/>
        <v>0.84756736419379908</v>
      </c>
      <c r="W296" s="6">
        <f t="shared" si="69"/>
        <v>7.4532932884514569E-2</v>
      </c>
      <c r="X296" s="6">
        <f t="shared" si="69"/>
        <v>7.4532932884514569E-2</v>
      </c>
      <c r="Y296" s="6">
        <f t="shared" si="69"/>
        <v>0.38651721565464225</v>
      </c>
    </row>
    <row r="297" spans="1:25" x14ac:dyDescent="0.25">
      <c r="A297" s="7" t="s">
        <v>76</v>
      </c>
      <c r="B297" s="7" t="s">
        <v>165</v>
      </c>
      <c r="C297" s="74">
        <v>75</v>
      </c>
      <c r="D297" s="74">
        <v>64</v>
      </c>
      <c r="E297" s="71">
        <f t="shared" si="60"/>
        <v>0.85333333333333339</v>
      </c>
      <c r="F297" s="65" t="str">
        <f t="shared" si="62"/>
        <v>Desempenho Bom</v>
      </c>
      <c r="G297" s="71">
        <f t="shared" si="66"/>
        <v>0.70660866675940681</v>
      </c>
      <c r="H297" s="71">
        <f t="shared" si="66"/>
        <v>1.1341225514190425</v>
      </c>
      <c r="I297" s="71">
        <f t="shared" si="66"/>
        <v>0.27909478209977112</v>
      </c>
      <c r="J297" s="75">
        <v>40000</v>
      </c>
      <c r="K297" s="75">
        <v>3300</v>
      </c>
      <c r="L297" s="6">
        <f>(SUM(K290:K297))/J296</f>
        <v>0.47720450000000003</v>
      </c>
      <c r="M297" s="36" t="str">
        <f t="shared" si="63"/>
        <v>Desempenho Bom</v>
      </c>
      <c r="N297" s="6">
        <f t="shared" si="70"/>
        <v>0.45719521320533213</v>
      </c>
      <c r="O297" s="6">
        <f t="shared" si="70"/>
        <v>0.97356755068321044</v>
      </c>
      <c r="P297" s="6">
        <f t="shared" si="70"/>
        <v>-5.9177124272546122E-2</v>
      </c>
      <c r="Q297" s="75">
        <v>80</v>
      </c>
      <c r="R297" s="76">
        <v>28</v>
      </c>
      <c r="S297" s="6">
        <f t="shared" si="61"/>
        <v>0.35</v>
      </c>
      <c r="T297" s="36" t="str">
        <f t="shared" si="64"/>
        <v>Desempenho Médio</v>
      </c>
      <c r="U297" s="6">
        <f t="shared" si="69"/>
        <v>0.46105014853915682</v>
      </c>
      <c r="V297" s="6">
        <f t="shared" si="69"/>
        <v>0.84756736419379908</v>
      </c>
      <c r="W297" s="6">
        <f t="shared" si="69"/>
        <v>7.4532932884514569E-2</v>
      </c>
      <c r="X297" s="6">
        <f t="shared" si="69"/>
        <v>7.4532932884514569E-2</v>
      </c>
      <c r="Y297" s="6">
        <f t="shared" si="69"/>
        <v>0.38651721565464225</v>
      </c>
    </row>
    <row r="298" spans="1:25" x14ac:dyDescent="0.25">
      <c r="A298" s="7" t="s">
        <v>76</v>
      </c>
      <c r="B298" s="7" t="s">
        <v>166</v>
      </c>
      <c r="C298" s="74">
        <v>75</v>
      </c>
      <c r="D298" s="74">
        <v>69</v>
      </c>
      <c r="E298" s="71">
        <f t="shared" si="60"/>
        <v>0.92</v>
      </c>
      <c r="F298" s="65" t="str">
        <f t="shared" si="62"/>
        <v>Desempenho Bom</v>
      </c>
      <c r="G298" s="71">
        <f t="shared" si="66"/>
        <v>0.73663014244586189</v>
      </c>
      <c r="H298" s="71">
        <f t="shared" si="66"/>
        <v>1.1737360935948695</v>
      </c>
      <c r="I298" s="71">
        <f t="shared" si="66"/>
        <v>0.29952419129685426</v>
      </c>
      <c r="J298" s="75">
        <v>40000</v>
      </c>
      <c r="K298" s="75">
        <v>1</v>
      </c>
      <c r="L298" s="6">
        <f>(SUM(K290:K298))/J297</f>
        <v>0.47722950000000003</v>
      </c>
      <c r="M298" s="36" t="str">
        <f t="shared" si="63"/>
        <v>Desempenho Médio</v>
      </c>
      <c r="N298" s="6">
        <f t="shared" si="70"/>
        <v>0.50336729135060976</v>
      </c>
      <c r="O298" s="6">
        <f t="shared" si="70"/>
        <v>1.0150591886201059</v>
      </c>
      <c r="P298" s="6">
        <f t="shared" si="70"/>
        <v>-8.3246059188863963E-3</v>
      </c>
      <c r="Q298" s="75">
        <v>80</v>
      </c>
      <c r="R298" s="76">
        <v>47</v>
      </c>
      <c r="S298" s="6">
        <f t="shared" si="61"/>
        <v>0.58750000000000002</v>
      </c>
      <c r="T298" s="36" t="str">
        <f t="shared" si="64"/>
        <v>Desempenho Médio</v>
      </c>
      <c r="U298" s="6">
        <f t="shared" si="69"/>
        <v>0.74232771533595698</v>
      </c>
      <c r="V298" s="6">
        <f t="shared" si="69"/>
        <v>1.1540802341555996</v>
      </c>
      <c r="W298" s="6">
        <f t="shared" si="69"/>
        <v>0.33057519651631434</v>
      </c>
      <c r="X298" s="6">
        <f t="shared" si="69"/>
        <v>0.33057519651631434</v>
      </c>
      <c r="Y298" s="6">
        <f t="shared" si="69"/>
        <v>0.41175251881964264</v>
      </c>
    </row>
    <row r="299" spans="1:25" x14ac:dyDescent="0.25">
      <c r="A299" s="7" t="s">
        <v>76</v>
      </c>
      <c r="B299" s="7" t="s">
        <v>167</v>
      </c>
      <c r="C299" s="74">
        <v>75</v>
      </c>
      <c r="D299" s="74">
        <v>86</v>
      </c>
      <c r="E299" s="71">
        <f t="shared" si="60"/>
        <v>1.1466666666666667</v>
      </c>
      <c r="F299" s="65" t="str">
        <f t="shared" si="62"/>
        <v>Desempenho Bom</v>
      </c>
      <c r="G299" s="71">
        <f t="shared" si="66"/>
        <v>0.82061442726694189</v>
      </c>
      <c r="H299" s="71">
        <f t="shared" si="66"/>
        <v>1.2607833515834532</v>
      </c>
      <c r="I299" s="71">
        <f t="shared" si="66"/>
        <v>0.38044550295043061</v>
      </c>
      <c r="J299" s="75">
        <v>40000</v>
      </c>
      <c r="K299" s="75">
        <v>1847</v>
      </c>
      <c r="L299" s="6">
        <f>(SUM(K290:K299))/J298</f>
        <v>0.52340450000000005</v>
      </c>
      <c r="M299" s="36" t="str">
        <f t="shared" si="63"/>
        <v>Desempenho Médio</v>
      </c>
      <c r="N299" s="6">
        <f t="shared" si="70"/>
        <v>0.58006775555216661</v>
      </c>
      <c r="O299" s="6">
        <f t="shared" si="70"/>
        <v>1.099948635873619</v>
      </c>
      <c r="P299" s="6">
        <f t="shared" si="70"/>
        <v>6.0186875230714088E-2</v>
      </c>
      <c r="Q299" s="75">
        <v>80</v>
      </c>
      <c r="R299" s="76">
        <v>69</v>
      </c>
      <c r="S299" s="6">
        <f t="shared" si="61"/>
        <v>0.86250000000000004</v>
      </c>
      <c r="T299" s="36" t="str">
        <f t="shared" si="64"/>
        <v>Desempenho Bom</v>
      </c>
      <c r="U299" s="6">
        <f t="shared" si="69"/>
        <v>0.82347447721763523</v>
      </c>
      <c r="V299" s="6">
        <f t="shared" si="69"/>
        <v>1.2398542522675045</v>
      </c>
      <c r="W299" s="6">
        <f t="shared" si="69"/>
        <v>0.40709470216776611</v>
      </c>
      <c r="X299" s="6">
        <f t="shared" si="69"/>
        <v>0.40709470216776611</v>
      </c>
      <c r="Y299" s="6">
        <f t="shared" si="69"/>
        <v>0.41637977504986912</v>
      </c>
    </row>
    <row r="300" spans="1:25" x14ac:dyDescent="0.25">
      <c r="A300" s="7" t="s">
        <v>76</v>
      </c>
      <c r="B300" s="7" t="s">
        <v>168</v>
      </c>
      <c r="C300" s="74">
        <v>75</v>
      </c>
      <c r="D300" s="74">
        <v>86</v>
      </c>
      <c r="E300" s="71">
        <f t="shared" si="60"/>
        <v>1.1466666666666667</v>
      </c>
      <c r="F300" s="65" t="str">
        <f t="shared" si="62"/>
        <v>Desempenho Bom</v>
      </c>
      <c r="G300" s="71">
        <f t="shared" si="66"/>
        <v>0.94582556715526966</v>
      </c>
      <c r="H300" s="71">
        <f t="shared" si="66"/>
        <v>1.4311117173682604</v>
      </c>
      <c r="I300" s="71">
        <f t="shared" si="66"/>
        <v>0.46053941694227907</v>
      </c>
      <c r="J300" s="75">
        <v>40000</v>
      </c>
      <c r="K300" s="75">
        <v>14197.19</v>
      </c>
      <c r="L300" s="6">
        <f>(SUM(K290:K300))/J299</f>
        <v>0.87833425000000009</v>
      </c>
      <c r="M300" s="36" t="str">
        <f t="shared" si="63"/>
        <v>Desempenho Bom</v>
      </c>
      <c r="N300" s="6">
        <f t="shared" si="70"/>
        <v>0.72282137340514951</v>
      </c>
      <c r="O300" s="6">
        <f t="shared" si="70"/>
        <v>1.2463651595014014</v>
      </c>
      <c r="P300" s="6">
        <f t="shared" si="70"/>
        <v>0.19927758730889755</v>
      </c>
      <c r="Q300" s="75">
        <v>80</v>
      </c>
      <c r="R300" s="76">
        <v>69</v>
      </c>
      <c r="S300" s="6">
        <f t="shared" si="61"/>
        <v>0.86250000000000004</v>
      </c>
      <c r="T300" s="36" t="str">
        <f t="shared" si="64"/>
        <v>Desempenho Médio</v>
      </c>
      <c r="U300" s="6">
        <f t="shared" si="69"/>
        <v>0.91825333306001944</v>
      </c>
      <c r="V300" s="6">
        <f t="shared" si="69"/>
        <v>1.402047931898428</v>
      </c>
      <c r="W300" s="6">
        <f t="shared" si="69"/>
        <v>0.43445873422161085</v>
      </c>
      <c r="X300" s="6">
        <f t="shared" si="69"/>
        <v>0.43445873422161085</v>
      </c>
      <c r="Y300" s="6">
        <f t="shared" si="69"/>
        <v>0.48379459883840858</v>
      </c>
    </row>
    <row r="301" spans="1:25" x14ac:dyDescent="0.25">
      <c r="A301" s="7" t="s">
        <v>76</v>
      </c>
      <c r="B301" s="7" t="s">
        <v>169</v>
      </c>
      <c r="C301" s="74">
        <v>75</v>
      </c>
      <c r="D301" s="74">
        <v>86</v>
      </c>
      <c r="E301" s="71">
        <f t="shared" si="60"/>
        <v>1.1466666666666667</v>
      </c>
      <c r="F301" s="65" t="str">
        <f t="shared" si="62"/>
        <v>Desempenho Bom</v>
      </c>
      <c r="G301" s="71">
        <f t="shared" si="66"/>
        <v>1.0016849877757958</v>
      </c>
      <c r="H301" s="71">
        <f t="shared" si="66"/>
        <v>1.521489991464148</v>
      </c>
      <c r="I301" s="71">
        <f t="shared" si="66"/>
        <v>0.48187998408744359</v>
      </c>
      <c r="J301" s="75">
        <v>40000</v>
      </c>
      <c r="K301" s="75">
        <v>11000</v>
      </c>
      <c r="L301" s="6">
        <f>(SUM(K290:K301))/J300</f>
        <v>1.1533342500000001</v>
      </c>
      <c r="M301" s="36" t="str">
        <f t="shared" si="63"/>
        <v>Desempenho Bom</v>
      </c>
      <c r="N301" s="6">
        <f t="shared" si="70"/>
        <v>0.82421983567812696</v>
      </c>
      <c r="O301" s="6">
        <f t="shared" si="70"/>
        <v>1.3730394926064369</v>
      </c>
      <c r="P301" s="6">
        <f t="shared" si="70"/>
        <v>0.27540017874981693</v>
      </c>
      <c r="Q301" s="75">
        <v>80</v>
      </c>
      <c r="R301" s="76">
        <v>69</v>
      </c>
      <c r="S301" s="6">
        <f t="shared" si="61"/>
        <v>0.86250000000000004</v>
      </c>
      <c r="T301" s="36" t="str">
        <f t="shared" si="64"/>
        <v>Desempenho Médio</v>
      </c>
      <c r="U301" s="6">
        <f t="shared" si="69"/>
        <v>0.91825333306001944</v>
      </c>
      <c r="V301" s="6">
        <f t="shared" si="69"/>
        <v>1.402047931898428</v>
      </c>
      <c r="W301" s="6">
        <f t="shared" si="69"/>
        <v>0.43445873422161085</v>
      </c>
      <c r="X301" s="6">
        <f t="shared" si="69"/>
        <v>0.43445873422161085</v>
      </c>
      <c r="Y301" s="6">
        <f t="shared" si="69"/>
        <v>0.48379459883840858</v>
      </c>
    </row>
    <row r="302" spans="1:25" x14ac:dyDescent="0.25">
      <c r="A302" s="7" t="s">
        <v>47</v>
      </c>
      <c r="B302" s="7" t="s">
        <v>158</v>
      </c>
      <c r="C302" s="74">
        <v>75</v>
      </c>
      <c r="D302" s="74">
        <v>0</v>
      </c>
      <c r="E302" s="71">
        <f t="shared" si="60"/>
        <v>0</v>
      </c>
      <c r="F302" s="65" t="str">
        <f t="shared" si="62"/>
        <v>Desempenho Médio</v>
      </c>
      <c r="G302" s="71">
        <f t="shared" si="66"/>
        <v>0.11573204891712785</v>
      </c>
      <c r="H302" s="71">
        <f t="shared" si="66"/>
        <v>0.30218524997148988</v>
      </c>
      <c r="I302" s="71">
        <f t="shared" si="66"/>
        <v>-7.0721152137234206E-2</v>
      </c>
      <c r="J302" s="75">
        <v>12068.25</v>
      </c>
      <c r="K302" s="75">
        <v>0</v>
      </c>
      <c r="L302" s="6">
        <f>K302/J302</f>
        <v>0</v>
      </c>
      <c r="M302" s="36" t="str">
        <f t="shared" si="63"/>
        <v>Desempenho Médio</v>
      </c>
      <c r="N302" s="6">
        <f t="shared" si="70"/>
        <v>0.11129468122233216</v>
      </c>
      <c r="O302" s="6">
        <f t="shared" si="70"/>
        <v>0.54990456699293522</v>
      </c>
      <c r="P302" s="6">
        <f t="shared" si="70"/>
        <v>-0.32731520454827095</v>
      </c>
      <c r="Q302" s="75">
        <v>80</v>
      </c>
      <c r="R302" s="76">
        <v>0</v>
      </c>
      <c r="S302" s="6">
        <f t="shared" si="61"/>
        <v>0</v>
      </c>
      <c r="T302" s="36" t="str">
        <f t="shared" si="64"/>
        <v>Desempenho Médio</v>
      </c>
      <c r="U302" s="6">
        <f t="shared" si="69"/>
        <v>6.5053670194766225E-2</v>
      </c>
      <c r="V302" s="6">
        <f t="shared" si="69"/>
        <v>0.16010348962314203</v>
      </c>
      <c r="W302" s="6">
        <f t="shared" si="69"/>
        <v>-2.9996149233609562E-2</v>
      </c>
      <c r="X302" s="6">
        <f t="shared" si="69"/>
        <v>1.7528760480578331E-2</v>
      </c>
      <c r="Y302" s="6">
        <f t="shared" si="69"/>
        <v>9.5049819428375787E-2</v>
      </c>
    </row>
    <row r="303" spans="1:25" x14ac:dyDescent="0.25">
      <c r="A303" s="7" t="s">
        <v>47</v>
      </c>
      <c r="B303" s="7" t="s">
        <v>159</v>
      </c>
      <c r="C303" s="74">
        <v>75</v>
      </c>
      <c r="D303" s="74">
        <v>0</v>
      </c>
      <c r="E303" s="71">
        <f t="shared" si="60"/>
        <v>0</v>
      </c>
      <c r="F303" s="65" t="str">
        <f t="shared" si="62"/>
        <v>Desempenho Médio</v>
      </c>
      <c r="G303" s="71">
        <f t="shared" si="66"/>
        <v>0.22598075676513599</v>
      </c>
      <c r="H303" s="71">
        <f t="shared" si="66"/>
        <v>0.51894873552035481</v>
      </c>
      <c r="I303" s="71">
        <f t="shared" si="66"/>
        <v>-6.6987221990082807E-2</v>
      </c>
      <c r="J303" s="75">
        <v>12068.25</v>
      </c>
      <c r="K303" s="75">
        <v>0</v>
      </c>
      <c r="L303" s="6">
        <f>(SUM(K302:K303))/J302</f>
        <v>0</v>
      </c>
      <c r="M303" s="36" t="str">
        <f t="shared" si="63"/>
        <v>Desempenho Médio</v>
      </c>
      <c r="N303" s="6">
        <f t="shared" si="70"/>
        <v>0.14992070801509372</v>
      </c>
      <c r="O303" s="6">
        <f t="shared" si="70"/>
        <v>0.58968599072326611</v>
      </c>
      <c r="P303" s="6">
        <f t="shared" si="70"/>
        <v>-0.28984457469307867</v>
      </c>
      <c r="Q303" s="75">
        <v>80</v>
      </c>
      <c r="R303" s="76">
        <v>0</v>
      </c>
      <c r="S303" s="6">
        <f t="shared" si="61"/>
        <v>0</v>
      </c>
      <c r="T303" s="36" t="str">
        <f t="shared" si="64"/>
        <v>Desempenho Médio</v>
      </c>
      <c r="U303" s="6">
        <f t="shared" ref="U303:Y318" si="71">U291</f>
        <v>6.5053670194766225E-2</v>
      </c>
      <c r="V303" s="6">
        <f t="shared" si="71"/>
        <v>0.16010348962314203</v>
      </c>
      <c r="W303" s="6">
        <f t="shared" si="71"/>
        <v>-2.9996149233609562E-2</v>
      </c>
      <c r="X303" s="6">
        <f t="shared" si="71"/>
        <v>1.7528760480578331E-2</v>
      </c>
      <c r="Y303" s="6">
        <f t="shared" si="71"/>
        <v>9.5049819428375787E-2</v>
      </c>
    </row>
    <row r="304" spans="1:25" x14ac:dyDescent="0.25">
      <c r="A304" s="7" t="s">
        <v>47</v>
      </c>
      <c r="B304" s="7" t="s">
        <v>160</v>
      </c>
      <c r="C304" s="74">
        <v>75</v>
      </c>
      <c r="D304" s="74">
        <v>0</v>
      </c>
      <c r="E304" s="71">
        <f t="shared" si="60"/>
        <v>0</v>
      </c>
      <c r="F304" s="65" t="str">
        <f t="shared" si="62"/>
        <v>Desempenho Médio</v>
      </c>
      <c r="G304" s="71">
        <f t="shared" si="66"/>
        <v>0.2827891266215985</v>
      </c>
      <c r="H304" s="71">
        <f t="shared" si="66"/>
        <v>0.59134445337262298</v>
      </c>
      <c r="I304" s="71">
        <f t="shared" si="66"/>
        <v>-2.5766200129425987E-2</v>
      </c>
      <c r="J304" s="75">
        <v>12068.25</v>
      </c>
      <c r="K304" s="75">
        <v>1813.63</v>
      </c>
      <c r="L304" s="6">
        <f>(SUM(K302:K304))/J303</f>
        <v>0.15028110952292173</v>
      </c>
      <c r="M304" s="36" t="str">
        <f t="shared" si="63"/>
        <v>Desempenho Médio</v>
      </c>
      <c r="N304" s="6">
        <f t="shared" si="70"/>
        <v>0.17723994755342617</v>
      </c>
      <c r="O304" s="6">
        <f t="shared" si="70"/>
        <v>0.61473682715667155</v>
      </c>
      <c r="P304" s="6">
        <f t="shared" si="70"/>
        <v>-0.26025693204981915</v>
      </c>
      <c r="Q304" s="75">
        <v>80</v>
      </c>
      <c r="R304" s="76">
        <v>0</v>
      </c>
      <c r="S304" s="6">
        <f t="shared" si="61"/>
        <v>0</v>
      </c>
      <c r="T304" s="36" t="str">
        <f t="shared" si="64"/>
        <v>Desempenho Médio</v>
      </c>
      <c r="U304" s="6">
        <f t="shared" si="71"/>
        <v>0.18401218302179842</v>
      </c>
      <c r="V304" s="6">
        <f t="shared" si="71"/>
        <v>0.37883088095577799</v>
      </c>
      <c r="W304" s="6">
        <f t="shared" si="71"/>
        <v>-1.0806514912181153E-2</v>
      </c>
      <c r="X304" s="6">
        <f t="shared" si="71"/>
        <v>8.6602834054808633E-2</v>
      </c>
      <c r="Y304" s="6">
        <f t="shared" si="71"/>
        <v>0.19481869793397957</v>
      </c>
    </row>
    <row r="305" spans="1:25" x14ac:dyDescent="0.25">
      <c r="A305" s="7" t="s">
        <v>47</v>
      </c>
      <c r="B305" s="7" t="s">
        <v>161</v>
      </c>
      <c r="C305" s="74">
        <v>75</v>
      </c>
      <c r="D305" s="74">
        <v>0</v>
      </c>
      <c r="E305" s="71">
        <f t="shared" si="60"/>
        <v>0</v>
      </c>
      <c r="F305" s="65" t="str">
        <f t="shared" si="62"/>
        <v>Desempenho Deficitário</v>
      </c>
      <c r="G305" s="71">
        <f t="shared" si="66"/>
        <v>0.36222496935690102</v>
      </c>
      <c r="H305" s="71">
        <f t="shared" si="66"/>
        <v>0.67917151968337719</v>
      </c>
      <c r="I305" s="71">
        <f t="shared" si="66"/>
        <v>4.5278419030424844E-2</v>
      </c>
      <c r="J305" s="75">
        <v>12068.25</v>
      </c>
      <c r="K305" s="75">
        <v>0</v>
      </c>
      <c r="L305" s="6">
        <f>(SUM(K302:K305))/J304</f>
        <v>0.15028110952292173</v>
      </c>
      <c r="M305" s="36" t="str">
        <f t="shared" si="63"/>
        <v>Desempenho Médio</v>
      </c>
      <c r="N305" s="6">
        <f t="shared" si="70"/>
        <v>0.2271654986777647</v>
      </c>
      <c r="O305" s="6">
        <f t="shared" si="70"/>
        <v>0.71582389712396544</v>
      </c>
      <c r="P305" s="6">
        <f t="shared" si="70"/>
        <v>-0.26149289976843598</v>
      </c>
      <c r="Q305" s="75">
        <v>80</v>
      </c>
      <c r="R305" s="76">
        <v>0</v>
      </c>
      <c r="S305" s="6">
        <f t="shared" si="61"/>
        <v>0</v>
      </c>
      <c r="T305" s="36" t="str">
        <f t="shared" si="64"/>
        <v>Desempenho Médio</v>
      </c>
      <c r="U305" s="6">
        <f t="shared" si="71"/>
        <v>0.18401218302179842</v>
      </c>
      <c r="V305" s="6">
        <f t="shared" si="71"/>
        <v>0.37883088095577799</v>
      </c>
      <c r="W305" s="6">
        <f t="shared" si="71"/>
        <v>-1.0806514912181153E-2</v>
      </c>
      <c r="X305" s="6">
        <f t="shared" si="71"/>
        <v>8.6602834054808633E-2</v>
      </c>
      <c r="Y305" s="6">
        <f t="shared" si="71"/>
        <v>0.19481869793397957</v>
      </c>
    </row>
    <row r="306" spans="1:25" x14ac:dyDescent="0.25">
      <c r="A306" s="7" t="s">
        <v>47</v>
      </c>
      <c r="B306" s="7" t="s">
        <v>162</v>
      </c>
      <c r="C306" s="74">
        <v>75</v>
      </c>
      <c r="D306" s="74">
        <v>0</v>
      </c>
      <c r="E306" s="71">
        <f t="shared" si="60"/>
        <v>0</v>
      </c>
      <c r="F306" s="65" t="str">
        <f t="shared" si="62"/>
        <v>Desempenho Deficitário</v>
      </c>
      <c r="G306" s="71">
        <f t="shared" si="66"/>
        <v>0.44825178806664662</v>
      </c>
      <c r="H306" s="71">
        <f t="shared" si="66"/>
        <v>0.78548221403733831</v>
      </c>
      <c r="I306" s="71">
        <f t="shared" si="66"/>
        <v>0.11102136209595498</v>
      </c>
      <c r="J306" s="75">
        <v>12068.25</v>
      </c>
      <c r="K306" s="75">
        <v>0</v>
      </c>
      <c r="L306" s="6">
        <f>(SUM(K302:K306))/J305</f>
        <v>0.15028110952292173</v>
      </c>
      <c r="M306" s="36" t="str">
        <f t="shared" si="63"/>
        <v>Desempenho Médio</v>
      </c>
      <c r="N306" s="6">
        <f t="shared" si="70"/>
        <v>0.27284258705105507</v>
      </c>
      <c r="O306" s="6">
        <f t="shared" si="70"/>
        <v>0.75981161093062477</v>
      </c>
      <c r="P306" s="6">
        <f t="shared" si="70"/>
        <v>-0.21412643682851468</v>
      </c>
      <c r="Q306" s="75">
        <v>80</v>
      </c>
      <c r="R306" s="76">
        <v>0</v>
      </c>
      <c r="S306" s="6">
        <f t="shared" si="61"/>
        <v>0</v>
      </c>
      <c r="T306" s="36" t="str">
        <f t="shared" si="64"/>
        <v>Desempenho Médio</v>
      </c>
      <c r="U306" s="6">
        <f t="shared" si="71"/>
        <v>0.23278475191631845</v>
      </c>
      <c r="V306" s="6">
        <f t="shared" si="71"/>
        <v>0.51017789992422413</v>
      </c>
      <c r="W306" s="6">
        <f t="shared" si="71"/>
        <v>-4.460839609158726E-2</v>
      </c>
      <c r="X306" s="6">
        <f t="shared" si="71"/>
        <v>9.4088177912365595E-2</v>
      </c>
      <c r="Y306" s="6">
        <f t="shared" si="71"/>
        <v>0.27739314800790571</v>
      </c>
    </row>
    <row r="307" spans="1:25" x14ac:dyDescent="0.25">
      <c r="A307" s="7" t="s">
        <v>47</v>
      </c>
      <c r="B307" s="7" t="s">
        <v>163</v>
      </c>
      <c r="C307" s="74">
        <v>75</v>
      </c>
      <c r="D307" s="74">
        <v>0</v>
      </c>
      <c r="E307" s="71">
        <f t="shared" si="60"/>
        <v>0</v>
      </c>
      <c r="F307" s="65" t="str">
        <f t="shared" si="62"/>
        <v>Desempenho Deficitário</v>
      </c>
      <c r="G307" s="71">
        <f t="shared" si="66"/>
        <v>0.54231176602906361</v>
      </c>
      <c r="H307" s="71">
        <f t="shared" si="66"/>
        <v>0.92735502699565786</v>
      </c>
      <c r="I307" s="71">
        <f t="shared" si="66"/>
        <v>0.15726850506246942</v>
      </c>
      <c r="J307" s="75">
        <v>12068.25</v>
      </c>
      <c r="K307" s="75">
        <v>0</v>
      </c>
      <c r="L307" s="6">
        <f>(SUM(K302:K307))/J306</f>
        <v>0.15028110952292173</v>
      </c>
      <c r="M307" s="36" t="str">
        <f t="shared" si="63"/>
        <v>Desempenho Médio</v>
      </c>
      <c r="N307" s="6">
        <f t="shared" si="70"/>
        <v>0.31451673641638933</v>
      </c>
      <c r="O307" s="6">
        <f t="shared" si="70"/>
        <v>0.80702132782766356</v>
      </c>
      <c r="P307" s="6">
        <f t="shared" si="70"/>
        <v>-0.1779878549948849</v>
      </c>
      <c r="Q307" s="75">
        <v>80</v>
      </c>
      <c r="R307" s="76">
        <v>0</v>
      </c>
      <c r="S307" s="6">
        <f t="shared" si="61"/>
        <v>0</v>
      </c>
      <c r="T307" s="36" t="str">
        <f t="shared" si="64"/>
        <v>Desempenho Deficitário</v>
      </c>
      <c r="U307" s="6">
        <f t="shared" si="71"/>
        <v>0.46105014853915682</v>
      </c>
      <c r="V307" s="6">
        <f t="shared" si="71"/>
        <v>0.84756736419379908</v>
      </c>
      <c r="W307" s="6">
        <f t="shared" si="71"/>
        <v>7.4532932884514569E-2</v>
      </c>
      <c r="X307" s="6">
        <f t="shared" si="71"/>
        <v>7.4532932884514569E-2</v>
      </c>
      <c r="Y307" s="6">
        <f t="shared" si="71"/>
        <v>0.38651721565464225</v>
      </c>
    </row>
    <row r="308" spans="1:25" x14ac:dyDescent="0.25">
      <c r="A308" s="7" t="s">
        <v>47</v>
      </c>
      <c r="B308" s="7" t="s">
        <v>164</v>
      </c>
      <c r="C308" s="74">
        <v>75</v>
      </c>
      <c r="D308" s="74">
        <v>0</v>
      </c>
      <c r="E308" s="71">
        <f t="shared" si="60"/>
        <v>0</v>
      </c>
      <c r="F308" s="65" t="str">
        <f t="shared" si="62"/>
        <v>Desempenho Deficitário</v>
      </c>
      <c r="G308" s="71">
        <f t="shared" si="66"/>
        <v>0.63634637719050002</v>
      </c>
      <c r="H308" s="71">
        <f t="shared" si="66"/>
        <v>1.0512878703900039</v>
      </c>
      <c r="I308" s="71">
        <f t="shared" si="66"/>
        <v>0.22140488399099606</v>
      </c>
      <c r="J308" s="75">
        <v>12068.25</v>
      </c>
      <c r="K308" s="75">
        <v>515</v>
      </c>
      <c r="L308" s="6">
        <f>(SUM(K302:K308))/J307</f>
        <v>0.192955068050463</v>
      </c>
      <c r="M308" s="36" t="str">
        <f t="shared" si="63"/>
        <v>Desempenho Médio</v>
      </c>
      <c r="N308" s="6">
        <f t="shared" si="70"/>
        <v>0.38334713342809434</v>
      </c>
      <c r="O308" s="6">
        <f t="shared" si="70"/>
        <v>0.88375935483946089</v>
      </c>
      <c r="P308" s="6">
        <f t="shared" si="70"/>
        <v>-0.1170650879832722</v>
      </c>
      <c r="Q308" s="75">
        <v>80</v>
      </c>
      <c r="R308" s="76">
        <v>0</v>
      </c>
      <c r="S308" s="6">
        <f t="shared" si="61"/>
        <v>0</v>
      </c>
      <c r="T308" s="36" t="str">
        <f t="shared" si="64"/>
        <v>Desempenho Deficitário</v>
      </c>
      <c r="U308" s="6">
        <f t="shared" si="71"/>
        <v>0.46105014853915682</v>
      </c>
      <c r="V308" s="6">
        <f t="shared" si="71"/>
        <v>0.84756736419379908</v>
      </c>
      <c r="W308" s="6">
        <f t="shared" si="71"/>
        <v>7.4532932884514569E-2</v>
      </c>
      <c r="X308" s="6">
        <f t="shared" si="71"/>
        <v>7.4532932884514569E-2</v>
      </c>
      <c r="Y308" s="6">
        <f t="shared" si="71"/>
        <v>0.38651721565464225</v>
      </c>
    </row>
    <row r="309" spans="1:25" x14ac:dyDescent="0.25">
      <c r="A309" s="7" t="s">
        <v>47</v>
      </c>
      <c r="B309" s="7" t="s">
        <v>165</v>
      </c>
      <c r="C309" s="74">
        <v>75</v>
      </c>
      <c r="D309" s="74">
        <v>0</v>
      </c>
      <c r="E309" s="71">
        <f t="shared" si="60"/>
        <v>0</v>
      </c>
      <c r="F309" s="65" t="str">
        <f t="shared" si="62"/>
        <v>Desempenho Deficitário</v>
      </c>
      <c r="G309" s="71">
        <f t="shared" si="66"/>
        <v>0.70660866675940681</v>
      </c>
      <c r="H309" s="71">
        <f t="shared" si="66"/>
        <v>1.1341225514190425</v>
      </c>
      <c r="I309" s="71">
        <f t="shared" si="66"/>
        <v>0.27909478209977112</v>
      </c>
      <c r="J309" s="75">
        <v>12068.25</v>
      </c>
      <c r="K309" s="75">
        <v>2097</v>
      </c>
      <c r="L309" s="6">
        <f>(SUM(K302:K309))/J308</f>
        <v>0.36671679821017961</v>
      </c>
      <c r="M309" s="36" t="str">
        <f t="shared" si="63"/>
        <v>Desempenho Médio</v>
      </c>
      <c r="N309" s="6">
        <f t="shared" si="70"/>
        <v>0.45719521320533213</v>
      </c>
      <c r="O309" s="6">
        <f t="shared" si="70"/>
        <v>0.97356755068321044</v>
      </c>
      <c r="P309" s="6">
        <f t="shared" si="70"/>
        <v>-5.9177124272546122E-2</v>
      </c>
      <c r="Q309" s="75">
        <v>80</v>
      </c>
      <c r="R309" s="76">
        <v>0</v>
      </c>
      <c r="S309" s="6">
        <f t="shared" si="61"/>
        <v>0</v>
      </c>
      <c r="T309" s="36" t="str">
        <f t="shared" si="64"/>
        <v>Desempenho Deficitário</v>
      </c>
      <c r="U309" s="6">
        <f t="shared" si="71"/>
        <v>0.46105014853915682</v>
      </c>
      <c r="V309" s="6">
        <f t="shared" si="71"/>
        <v>0.84756736419379908</v>
      </c>
      <c r="W309" s="6">
        <f t="shared" si="71"/>
        <v>7.4532932884514569E-2</v>
      </c>
      <c r="X309" s="6">
        <f t="shared" si="71"/>
        <v>7.4532932884514569E-2</v>
      </c>
      <c r="Y309" s="6">
        <f t="shared" si="71"/>
        <v>0.38651721565464225</v>
      </c>
    </row>
    <row r="310" spans="1:25" x14ac:dyDescent="0.25">
      <c r="A310" s="7" t="s">
        <v>47</v>
      </c>
      <c r="B310" s="7" t="s">
        <v>166</v>
      </c>
      <c r="C310" s="74">
        <v>75</v>
      </c>
      <c r="D310" s="74">
        <v>0</v>
      </c>
      <c r="E310" s="71">
        <f t="shared" si="60"/>
        <v>0</v>
      </c>
      <c r="F310" s="65" t="str">
        <f t="shared" si="62"/>
        <v>Desempenho Deficitário</v>
      </c>
      <c r="G310" s="71">
        <f t="shared" si="66"/>
        <v>0.73663014244586189</v>
      </c>
      <c r="H310" s="71">
        <f t="shared" si="66"/>
        <v>1.1737360935948695</v>
      </c>
      <c r="I310" s="71">
        <f t="shared" si="66"/>
        <v>0.29952419129685426</v>
      </c>
      <c r="J310" s="75">
        <v>12068.25</v>
      </c>
      <c r="K310" s="75">
        <v>0</v>
      </c>
      <c r="L310" s="6">
        <f>(SUM(K302:K310))/J309</f>
        <v>0.36671679821017961</v>
      </c>
      <c r="M310" s="36" t="str">
        <f t="shared" si="63"/>
        <v>Desempenho Médio</v>
      </c>
      <c r="N310" s="6">
        <f t="shared" ref="N310:P325" si="72">N298</f>
        <v>0.50336729135060976</v>
      </c>
      <c r="O310" s="6">
        <f t="shared" si="72"/>
        <v>1.0150591886201059</v>
      </c>
      <c r="P310" s="6">
        <f t="shared" si="72"/>
        <v>-8.3246059188863963E-3</v>
      </c>
      <c r="Q310" s="75">
        <v>80</v>
      </c>
      <c r="R310" s="76">
        <v>0</v>
      </c>
      <c r="S310" s="6">
        <f t="shared" si="61"/>
        <v>0</v>
      </c>
      <c r="T310" s="36" t="str">
        <f t="shared" si="64"/>
        <v>Desempenho Deficitário</v>
      </c>
      <c r="U310" s="6">
        <f t="shared" si="71"/>
        <v>0.74232771533595698</v>
      </c>
      <c r="V310" s="6">
        <f t="shared" si="71"/>
        <v>1.1540802341555996</v>
      </c>
      <c r="W310" s="6">
        <f t="shared" si="71"/>
        <v>0.33057519651631434</v>
      </c>
      <c r="X310" s="6">
        <f t="shared" si="71"/>
        <v>0.33057519651631434</v>
      </c>
      <c r="Y310" s="6">
        <f t="shared" si="71"/>
        <v>0.41175251881964264</v>
      </c>
    </row>
    <row r="311" spans="1:25" x14ac:dyDescent="0.25">
      <c r="A311" s="7" t="s">
        <v>47</v>
      </c>
      <c r="B311" s="7" t="s">
        <v>167</v>
      </c>
      <c r="C311" s="74">
        <v>75</v>
      </c>
      <c r="D311" s="74">
        <v>0</v>
      </c>
      <c r="E311" s="71">
        <f t="shared" si="60"/>
        <v>0</v>
      </c>
      <c r="F311" s="65" t="str">
        <f t="shared" si="62"/>
        <v>Desempenho Deficitário</v>
      </c>
      <c r="G311" s="71">
        <f t="shared" si="66"/>
        <v>0.82061442726694189</v>
      </c>
      <c r="H311" s="71">
        <f t="shared" si="66"/>
        <v>1.2607833515834532</v>
      </c>
      <c r="I311" s="71">
        <f t="shared" si="66"/>
        <v>0.38044550295043061</v>
      </c>
      <c r="J311" s="75">
        <v>12068.25</v>
      </c>
      <c r="K311" s="75">
        <v>0</v>
      </c>
      <c r="L311" s="6">
        <f>(SUM(K302:K311))/J310</f>
        <v>0.36671679821017961</v>
      </c>
      <c r="M311" s="36" t="str">
        <f t="shared" si="63"/>
        <v>Desempenho Médio</v>
      </c>
      <c r="N311" s="6">
        <f t="shared" si="72"/>
        <v>0.58006775555216661</v>
      </c>
      <c r="O311" s="6">
        <f t="shared" si="72"/>
        <v>1.099948635873619</v>
      </c>
      <c r="P311" s="6">
        <f t="shared" si="72"/>
        <v>6.0186875230714088E-2</v>
      </c>
      <c r="Q311" s="75">
        <v>80</v>
      </c>
      <c r="R311" s="76">
        <v>0</v>
      </c>
      <c r="S311" s="6">
        <f t="shared" si="61"/>
        <v>0</v>
      </c>
      <c r="T311" s="36" t="str">
        <f t="shared" si="64"/>
        <v>Desempenho Deficitário</v>
      </c>
      <c r="U311" s="6">
        <f t="shared" si="71"/>
        <v>0.82347447721763523</v>
      </c>
      <c r="V311" s="6">
        <f t="shared" si="71"/>
        <v>1.2398542522675045</v>
      </c>
      <c r="W311" s="6">
        <f t="shared" si="71"/>
        <v>0.40709470216776611</v>
      </c>
      <c r="X311" s="6">
        <f t="shared" si="71"/>
        <v>0.40709470216776611</v>
      </c>
      <c r="Y311" s="6">
        <f t="shared" si="71"/>
        <v>0.41637977504986912</v>
      </c>
    </row>
    <row r="312" spans="1:25" x14ac:dyDescent="0.25">
      <c r="A312" s="7" t="s">
        <v>47</v>
      </c>
      <c r="B312" s="7" t="s">
        <v>168</v>
      </c>
      <c r="C312" s="74">
        <v>75</v>
      </c>
      <c r="D312" s="74">
        <v>0</v>
      </c>
      <c r="E312" s="71">
        <f t="shared" si="60"/>
        <v>0</v>
      </c>
      <c r="F312" s="65" t="str">
        <f t="shared" si="62"/>
        <v>Desempenho Deficitário</v>
      </c>
      <c r="G312" s="71">
        <f t="shared" si="66"/>
        <v>0.94582556715526966</v>
      </c>
      <c r="H312" s="71">
        <f t="shared" si="66"/>
        <v>1.4311117173682604</v>
      </c>
      <c r="I312" s="71">
        <f t="shared" si="66"/>
        <v>0.46053941694227907</v>
      </c>
      <c r="J312" s="75">
        <v>12068.25</v>
      </c>
      <c r="K312" s="75">
        <v>4330</v>
      </c>
      <c r="L312" s="6">
        <f>(SUM(K302:K312))/J311</f>
        <v>0.7255094980630995</v>
      </c>
      <c r="M312" s="36" t="str">
        <f t="shared" si="63"/>
        <v>Desempenho Bom</v>
      </c>
      <c r="N312" s="6">
        <f t="shared" si="72"/>
        <v>0.72282137340514951</v>
      </c>
      <c r="O312" s="6">
        <f t="shared" si="72"/>
        <v>1.2463651595014014</v>
      </c>
      <c r="P312" s="6">
        <f t="shared" si="72"/>
        <v>0.19927758730889755</v>
      </c>
      <c r="Q312" s="75">
        <v>80</v>
      </c>
      <c r="R312" s="76">
        <v>0</v>
      </c>
      <c r="S312" s="6">
        <f t="shared" si="61"/>
        <v>0</v>
      </c>
      <c r="T312" s="36" t="str">
        <f t="shared" si="64"/>
        <v>Desempenho Deficitário</v>
      </c>
      <c r="U312" s="6">
        <f t="shared" si="71"/>
        <v>0.91825333306001944</v>
      </c>
      <c r="V312" s="6">
        <f t="shared" si="71"/>
        <v>1.402047931898428</v>
      </c>
      <c r="W312" s="6">
        <f t="shared" si="71"/>
        <v>0.43445873422161085</v>
      </c>
      <c r="X312" s="6">
        <f t="shared" si="71"/>
        <v>0.43445873422161085</v>
      </c>
      <c r="Y312" s="6">
        <f t="shared" si="71"/>
        <v>0.48379459883840858</v>
      </c>
    </row>
    <row r="313" spans="1:25" x14ac:dyDescent="0.25">
      <c r="A313" s="7" t="s">
        <v>47</v>
      </c>
      <c r="B313" s="7" t="s">
        <v>169</v>
      </c>
      <c r="C313" s="74">
        <v>75</v>
      </c>
      <c r="D313" s="74">
        <v>0</v>
      </c>
      <c r="E313" s="71">
        <f t="shared" si="60"/>
        <v>0</v>
      </c>
      <c r="F313" s="65" t="str">
        <f t="shared" si="62"/>
        <v>Desempenho Deficitário</v>
      </c>
      <c r="G313" s="71">
        <f t="shared" si="66"/>
        <v>1.0016849877757958</v>
      </c>
      <c r="H313" s="71">
        <f t="shared" si="66"/>
        <v>1.521489991464148</v>
      </c>
      <c r="I313" s="71">
        <f t="shared" si="66"/>
        <v>0.48187998408744359</v>
      </c>
      <c r="J313" s="75">
        <v>12068.25</v>
      </c>
      <c r="K313" s="75">
        <v>3450.15</v>
      </c>
      <c r="L313" s="6">
        <f>(SUM(K302:K313))/J312</f>
        <v>1.0113960184782385</v>
      </c>
      <c r="M313" s="36" t="str">
        <f t="shared" si="63"/>
        <v>Desempenho Bom</v>
      </c>
      <c r="N313" s="6">
        <f t="shared" si="72"/>
        <v>0.82421983567812696</v>
      </c>
      <c r="O313" s="6">
        <f t="shared" si="72"/>
        <v>1.3730394926064369</v>
      </c>
      <c r="P313" s="6">
        <f t="shared" si="72"/>
        <v>0.27540017874981693</v>
      </c>
      <c r="Q313" s="75">
        <v>80</v>
      </c>
      <c r="R313" s="76">
        <v>0</v>
      </c>
      <c r="S313" s="6">
        <f t="shared" si="61"/>
        <v>0</v>
      </c>
      <c r="T313" s="36" t="str">
        <f t="shared" si="64"/>
        <v>Desempenho Deficitário</v>
      </c>
      <c r="U313" s="6">
        <f t="shared" si="71"/>
        <v>0.91825333306001944</v>
      </c>
      <c r="V313" s="6">
        <f t="shared" si="71"/>
        <v>1.402047931898428</v>
      </c>
      <c r="W313" s="6">
        <f t="shared" si="71"/>
        <v>0.43445873422161085</v>
      </c>
      <c r="X313" s="6">
        <f t="shared" si="71"/>
        <v>0.43445873422161085</v>
      </c>
      <c r="Y313" s="6">
        <f t="shared" si="71"/>
        <v>0.48379459883840858</v>
      </c>
    </row>
    <row r="314" spans="1:25" x14ac:dyDescent="0.25">
      <c r="A314" s="7" t="s">
        <v>37</v>
      </c>
      <c r="B314" s="7" t="s">
        <v>158</v>
      </c>
      <c r="C314" s="74">
        <v>75</v>
      </c>
      <c r="D314" s="74">
        <v>19</v>
      </c>
      <c r="E314" s="71">
        <f t="shared" si="60"/>
        <v>0.25333333333333335</v>
      </c>
      <c r="F314" s="65" t="str">
        <f t="shared" si="62"/>
        <v>Desempenho Bom</v>
      </c>
      <c r="G314" s="71">
        <f t="shared" si="66"/>
        <v>0.11573204891712785</v>
      </c>
      <c r="H314" s="71">
        <f t="shared" si="66"/>
        <v>0.30218524997148988</v>
      </c>
      <c r="I314" s="71">
        <f t="shared" si="66"/>
        <v>-7.0721152137234206E-2</v>
      </c>
      <c r="J314" s="75">
        <v>47330.400000000001</v>
      </c>
      <c r="K314" s="75">
        <v>7000</v>
      </c>
      <c r="L314" s="6">
        <f>K314/J314</f>
        <v>0.14789648935990399</v>
      </c>
      <c r="M314" s="36" t="str">
        <f t="shared" si="63"/>
        <v>Desempenho Bom</v>
      </c>
      <c r="N314" s="6">
        <f t="shared" si="72"/>
        <v>0.11129468122233216</v>
      </c>
      <c r="O314" s="6">
        <f t="shared" si="72"/>
        <v>0.54990456699293522</v>
      </c>
      <c r="P314" s="6">
        <f t="shared" si="72"/>
        <v>-0.32731520454827095</v>
      </c>
      <c r="Q314" s="75">
        <v>70</v>
      </c>
      <c r="R314" s="76">
        <v>19</v>
      </c>
      <c r="S314" s="6">
        <f t="shared" si="61"/>
        <v>0.27142857142857141</v>
      </c>
      <c r="T314" s="36" t="str">
        <f t="shared" si="64"/>
        <v>Desempenho Ótimo</v>
      </c>
      <c r="U314" s="6">
        <f t="shared" si="71"/>
        <v>6.5053670194766225E-2</v>
      </c>
      <c r="V314" s="6">
        <f t="shared" si="71"/>
        <v>0.16010348962314203</v>
      </c>
      <c r="W314" s="6">
        <f t="shared" si="71"/>
        <v>-2.9996149233609562E-2</v>
      </c>
      <c r="X314" s="6">
        <f t="shared" si="71"/>
        <v>1.7528760480578331E-2</v>
      </c>
      <c r="Y314" s="6">
        <f t="shared" si="71"/>
        <v>9.5049819428375787E-2</v>
      </c>
    </row>
    <row r="315" spans="1:25" x14ac:dyDescent="0.25">
      <c r="A315" s="7" t="s">
        <v>37</v>
      </c>
      <c r="B315" s="7" t="s">
        <v>159</v>
      </c>
      <c r="C315" s="74">
        <v>75</v>
      </c>
      <c r="D315" s="74">
        <v>19</v>
      </c>
      <c r="E315" s="71">
        <f t="shared" si="60"/>
        <v>0.25333333333333335</v>
      </c>
      <c r="F315" s="65" t="str">
        <f t="shared" si="62"/>
        <v>Desempenho Bom</v>
      </c>
      <c r="G315" s="71">
        <f t="shared" si="66"/>
        <v>0.22598075676513599</v>
      </c>
      <c r="H315" s="71">
        <f t="shared" si="66"/>
        <v>0.51894873552035481</v>
      </c>
      <c r="I315" s="71">
        <f t="shared" si="66"/>
        <v>-6.6987221990082807E-2</v>
      </c>
      <c r="J315" s="75">
        <v>47330.400000000001</v>
      </c>
      <c r="K315" s="75">
        <v>0</v>
      </c>
      <c r="L315" s="6">
        <f>(SUM(K314:K315))/J314</f>
        <v>0.14789648935990399</v>
      </c>
      <c r="M315" s="36" t="str">
        <f t="shared" si="63"/>
        <v>Desempenho Médio</v>
      </c>
      <c r="N315" s="6">
        <f t="shared" si="72"/>
        <v>0.14992070801509372</v>
      </c>
      <c r="O315" s="6">
        <f t="shared" si="72"/>
        <v>0.58968599072326611</v>
      </c>
      <c r="P315" s="6">
        <f t="shared" si="72"/>
        <v>-0.28984457469307867</v>
      </c>
      <c r="Q315" s="75">
        <v>70</v>
      </c>
      <c r="R315" s="76">
        <v>19</v>
      </c>
      <c r="S315" s="6">
        <f t="shared" si="61"/>
        <v>0.27142857142857141</v>
      </c>
      <c r="T315" s="36" t="str">
        <f t="shared" si="64"/>
        <v>Desempenho Ótimo</v>
      </c>
      <c r="U315" s="6">
        <f t="shared" si="71"/>
        <v>6.5053670194766225E-2</v>
      </c>
      <c r="V315" s="6">
        <f t="shared" si="71"/>
        <v>0.16010348962314203</v>
      </c>
      <c r="W315" s="6">
        <f t="shared" si="71"/>
        <v>-2.9996149233609562E-2</v>
      </c>
      <c r="X315" s="6">
        <f t="shared" si="71"/>
        <v>1.7528760480578331E-2</v>
      </c>
      <c r="Y315" s="6">
        <f t="shared" si="71"/>
        <v>9.5049819428375787E-2</v>
      </c>
    </row>
    <row r="316" spans="1:25" x14ac:dyDescent="0.25">
      <c r="A316" s="7" t="s">
        <v>37</v>
      </c>
      <c r="B316" s="7" t="s">
        <v>160</v>
      </c>
      <c r="C316" s="74">
        <v>75</v>
      </c>
      <c r="D316" s="74">
        <v>19</v>
      </c>
      <c r="E316" s="71">
        <f t="shared" si="60"/>
        <v>0.25333333333333335</v>
      </c>
      <c r="F316" s="65" t="str">
        <f t="shared" si="62"/>
        <v>Desempenho Médio</v>
      </c>
      <c r="G316" s="71">
        <f t="shared" si="66"/>
        <v>0.2827891266215985</v>
      </c>
      <c r="H316" s="71">
        <f t="shared" si="66"/>
        <v>0.59134445337262298</v>
      </c>
      <c r="I316" s="71">
        <f t="shared" si="66"/>
        <v>-2.5766200129425987E-2</v>
      </c>
      <c r="J316" s="75">
        <v>47330.400000000001</v>
      </c>
      <c r="K316" s="75">
        <v>0</v>
      </c>
      <c r="L316" s="6">
        <f>(SUM(K314:K316))/J315</f>
        <v>0.14789648935990399</v>
      </c>
      <c r="M316" s="36" t="str">
        <f t="shared" si="63"/>
        <v>Desempenho Médio</v>
      </c>
      <c r="N316" s="6">
        <f t="shared" si="72"/>
        <v>0.17723994755342617</v>
      </c>
      <c r="O316" s="6">
        <f t="shared" si="72"/>
        <v>0.61473682715667155</v>
      </c>
      <c r="P316" s="6">
        <f t="shared" si="72"/>
        <v>-0.26025693204981915</v>
      </c>
      <c r="Q316" s="75">
        <v>70</v>
      </c>
      <c r="R316" s="76">
        <v>19</v>
      </c>
      <c r="S316" s="6">
        <f t="shared" si="61"/>
        <v>0.27142857142857141</v>
      </c>
      <c r="T316" s="36" t="str">
        <f t="shared" si="64"/>
        <v>Desempenho Bom</v>
      </c>
      <c r="U316" s="6">
        <f t="shared" si="71"/>
        <v>0.18401218302179842</v>
      </c>
      <c r="V316" s="6">
        <f t="shared" si="71"/>
        <v>0.37883088095577799</v>
      </c>
      <c r="W316" s="6">
        <f t="shared" si="71"/>
        <v>-1.0806514912181153E-2</v>
      </c>
      <c r="X316" s="6">
        <f t="shared" si="71"/>
        <v>8.6602834054808633E-2</v>
      </c>
      <c r="Y316" s="6">
        <f t="shared" si="71"/>
        <v>0.19481869793397957</v>
      </c>
    </row>
    <row r="317" spans="1:25" x14ac:dyDescent="0.25">
      <c r="A317" s="7" t="s">
        <v>37</v>
      </c>
      <c r="B317" s="7" t="s">
        <v>161</v>
      </c>
      <c r="C317" s="74">
        <v>75</v>
      </c>
      <c r="D317" s="74">
        <v>19</v>
      </c>
      <c r="E317" s="71">
        <f t="shared" si="60"/>
        <v>0.25333333333333335</v>
      </c>
      <c r="F317" s="65" t="str">
        <f t="shared" si="62"/>
        <v>Desempenho Médio</v>
      </c>
      <c r="G317" s="71">
        <f t="shared" si="66"/>
        <v>0.36222496935690102</v>
      </c>
      <c r="H317" s="71">
        <f t="shared" si="66"/>
        <v>0.67917151968337719</v>
      </c>
      <c r="I317" s="71">
        <f t="shared" si="66"/>
        <v>4.5278419030424844E-2</v>
      </c>
      <c r="J317" s="75">
        <v>47330.400000000001</v>
      </c>
      <c r="K317" s="75">
        <v>0</v>
      </c>
      <c r="L317" s="6">
        <f>(SUM(K314:K317))/J316</f>
        <v>0.14789648935990399</v>
      </c>
      <c r="M317" s="36" t="str">
        <f t="shared" si="63"/>
        <v>Desempenho Médio</v>
      </c>
      <c r="N317" s="6">
        <f t="shared" si="72"/>
        <v>0.2271654986777647</v>
      </c>
      <c r="O317" s="6">
        <f t="shared" si="72"/>
        <v>0.71582389712396544</v>
      </c>
      <c r="P317" s="6">
        <f t="shared" si="72"/>
        <v>-0.26149289976843598</v>
      </c>
      <c r="Q317" s="75">
        <v>70</v>
      </c>
      <c r="R317" s="76">
        <v>19</v>
      </c>
      <c r="S317" s="6">
        <f t="shared" si="61"/>
        <v>0.27142857142857141</v>
      </c>
      <c r="T317" s="36" t="str">
        <f t="shared" si="64"/>
        <v>Desempenho Bom</v>
      </c>
      <c r="U317" s="6">
        <f t="shared" si="71"/>
        <v>0.18401218302179842</v>
      </c>
      <c r="V317" s="6">
        <f t="shared" si="71"/>
        <v>0.37883088095577799</v>
      </c>
      <c r="W317" s="6">
        <f t="shared" si="71"/>
        <v>-1.0806514912181153E-2</v>
      </c>
      <c r="X317" s="6">
        <f t="shared" si="71"/>
        <v>8.6602834054808633E-2</v>
      </c>
      <c r="Y317" s="6">
        <f t="shared" si="71"/>
        <v>0.19481869793397957</v>
      </c>
    </row>
    <row r="318" spans="1:25" x14ac:dyDescent="0.25">
      <c r="A318" s="7" t="s">
        <v>37</v>
      </c>
      <c r="B318" s="7" t="s">
        <v>162</v>
      </c>
      <c r="C318" s="74">
        <v>75</v>
      </c>
      <c r="D318" s="74">
        <v>19</v>
      </c>
      <c r="E318" s="71">
        <f t="shared" si="60"/>
        <v>0.25333333333333335</v>
      </c>
      <c r="F318" s="65" t="str">
        <f t="shared" si="62"/>
        <v>Desempenho Médio</v>
      </c>
      <c r="G318" s="71">
        <f t="shared" si="66"/>
        <v>0.44825178806664662</v>
      </c>
      <c r="H318" s="71">
        <f t="shared" si="66"/>
        <v>0.78548221403733831</v>
      </c>
      <c r="I318" s="71">
        <f t="shared" si="66"/>
        <v>0.11102136209595498</v>
      </c>
      <c r="J318" s="75">
        <v>47330.400000000001</v>
      </c>
      <c r="K318" s="75">
        <v>0</v>
      </c>
      <c r="L318" s="6">
        <f>(SUM(K314:K318))/J317</f>
        <v>0.14789648935990399</v>
      </c>
      <c r="M318" s="36" t="str">
        <f t="shared" si="63"/>
        <v>Desempenho Médio</v>
      </c>
      <c r="N318" s="6">
        <f t="shared" si="72"/>
        <v>0.27284258705105507</v>
      </c>
      <c r="O318" s="6">
        <f t="shared" si="72"/>
        <v>0.75981161093062477</v>
      </c>
      <c r="P318" s="6">
        <f t="shared" si="72"/>
        <v>-0.21412643682851468</v>
      </c>
      <c r="Q318" s="75">
        <v>70</v>
      </c>
      <c r="R318" s="76">
        <v>19</v>
      </c>
      <c r="S318" s="6">
        <f t="shared" si="61"/>
        <v>0.27142857142857141</v>
      </c>
      <c r="T318" s="36" t="str">
        <f t="shared" si="64"/>
        <v>Desempenho Bom</v>
      </c>
      <c r="U318" s="6">
        <f t="shared" si="71"/>
        <v>0.23278475191631845</v>
      </c>
      <c r="V318" s="6">
        <f t="shared" si="71"/>
        <v>0.51017789992422413</v>
      </c>
      <c r="W318" s="6">
        <f t="shared" si="71"/>
        <v>-4.460839609158726E-2</v>
      </c>
      <c r="X318" s="6">
        <f t="shared" si="71"/>
        <v>9.4088177912365595E-2</v>
      </c>
      <c r="Y318" s="6">
        <f t="shared" si="71"/>
        <v>0.27739314800790571</v>
      </c>
    </row>
    <row r="319" spans="1:25" x14ac:dyDescent="0.25">
      <c r="A319" s="7" t="s">
        <v>37</v>
      </c>
      <c r="B319" s="7" t="s">
        <v>163</v>
      </c>
      <c r="C319" s="74">
        <v>75</v>
      </c>
      <c r="D319" s="74">
        <v>71</v>
      </c>
      <c r="E319" s="71">
        <f t="shared" si="60"/>
        <v>0.94666666666666666</v>
      </c>
      <c r="F319" s="65" t="str">
        <f t="shared" si="62"/>
        <v>Desempenho Ótimo</v>
      </c>
      <c r="G319" s="71">
        <f t="shared" si="66"/>
        <v>0.54231176602906361</v>
      </c>
      <c r="H319" s="71">
        <f t="shared" si="66"/>
        <v>0.92735502699565786</v>
      </c>
      <c r="I319" s="71">
        <f t="shared" si="66"/>
        <v>0.15726850506246942</v>
      </c>
      <c r="J319" s="75">
        <v>47330.400000000001</v>
      </c>
      <c r="K319" s="75">
        <v>4800</v>
      </c>
      <c r="L319" s="6">
        <f>(SUM(K314:K319))/J318</f>
        <v>0.24931122492098101</v>
      </c>
      <c r="M319" s="36" t="str">
        <f t="shared" si="63"/>
        <v>Desempenho Médio</v>
      </c>
      <c r="N319" s="6">
        <f t="shared" si="72"/>
        <v>0.31451673641638933</v>
      </c>
      <c r="O319" s="6">
        <f t="shared" si="72"/>
        <v>0.80702132782766356</v>
      </c>
      <c r="P319" s="6">
        <f t="shared" si="72"/>
        <v>-0.1779878549948849</v>
      </c>
      <c r="Q319" s="75">
        <v>70</v>
      </c>
      <c r="R319" s="76">
        <v>33</v>
      </c>
      <c r="S319" s="6">
        <f t="shared" si="61"/>
        <v>0.47142857142857142</v>
      </c>
      <c r="T319" s="36" t="str">
        <f t="shared" si="64"/>
        <v>Desempenho Bom</v>
      </c>
      <c r="U319" s="6">
        <f t="shared" ref="U319:Y334" si="73">U307</f>
        <v>0.46105014853915682</v>
      </c>
      <c r="V319" s="6">
        <f t="shared" si="73"/>
        <v>0.84756736419379908</v>
      </c>
      <c r="W319" s="6">
        <f t="shared" si="73"/>
        <v>7.4532932884514569E-2</v>
      </c>
      <c r="X319" s="6">
        <f t="shared" si="73"/>
        <v>7.4532932884514569E-2</v>
      </c>
      <c r="Y319" s="6">
        <f t="shared" si="73"/>
        <v>0.38651721565464225</v>
      </c>
    </row>
    <row r="320" spans="1:25" x14ac:dyDescent="0.25">
      <c r="A320" s="7" t="s">
        <v>37</v>
      </c>
      <c r="B320" s="7" t="s">
        <v>164</v>
      </c>
      <c r="C320" s="74">
        <v>75</v>
      </c>
      <c r="D320" s="74">
        <v>71</v>
      </c>
      <c r="E320" s="71">
        <f t="shared" si="60"/>
        <v>0.94666666666666666</v>
      </c>
      <c r="F320" s="65" t="str">
        <f t="shared" si="62"/>
        <v>Desempenho Bom</v>
      </c>
      <c r="G320" s="71">
        <f t="shared" si="66"/>
        <v>0.63634637719050002</v>
      </c>
      <c r="H320" s="71">
        <f t="shared" si="66"/>
        <v>1.0512878703900039</v>
      </c>
      <c r="I320" s="71">
        <f t="shared" si="66"/>
        <v>0.22140488399099606</v>
      </c>
      <c r="J320" s="75">
        <v>47330.400000000001</v>
      </c>
      <c r="K320" s="75">
        <v>0</v>
      </c>
      <c r="L320" s="6">
        <f>(SUM(K314:K320))/J319</f>
        <v>0.24931122492098101</v>
      </c>
      <c r="M320" s="36" t="str">
        <f t="shared" si="63"/>
        <v>Desempenho Médio</v>
      </c>
      <c r="N320" s="6">
        <f t="shared" si="72"/>
        <v>0.38334713342809434</v>
      </c>
      <c r="O320" s="6">
        <f t="shared" si="72"/>
        <v>0.88375935483946089</v>
      </c>
      <c r="P320" s="6">
        <f t="shared" si="72"/>
        <v>-0.1170650879832722</v>
      </c>
      <c r="Q320" s="75">
        <v>70</v>
      </c>
      <c r="R320" s="76">
        <v>33</v>
      </c>
      <c r="S320" s="6">
        <f t="shared" si="61"/>
        <v>0.47142857142857142</v>
      </c>
      <c r="T320" s="36" t="str">
        <f t="shared" si="64"/>
        <v>Desempenho Bom</v>
      </c>
      <c r="U320" s="6">
        <f t="shared" si="73"/>
        <v>0.46105014853915682</v>
      </c>
      <c r="V320" s="6">
        <f t="shared" si="73"/>
        <v>0.84756736419379908</v>
      </c>
      <c r="W320" s="6">
        <f t="shared" si="73"/>
        <v>7.4532932884514569E-2</v>
      </c>
      <c r="X320" s="6">
        <f t="shared" si="73"/>
        <v>7.4532932884514569E-2</v>
      </c>
      <c r="Y320" s="6">
        <f t="shared" si="73"/>
        <v>0.38651721565464225</v>
      </c>
    </row>
    <row r="321" spans="1:25" x14ac:dyDescent="0.25">
      <c r="A321" s="7" t="s">
        <v>37</v>
      </c>
      <c r="B321" s="7" t="s">
        <v>165</v>
      </c>
      <c r="C321" s="74">
        <v>75</v>
      </c>
      <c r="D321" s="74">
        <v>76</v>
      </c>
      <c r="E321" s="71">
        <f t="shared" si="60"/>
        <v>1.0133333333333334</v>
      </c>
      <c r="F321" s="65" t="str">
        <f t="shared" si="62"/>
        <v>Desempenho Bom</v>
      </c>
      <c r="G321" s="71">
        <f t="shared" si="66"/>
        <v>0.70660866675940681</v>
      </c>
      <c r="H321" s="71">
        <f t="shared" si="66"/>
        <v>1.1341225514190425</v>
      </c>
      <c r="I321" s="71">
        <f t="shared" si="66"/>
        <v>0.27909478209977112</v>
      </c>
      <c r="J321" s="75">
        <v>47330.400000000001</v>
      </c>
      <c r="K321" s="75">
        <v>479.16</v>
      </c>
      <c r="L321" s="6">
        <f>(SUM(K314:K321))/J320</f>
        <v>0.25943495089836555</v>
      </c>
      <c r="M321" s="36" t="str">
        <f t="shared" si="63"/>
        <v>Desempenho Médio</v>
      </c>
      <c r="N321" s="6">
        <f t="shared" si="72"/>
        <v>0.45719521320533213</v>
      </c>
      <c r="O321" s="6">
        <f t="shared" si="72"/>
        <v>0.97356755068321044</v>
      </c>
      <c r="P321" s="6">
        <f t="shared" si="72"/>
        <v>-5.9177124272546122E-2</v>
      </c>
      <c r="Q321" s="75">
        <v>70</v>
      </c>
      <c r="R321" s="76">
        <v>33</v>
      </c>
      <c r="S321" s="6">
        <f t="shared" si="61"/>
        <v>0.47142857142857142</v>
      </c>
      <c r="T321" s="36" t="str">
        <f t="shared" si="64"/>
        <v>Desempenho Bom</v>
      </c>
      <c r="U321" s="6">
        <f t="shared" si="73"/>
        <v>0.46105014853915682</v>
      </c>
      <c r="V321" s="6">
        <f t="shared" si="73"/>
        <v>0.84756736419379908</v>
      </c>
      <c r="W321" s="6">
        <f t="shared" si="73"/>
        <v>7.4532932884514569E-2</v>
      </c>
      <c r="X321" s="6">
        <f t="shared" si="73"/>
        <v>7.4532932884514569E-2</v>
      </c>
      <c r="Y321" s="6">
        <f t="shared" si="73"/>
        <v>0.38651721565464225</v>
      </c>
    </row>
    <row r="322" spans="1:25" x14ac:dyDescent="0.25">
      <c r="A322" s="7" t="s">
        <v>37</v>
      </c>
      <c r="B322" s="7" t="s">
        <v>166</v>
      </c>
      <c r="C322" s="74">
        <v>75</v>
      </c>
      <c r="D322" s="74">
        <v>76</v>
      </c>
      <c r="E322" s="71">
        <f t="shared" ref="E322:E385" si="74">D322/C322</f>
        <v>1.0133333333333334</v>
      </c>
      <c r="F322" s="65" t="str">
        <f t="shared" si="62"/>
        <v>Desempenho Bom</v>
      </c>
      <c r="G322" s="71">
        <f t="shared" si="66"/>
        <v>0.73663014244586189</v>
      </c>
      <c r="H322" s="71">
        <f t="shared" si="66"/>
        <v>1.1737360935948695</v>
      </c>
      <c r="I322" s="71">
        <f t="shared" si="66"/>
        <v>0.29952419129685426</v>
      </c>
      <c r="J322" s="75">
        <v>47330.400000000001</v>
      </c>
      <c r="K322" s="75">
        <v>0</v>
      </c>
      <c r="L322" s="6">
        <f>(SUM(K314:K322))/J321</f>
        <v>0.25943495089836555</v>
      </c>
      <c r="M322" s="36" t="str">
        <f t="shared" si="63"/>
        <v>Desempenho Médio</v>
      </c>
      <c r="N322" s="6">
        <f t="shared" si="72"/>
        <v>0.50336729135060976</v>
      </c>
      <c r="O322" s="6">
        <f t="shared" si="72"/>
        <v>1.0150591886201059</v>
      </c>
      <c r="P322" s="6">
        <f t="shared" si="72"/>
        <v>-8.3246059188863963E-3</v>
      </c>
      <c r="Q322" s="75">
        <v>70</v>
      </c>
      <c r="R322" s="76">
        <v>48</v>
      </c>
      <c r="S322" s="6">
        <f t="shared" ref="S322:S385" si="75">R322/Q322</f>
        <v>0.68571428571428572</v>
      </c>
      <c r="T322" s="36" t="str">
        <f t="shared" si="64"/>
        <v>Desempenho Médio</v>
      </c>
      <c r="U322" s="6">
        <f t="shared" si="73"/>
        <v>0.74232771533595698</v>
      </c>
      <c r="V322" s="6">
        <f t="shared" si="73"/>
        <v>1.1540802341555996</v>
      </c>
      <c r="W322" s="6">
        <f t="shared" si="73"/>
        <v>0.33057519651631434</v>
      </c>
      <c r="X322" s="6">
        <f t="shared" si="73"/>
        <v>0.33057519651631434</v>
      </c>
      <c r="Y322" s="6">
        <f t="shared" si="73"/>
        <v>0.41175251881964264</v>
      </c>
    </row>
    <row r="323" spans="1:25" x14ac:dyDescent="0.25">
      <c r="A323" s="7" t="s">
        <v>37</v>
      </c>
      <c r="B323" s="7" t="s">
        <v>167</v>
      </c>
      <c r="C323" s="74">
        <v>75</v>
      </c>
      <c r="D323" s="74">
        <v>76</v>
      </c>
      <c r="E323" s="71">
        <f t="shared" si="74"/>
        <v>1.0133333333333334</v>
      </c>
      <c r="F323" s="65" t="str">
        <f t="shared" ref="F323:F386" si="76">IF(E323&gt;=H323,"Desempenho Ótimo",(IF(E323&gt;G323,"Desempenho Bom",(IF(E323&gt;I323,"Desempenho Médio",IF(E323&lt;=I323,"Desempenho Deficitário",0))))))</f>
        <v>Desempenho Bom</v>
      </c>
      <c r="G323" s="71">
        <f t="shared" si="66"/>
        <v>0.82061442726694189</v>
      </c>
      <c r="H323" s="71">
        <f t="shared" si="66"/>
        <v>1.2607833515834532</v>
      </c>
      <c r="I323" s="71">
        <f t="shared" si="66"/>
        <v>0.38044550295043061</v>
      </c>
      <c r="J323" s="75">
        <v>47330.400000000001</v>
      </c>
      <c r="K323" s="75">
        <v>0</v>
      </c>
      <c r="L323" s="6">
        <f>(SUM(K314:K323))/J322</f>
        <v>0.25943495089836555</v>
      </c>
      <c r="M323" s="36" t="str">
        <f t="shared" ref="M323:M386" si="77">IF(L323&gt;=O323,"Desempenho Ótimo",(IF(L323&gt;N323,"Desempenho Bom",(IF(L323&gt;P323,"Desempenho Médio",IF(L323&lt;=P323,"Desempenho Deficitário",0))))))</f>
        <v>Desempenho Médio</v>
      </c>
      <c r="N323" s="6">
        <f t="shared" si="72"/>
        <v>0.58006775555216661</v>
      </c>
      <c r="O323" s="6">
        <f t="shared" si="72"/>
        <v>1.099948635873619</v>
      </c>
      <c r="P323" s="6">
        <f t="shared" si="72"/>
        <v>6.0186875230714088E-2</v>
      </c>
      <c r="Q323" s="75">
        <v>70</v>
      </c>
      <c r="R323" s="76">
        <v>52</v>
      </c>
      <c r="S323" s="6">
        <f t="shared" si="75"/>
        <v>0.74285714285714288</v>
      </c>
      <c r="T323" s="36" t="str">
        <f t="shared" ref="T323:T386" si="78">IF(S323&gt;=V323,"Desempenho Ótimo",(IF(S323&gt;U323,"Desempenho Bom",(IF(S323&gt;W323,"Desempenho Médio",IF(S323&lt;=W323,"Desempenho Deficitário",0))))))</f>
        <v>Desempenho Médio</v>
      </c>
      <c r="U323" s="6">
        <f t="shared" si="73"/>
        <v>0.82347447721763523</v>
      </c>
      <c r="V323" s="6">
        <f t="shared" si="73"/>
        <v>1.2398542522675045</v>
      </c>
      <c r="W323" s="6">
        <f t="shared" si="73"/>
        <v>0.40709470216776611</v>
      </c>
      <c r="X323" s="6">
        <f t="shared" si="73"/>
        <v>0.40709470216776611</v>
      </c>
      <c r="Y323" s="6">
        <f t="shared" si="73"/>
        <v>0.41637977504986912</v>
      </c>
    </row>
    <row r="324" spans="1:25" x14ac:dyDescent="0.25">
      <c r="A324" s="7" t="s">
        <v>37</v>
      </c>
      <c r="B324" s="7" t="s">
        <v>168</v>
      </c>
      <c r="C324" s="74">
        <v>75</v>
      </c>
      <c r="D324" s="74">
        <v>76</v>
      </c>
      <c r="E324" s="71">
        <f t="shared" si="74"/>
        <v>1.0133333333333334</v>
      </c>
      <c r="F324" s="65" t="str">
        <f t="shared" si="76"/>
        <v>Desempenho Bom</v>
      </c>
      <c r="G324" s="71">
        <f t="shared" si="66"/>
        <v>0.94582556715526966</v>
      </c>
      <c r="H324" s="71">
        <f t="shared" si="66"/>
        <v>1.4311117173682604</v>
      </c>
      <c r="I324" s="71">
        <f t="shared" si="66"/>
        <v>0.46053941694227907</v>
      </c>
      <c r="J324" s="75">
        <v>47330.400000000001</v>
      </c>
      <c r="K324" s="75">
        <v>0</v>
      </c>
      <c r="L324" s="6">
        <f>(SUM(K314:K324))/J323</f>
        <v>0.25943495089836555</v>
      </c>
      <c r="M324" s="36" t="str">
        <f t="shared" si="77"/>
        <v>Desempenho Médio</v>
      </c>
      <c r="N324" s="6">
        <f t="shared" si="72"/>
        <v>0.72282137340514951</v>
      </c>
      <c r="O324" s="6">
        <f t="shared" si="72"/>
        <v>1.2463651595014014</v>
      </c>
      <c r="P324" s="6">
        <f t="shared" si="72"/>
        <v>0.19927758730889755</v>
      </c>
      <c r="Q324" s="75">
        <v>70</v>
      </c>
      <c r="R324" s="76">
        <v>52</v>
      </c>
      <c r="S324" s="6">
        <f t="shared" si="75"/>
        <v>0.74285714285714288</v>
      </c>
      <c r="T324" s="36" t="str">
        <f t="shared" si="78"/>
        <v>Desempenho Médio</v>
      </c>
      <c r="U324" s="6">
        <f t="shared" si="73"/>
        <v>0.91825333306001944</v>
      </c>
      <c r="V324" s="6">
        <f t="shared" si="73"/>
        <v>1.402047931898428</v>
      </c>
      <c r="W324" s="6">
        <f t="shared" si="73"/>
        <v>0.43445873422161085</v>
      </c>
      <c r="X324" s="6">
        <f t="shared" si="73"/>
        <v>0.43445873422161085</v>
      </c>
      <c r="Y324" s="6">
        <f t="shared" si="73"/>
        <v>0.48379459883840858</v>
      </c>
    </row>
    <row r="325" spans="1:25" x14ac:dyDescent="0.25">
      <c r="A325" s="7" t="s">
        <v>37</v>
      </c>
      <c r="B325" s="7" t="s">
        <v>169</v>
      </c>
      <c r="C325" s="74">
        <v>75</v>
      </c>
      <c r="D325" s="74">
        <v>76</v>
      </c>
      <c r="E325" s="71">
        <f t="shared" si="74"/>
        <v>1.0133333333333334</v>
      </c>
      <c r="F325" s="65" t="str">
        <f t="shared" si="76"/>
        <v>Desempenho Bom</v>
      </c>
      <c r="G325" s="71">
        <f t="shared" si="66"/>
        <v>1.0016849877757958</v>
      </c>
      <c r="H325" s="71">
        <f t="shared" si="66"/>
        <v>1.521489991464148</v>
      </c>
      <c r="I325" s="71">
        <f t="shared" si="66"/>
        <v>0.48187998408744359</v>
      </c>
      <c r="J325" s="75">
        <v>47330.400000000001</v>
      </c>
      <c r="K325" s="75">
        <v>0</v>
      </c>
      <c r="L325" s="6">
        <f>(SUM(K314:K325))/J324</f>
        <v>0.25943495089836555</v>
      </c>
      <c r="M325" s="36" t="str">
        <f t="shared" si="77"/>
        <v>Desempenho Deficitário</v>
      </c>
      <c r="N325" s="6">
        <f t="shared" si="72"/>
        <v>0.82421983567812696</v>
      </c>
      <c r="O325" s="6">
        <f t="shared" si="72"/>
        <v>1.3730394926064369</v>
      </c>
      <c r="P325" s="6">
        <f t="shared" si="72"/>
        <v>0.27540017874981693</v>
      </c>
      <c r="Q325" s="75">
        <v>70</v>
      </c>
      <c r="R325" s="76">
        <v>52</v>
      </c>
      <c r="S325" s="6">
        <f t="shared" si="75"/>
        <v>0.74285714285714288</v>
      </c>
      <c r="T325" s="36" t="str">
        <f t="shared" si="78"/>
        <v>Desempenho Médio</v>
      </c>
      <c r="U325" s="6">
        <f t="shared" si="73"/>
        <v>0.91825333306001944</v>
      </c>
      <c r="V325" s="6">
        <f t="shared" si="73"/>
        <v>1.402047931898428</v>
      </c>
      <c r="W325" s="6">
        <f t="shared" si="73"/>
        <v>0.43445873422161085</v>
      </c>
      <c r="X325" s="6">
        <f t="shared" si="73"/>
        <v>0.43445873422161085</v>
      </c>
      <c r="Y325" s="6">
        <f t="shared" si="73"/>
        <v>0.48379459883840858</v>
      </c>
    </row>
    <row r="326" spans="1:25" x14ac:dyDescent="0.25">
      <c r="A326" s="7" t="s">
        <v>86</v>
      </c>
      <c r="B326" s="7" t="s">
        <v>158</v>
      </c>
      <c r="C326" s="74">
        <v>0</v>
      </c>
      <c r="D326" s="74">
        <v>0</v>
      </c>
      <c r="E326" s="71" t="e">
        <f t="shared" si="74"/>
        <v>#DIV/0!</v>
      </c>
      <c r="F326" s="65" t="e">
        <f t="shared" si="76"/>
        <v>#DIV/0!</v>
      </c>
      <c r="G326" s="71">
        <f t="shared" si="66"/>
        <v>0.11573204891712785</v>
      </c>
      <c r="H326" s="71">
        <f t="shared" si="66"/>
        <v>0.30218524997148988</v>
      </c>
      <c r="I326" s="71">
        <f t="shared" si="66"/>
        <v>-7.0721152137234206E-2</v>
      </c>
      <c r="J326" s="75">
        <v>0</v>
      </c>
      <c r="K326" s="75">
        <v>0</v>
      </c>
      <c r="L326" s="6" t="e">
        <f>K326/J326</f>
        <v>#DIV/0!</v>
      </c>
      <c r="M326" s="36" t="e">
        <f t="shared" si="77"/>
        <v>#DIV/0!</v>
      </c>
      <c r="N326" s="6">
        <f t="shared" ref="N326:P341" si="79">N314</f>
        <v>0.11129468122233216</v>
      </c>
      <c r="O326" s="6">
        <f t="shared" si="79"/>
        <v>0.54990456699293522</v>
      </c>
      <c r="P326" s="6">
        <f t="shared" si="79"/>
        <v>-0.32731520454827095</v>
      </c>
      <c r="Q326" s="75">
        <v>0</v>
      </c>
      <c r="R326" s="76">
        <v>0</v>
      </c>
      <c r="S326" s="6" t="e">
        <f t="shared" si="75"/>
        <v>#DIV/0!</v>
      </c>
      <c r="T326" s="36" t="e">
        <f t="shared" si="78"/>
        <v>#DIV/0!</v>
      </c>
      <c r="U326" s="6">
        <f t="shared" si="73"/>
        <v>6.5053670194766225E-2</v>
      </c>
      <c r="V326" s="6">
        <f t="shared" si="73"/>
        <v>0.16010348962314203</v>
      </c>
      <c r="W326" s="6">
        <f t="shared" si="73"/>
        <v>-2.9996149233609562E-2</v>
      </c>
      <c r="X326" s="6">
        <f t="shared" si="73"/>
        <v>1.7528760480578331E-2</v>
      </c>
      <c r="Y326" s="6">
        <f t="shared" si="73"/>
        <v>9.5049819428375787E-2</v>
      </c>
    </row>
    <row r="327" spans="1:25" x14ac:dyDescent="0.25">
      <c r="A327" s="7" t="s">
        <v>86</v>
      </c>
      <c r="B327" s="7" t="s">
        <v>159</v>
      </c>
      <c r="C327" s="74">
        <v>0</v>
      </c>
      <c r="D327" s="74">
        <v>21</v>
      </c>
      <c r="E327" s="71" t="e">
        <f t="shared" si="74"/>
        <v>#DIV/0!</v>
      </c>
      <c r="F327" s="65" t="e">
        <f t="shared" si="76"/>
        <v>#DIV/0!</v>
      </c>
      <c r="G327" s="71">
        <f t="shared" si="66"/>
        <v>0.22598075676513599</v>
      </c>
      <c r="H327" s="71">
        <f t="shared" si="66"/>
        <v>0.51894873552035481</v>
      </c>
      <c r="I327" s="71">
        <f t="shared" si="66"/>
        <v>-6.6987221990082807E-2</v>
      </c>
      <c r="J327" s="75">
        <v>0</v>
      </c>
      <c r="K327" s="75">
        <v>0</v>
      </c>
      <c r="L327" s="6" t="e">
        <f>(SUM(K326:K327))/J326</f>
        <v>#DIV/0!</v>
      </c>
      <c r="M327" s="36" t="e">
        <f t="shared" si="77"/>
        <v>#DIV/0!</v>
      </c>
      <c r="N327" s="6">
        <f t="shared" si="79"/>
        <v>0.14992070801509372</v>
      </c>
      <c r="O327" s="6">
        <f t="shared" si="79"/>
        <v>0.58968599072326611</v>
      </c>
      <c r="P327" s="6">
        <f t="shared" si="79"/>
        <v>-0.28984457469307867</v>
      </c>
      <c r="Q327" s="75">
        <v>0</v>
      </c>
      <c r="R327" s="76">
        <v>0</v>
      </c>
      <c r="S327" s="6" t="e">
        <f t="shared" si="75"/>
        <v>#DIV/0!</v>
      </c>
      <c r="T327" s="36" t="e">
        <f t="shared" si="78"/>
        <v>#DIV/0!</v>
      </c>
      <c r="U327" s="6">
        <f t="shared" si="73"/>
        <v>6.5053670194766225E-2</v>
      </c>
      <c r="V327" s="6">
        <f t="shared" si="73"/>
        <v>0.16010348962314203</v>
      </c>
      <c r="W327" s="6">
        <f t="shared" si="73"/>
        <v>-2.9996149233609562E-2</v>
      </c>
      <c r="X327" s="6">
        <f t="shared" si="73"/>
        <v>1.7528760480578331E-2</v>
      </c>
      <c r="Y327" s="6">
        <f t="shared" si="73"/>
        <v>9.5049819428375787E-2</v>
      </c>
    </row>
    <row r="328" spans="1:25" x14ac:dyDescent="0.25">
      <c r="A328" s="7" t="s">
        <v>86</v>
      </c>
      <c r="B328" s="7" t="s">
        <v>160</v>
      </c>
      <c r="C328" s="74">
        <v>0</v>
      </c>
      <c r="D328" s="74">
        <v>43</v>
      </c>
      <c r="E328" s="71" t="e">
        <f t="shared" si="74"/>
        <v>#DIV/0!</v>
      </c>
      <c r="F328" s="65" t="e">
        <f t="shared" si="76"/>
        <v>#DIV/0!</v>
      </c>
      <c r="G328" s="71">
        <f t="shared" si="66"/>
        <v>0.2827891266215985</v>
      </c>
      <c r="H328" s="71">
        <f t="shared" si="66"/>
        <v>0.59134445337262298</v>
      </c>
      <c r="I328" s="71">
        <f t="shared" si="66"/>
        <v>-2.5766200129425987E-2</v>
      </c>
      <c r="J328" s="75">
        <v>0</v>
      </c>
      <c r="K328" s="75">
        <v>0</v>
      </c>
      <c r="L328" s="6" t="e">
        <f>(SUM(K326:K328))/J327</f>
        <v>#DIV/0!</v>
      </c>
      <c r="M328" s="36" t="e">
        <f t="shared" si="77"/>
        <v>#DIV/0!</v>
      </c>
      <c r="N328" s="6">
        <f t="shared" si="79"/>
        <v>0.17723994755342617</v>
      </c>
      <c r="O328" s="6">
        <f t="shared" si="79"/>
        <v>0.61473682715667155</v>
      </c>
      <c r="P328" s="6">
        <f t="shared" si="79"/>
        <v>-0.26025693204981915</v>
      </c>
      <c r="Q328" s="75">
        <v>0</v>
      </c>
      <c r="R328" s="76">
        <v>0</v>
      </c>
      <c r="S328" s="6" t="e">
        <f t="shared" si="75"/>
        <v>#DIV/0!</v>
      </c>
      <c r="T328" s="36" t="e">
        <f t="shared" si="78"/>
        <v>#DIV/0!</v>
      </c>
      <c r="U328" s="6">
        <f t="shared" si="73"/>
        <v>0.18401218302179842</v>
      </c>
      <c r="V328" s="6">
        <f t="shared" si="73"/>
        <v>0.37883088095577799</v>
      </c>
      <c r="W328" s="6">
        <f t="shared" si="73"/>
        <v>-1.0806514912181153E-2</v>
      </c>
      <c r="X328" s="6">
        <f t="shared" si="73"/>
        <v>8.6602834054808633E-2</v>
      </c>
      <c r="Y328" s="6">
        <f t="shared" si="73"/>
        <v>0.19481869793397957</v>
      </c>
    </row>
    <row r="329" spans="1:25" x14ac:dyDescent="0.25">
      <c r="A329" s="7" t="s">
        <v>86</v>
      </c>
      <c r="B329" s="7" t="s">
        <v>161</v>
      </c>
      <c r="C329" s="74">
        <v>0</v>
      </c>
      <c r="D329" s="74">
        <v>50</v>
      </c>
      <c r="E329" s="71" t="e">
        <f t="shared" si="74"/>
        <v>#DIV/0!</v>
      </c>
      <c r="F329" s="65" t="e">
        <f t="shared" si="76"/>
        <v>#DIV/0!</v>
      </c>
      <c r="G329" s="71">
        <f t="shared" si="66"/>
        <v>0.36222496935690102</v>
      </c>
      <c r="H329" s="71">
        <f t="shared" si="66"/>
        <v>0.67917151968337719</v>
      </c>
      <c r="I329" s="71">
        <f t="shared" si="66"/>
        <v>4.5278419030424844E-2</v>
      </c>
      <c r="J329" s="75">
        <v>0</v>
      </c>
      <c r="K329" s="75">
        <v>800</v>
      </c>
      <c r="L329" s="6" t="e">
        <f>(SUM(K326:K329))/J328</f>
        <v>#DIV/0!</v>
      </c>
      <c r="M329" s="36" t="e">
        <f t="shared" si="77"/>
        <v>#DIV/0!</v>
      </c>
      <c r="N329" s="6">
        <f t="shared" si="79"/>
        <v>0.2271654986777647</v>
      </c>
      <c r="O329" s="6">
        <f t="shared" si="79"/>
        <v>0.71582389712396544</v>
      </c>
      <c r="P329" s="6">
        <f t="shared" si="79"/>
        <v>-0.26149289976843598</v>
      </c>
      <c r="Q329" s="75">
        <v>0</v>
      </c>
      <c r="R329" s="76">
        <v>0</v>
      </c>
      <c r="S329" s="6" t="e">
        <f t="shared" si="75"/>
        <v>#DIV/0!</v>
      </c>
      <c r="T329" s="36" t="e">
        <f t="shared" si="78"/>
        <v>#DIV/0!</v>
      </c>
      <c r="U329" s="6">
        <f t="shared" si="73"/>
        <v>0.18401218302179842</v>
      </c>
      <c r="V329" s="6">
        <f t="shared" si="73"/>
        <v>0.37883088095577799</v>
      </c>
      <c r="W329" s="6">
        <f t="shared" si="73"/>
        <v>-1.0806514912181153E-2</v>
      </c>
      <c r="X329" s="6">
        <f t="shared" si="73"/>
        <v>8.6602834054808633E-2</v>
      </c>
      <c r="Y329" s="6">
        <f t="shared" si="73"/>
        <v>0.19481869793397957</v>
      </c>
    </row>
    <row r="330" spans="1:25" x14ac:dyDescent="0.25">
      <c r="A330" s="7" t="s">
        <v>86</v>
      </c>
      <c r="B330" s="7" t="s">
        <v>162</v>
      </c>
      <c r="C330" s="74">
        <v>0</v>
      </c>
      <c r="D330" s="74">
        <v>50</v>
      </c>
      <c r="E330" s="71" t="e">
        <f t="shared" si="74"/>
        <v>#DIV/0!</v>
      </c>
      <c r="F330" s="65" t="e">
        <f t="shared" si="76"/>
        <v>#DIV/0!</v>
      </c>
      <c r="G330" s="71">
        <f t="shared" si="66"/>
        <v>0.44825178806664662</v>
      </c>
      <c r="H330" s="71">
        <f t="shared" si="66"/>
        <v>0.78548221403733831</v>
      </c>
      <c r="I330" s="71">
        <f t="shared" si="66"/>
        <v>0.11102136209595498</v>
      </c>
      <c r="J330" s="75">
        <v>0</v>
      </c>
      <c r="K330" s="75">
        <v>0</v>
      </c>
      <c r="L330" s="6" t="e">
        <f>(SUM(K326:K330))/J329</f>
        <v>#DIV/0!</v>
      </c>
      <c r="M330" s="36" t="e">
        <f t="shared" si="77"/>
        <v>#DIV/0!</v>
      </c>
      <c r="N330" s="6">
        <f t="shared" si="79"/>
        <v>0.27284258705105507</v>
      </c>
      <c r="O330" s="6">
        <f t="shared" si="79"/>
        <v>0.75981161093062477</v>
      </c>
      <c r="P330" s="6">
        <f t="shared" si="79"/>
        <v>-0.21412643682851468</v>
      </c>
      <c r="Q330" s="75">
        <v>0</v>
      </c>
      <c r="R330" s="76">
        <v>0</v>
      </c>
      <c r="S330" s="6" t="e">
        <f t="shared" si="75"/>
        <v>#DIV/0!</v>
      </c>
      <c r="T330" s="36" t="e">
        <f t="shared" si="78"/>
        <v>#DIV/0!</v>
      </c>
      <c r="U330" s="6">
        <f t="shared" si="73"/>
        <v>0.23278475191631845</v>
      </c>
      <c r="V330" s="6">
        <f t="shared" si="73"/>
        <v>0.51017789992422413</v>
      </c>
      <c r="W330" s="6">
        <f t="shared" si="73"/>
        <v>-4.460839609158726E-2</v>
      </c>
      <c r="X330" s="6">
        <f t="shared" si="73"/>
        <v>9.4088177912365595E-2</v>
      </c>
      <c r="Y330" s="6">
        <f t="shared" si="73"/>
        <v>0.27739314800790571</v>
      </c>
    </row>
    <row r="331" spans="1:25" x14ac:dyDescent="0.25">
      <c r="A331" s="7" t="s">
        <v>86</v>
      </c>
      <c r="B331" s="7" t="s">
        <v>163</v>
      </c>
      <c r="C331" s="74">
        <v>0</v>
      </c>
      <c r="D331" s="74">
        <v>56</v>
      </c>
      <c r="E331" s="71" t="e">
        <f t="shared" si="74"/>
        <v>#DIV/0!</v>
      </c>
      <c r="F331" s="65" t="e">
        <f t="shared" si="76"/>
        <v>#DIV/0!</v>
      </c>
      <c r="G331" s="71">
        <f t="shared" si="66"/>
        <v>0.54231176602906361</v>
      </c>
      <c r="H331" s="71">
        <f t="shared" si="66"/>
        <v>0.92735502699565786</v>
      </c>
      <c r="I331" s="71">
        <f t="shared" si="66"/>
        <v>0.15726850506246942</v>
      </c>
      <c r="J331" s="75">
        <v>0</v>
      </c>
      <c r="K331" s="75">
        <v>600</v>
      </c>
      <c r="L331" s="6" t="e">
        <f>(SUM(K326:K331))/J330</f>
        <v>#DIV/0!</v>
      </c>
      <c r="M331" s="36" t="e">
        <f t="shared" si="77"/>
        <v>#DIV/0!</v>
      </c>
      <c r="N331" s="6">
        <f t="shared" si="79"/>
        <v>0.31451673641638933</v>
      </c>
      <c r="O331" s="6">
        <f t="shared" si="79"/>
        <v>0.80702132782766356</v>
      </c>
      <c r="P331" s="6">
        <f t="shared" si="79"/>
        <v>-0.1779878549948849</v>
      </c>
      <c r="Q331" s="75">
        <v>0</v>
      </c>
      <c r="R331" s="76">
        <v>0</v>
      </c>
      <c r="S331" s="6" t="e">
        <f t="shared" si="75"/>
        <v>#DIV/0!</v>
      </c>
      <c r="T331" s="36" t="e">
        <f t="shared" si="78"/>
        <v>#DIV/0!</v>
      </c>
      <c r="U331" s="6">
        <f t="shared" si="73"/>
        <v>0.46105014853915682</v>
      </c>
      <c r="V331" s="6">
        <f t="shared" si="73"/>
        <v>0.84756736419379908</v>
      </c>
      <c r="W331" s="6">
        <f t="shared" si="73"/>
        <v>7.4532932884514569E-2</v>
      </c>
      <c r="X331" s="6">
        <f t="shared" si="73"/>
        <v>7.4532932884514569E-2</v>
      </c>
      <c r="Y331" s="6">
        <f t="shared" si="73"/>
        <v>0.38651721565464225</v>
      </c>
    </row>
    <row r="332" spans="1:25" x14ac:dyDescent="0.25">
      <c r="A332" s="7" t="s">
        <v>86</v>
      </c>
      <c r="B332" s="7" t="s">
        <v>164</v>
      </c>
      <c r="C332" s="74">
        <v>0</v>
      </c>
      <c r="D332" s="74">
        <v>71</v>
      </c>
      <c r="E332" s="71" t="e">
        <f t="shared" si="74"/>
        <v>#DIV/0!</v>
      </c>
      <c r="F332" s="65" t="e">
        <f t="shared" si="76"/>
        <v>#DIV/0!</v>
      </c>
      <c r="G332" s="71">
        <f t="shared" si="66"/>
        <v>0.63634637719050002</v>
      </c>
      <c r="H332" s="71">
        <f t="shared" si="66"/>
        <v>1.0512878703900039</v>
      </c>
      <c r="I332" s="71">
        <f t="shared" si="66"/>
        <v>0.22140488399099606</v>
      </c>
      <c r="J332" s="75">
        <v>0</v>
      </c>
      <c r="K332" s="75">
        <v>5800</v>
      </c>
      <c r="L332" s="6" t="e">
        <f>(SUM(K326:K332))/J331</f>
        <v>#DIV/0!</v>
      </c>
      <c r="M332" s="36" t="e">
        <f t="shared" si="77"/>
        <v>#DIV/0!</v>
      </c>
      <c r="N332" s="6">
        <f t="shared" si="79"/>
        <v>0.38334713342809434</v>
      </c>
      <c r="O332" s="6">
        <f t="shared" si="79"/>
        <v>0.88375935483946089</v>
      </c>
      <c r="P332" s="6">
        <f t="shared" si="79"/>
        <v>-0.1170650879832722</v>
      </c>
      <c r="Q332" s="75">
        <v>0</v>
      </c>
      <c r="R332" s="76">
        <v>0</v>
      </c>
      <c r="S332" s="6" t="e">
        <f t="shared" si="75"/>
        <v>#DIV/0!</v>
      </c>
      <c r="T332" s="36" t="e">
        <f t="shared" si="78"/>
        <v>#DIV/0!</v>
      </c>
      <c r="U332" s="6">
        <f t="shared" si="73"/>
        <v>0.46105014853915682</v>
      </c>
      <c r="V332" s="6">
        <f t="shared" si="73"/>
        <v>0.84756736419379908</v>
      </c>
      <c r="W332" s="6">
        <f t="shared" si="73"/>
        <v>7.4532932884514569E-2</v>
      </c>
      <c r="X332" s="6">
        <f t="shared" si="73"/>
        <v>7.4532932884514569E-2</v>
      </c>
      <c r="Y332" s="6">
        <f t="shared" si="73"/>
        <v>0.38651721565464225</v>
      </c>
    </row>
    <row r="333" spans="1:25" x14ac:dyDescent="0.25">
      <c r="A333" s="7" t="s">
        <v>86</v>
      </c>
      <c r="B333" s="7" t="s">
        <v>165</v>
      </c>
      <c r="C333" s="74">
        <v>0</v>
      </c>
      <c r="D333" s="74">
        <v>71</v>
      </c>
      <c r="E333" s="71" t="e">
        <f t="shared" si="74"/>
        <v>#DIV/0!</v>
      </c>
      <c r="F333" s="65" t="e">
        <f t="shared" si="76"/>
        <v>#DIV/0!</v>
      </c>
      <c r="G333" s="71">
        <f t="shared" si="66"/>
        <v>0.70660866675940681</v>
      </c>
      <c r="H333" s="71">
        <f t="shared" si="66"/>
        <v>1.1341225514190425</v>
      </c>
      <c r="I333" s="71">
        <f t="shared" si="66"/>
        <v>0.27909478209977112</v>
      </c>
      <c r="J333" s="75">
        <v>0</v>
      </c>
      <c r="K333" s="75">
        <v>0</v>
      </c>
      <c r="L333" s="6" t="e">
        <f>(SUM(K326:K333))/J332</f>
        <v>#DIV/0!</v>
      </c>
      <c r="M333" s="36" t="e">
        <f t="shared" si="77"/>
        <v>#DIV/0!</v>
      </c>
      <c r="N333" s="6">
        <f t="shared" si="79"/>
        <v>0.45719521320533213</v>
      </c>
      <c r="O333" s="6">
        <f t="shared" si="79"/>
        <v>0.97356755068321044</v>
      </c>
      <c r="P333" s="6">
        <f t="shared" si="79"/>
        <v>-5.9177124272546122E-2</v>
      </c>
      <c r="Q333" s="75">
        <v>0</v>
      </c>
      <c r="R333" s="76">
        <v>0</v>
      </c>
      <c r="S333" s="6" t="e">
        <f t="shared" si="75"/>
        <v>#DIV/0!</v>
      </c>
      <c r="T333" s="36" t="e">
        <f t="shared" si="78"/>
        <v>#DIV/0!</v>
      </c>
      <c r="U333" s="6">
        <f t="shared" si="73"/>
        <v>0.46105014853915682</v>
      </c>
      <c r="V333" s="6">
        <f t="shared" si="73"/>
        <v>0.84756736419379908</v>
      </c>
      <c r="W333" s="6">
        <f t="shared" si="73"/>
        <v>7.4532932884514569E-2</v>
      </c>
      <c r="X333" s="6">
        <f t="shared" si="73"/>
        <v>7.4532932884514569E-2</v>
      </c>
      <c r="Y333" s="6">
        <f t="shared" si="73"/>
        <v>0.38651721565464225</v>
      </c>
    </row>
    <row r="334" spans="1:25" x14ac:dyDescent="0.25">
      <c r="A334" s="7" t="s">
        <v>86</v>
      </c>
      <c r="B334" s="7" t="s">
        <v>166</v>
      </c>
      <c r="C334" s="74">
        <v>0</v>
      </c>
      <c r="D334" s="74">
        <v>71</v>
      </c>
      <c r="E334" s="71" t="e">
        <f t="shared" si="74"/>
        <v>#DIV/0!</v>
      </c>
      <c r="F334" s="65" t="e">
        <f t="shared" si="76"/>
        <v>#DIV/0!</v>
      </c>
      <c r="G334" s="71">
        <f t="shared" si="66"/>
        <v>0.73663014244586189</v>
      </c>
      <c r="H334" s="71">
        <f t="shared" si="66"/>
        <v>1.1737360935948695</v>
      </c>
      <c r="I334" s="71">
        <f t="shared" si="66"/>
        <v>0.29952419129685426</v>
      </c>
      <c r="J334" s="75">
        <v>0</v>
      </c>
      <c r="K334" s="75">
        <v>0</v>
      </c>
      <c r="L334" s="6" t="e">
        <f>(SUM(K326:K334))/J333</f>
        <v>#DIV/0!</v>
      </c>
      <c r="M334" s="36" t="e">
        <f t="shared" si="77"/>
        <v>#DIV/0!</v>
      </c>
      <c r="N334" s="6">
        <f t="shared" si="79"/>
        <v>0.50336729135060976</v>
      </c>
      <c r="O334" s="6">
        <f t="shared" si="79"/>
        <v>1.0150591886201059</v>
      </c>
      <c r="P334" s="6">
        <f t="shared" si="79"/>
        <v>-8.3246059188863963E-3</v>
      </c>
      <c r="Q334" s="75">
        <v>0</v>
      </c>
      <c r="R334" s="76">
        <v>64</v>
      </c>
      <c r="S334" s="6" t="e">
        <f t="shared" si="75"/>
        <v>#DIV/0!</v>
      </c>
      <c r="T334" s="36" t="e">
        <f t="shared" si="78"/>
        <v>#DIV/0!</v>
      </c>
      <c r="U334" s="6">
        <f t="shared" si="73"/>
        <v>0.74232771533595698</v>
      </c>
      <c r="V334" s="6">
        <f t="shared" si="73"/>
        <v>1.1540802341555996</v>
      </c>
      <c r="W334" s="6">
        <f t="shared" si="73"/>
        <v>0.33057519651631434</v>
      </c>
      <c r="X334" s="6">
        <f t="shared" si="73"/>
        <v>0.33057519651631434</v>
      </c>
      <c r="Y334" s="6">
        <f t="shared" si="73"/>
        <v>0.41175251881964264</v>
      </c>
    </row>
    <row r="335" spans="1:25" x14ac:dyDescent="0.25">
      <c r="A335" s="7" t="s">
        <v>86</v>
      </c>
      <c r="B335" s="7" t="s">
        <v>167</v>
      </c>
      <c r="C335" s="74">
        <v>0</v>
      </c>
      <c r="D335" s="74">
        <v>93</v>
      </c>
      <c r="E335" s="71" t="e">
        <f t="shared" si="74"/>
        <v>#DIV/0!</v>
      </c>
      <c r="F335" s="65" t="e">
        <f t="shared" si="76"/>
        <v>#DIV/0!</v>
      </c>
      <c r="G335" s="71">
        <f t="shared" ref="G335:I398" si="80">G323</f>
        <v>0.82061442726694189</v>
      </c>
      <c r="H335" s="71">
        <f t="shared" si="80"/>
        <v>1.2607833515834532</v>
      </c>
      <c r="I335" s="71">
        <f t="shared" si="80"/>
        <v>0.38044550295043061</v>
      </c>
      <c r="J335" s="75">
        <v>0</v>
      </c>
      <c r="K335" s="75">
        <v>3300</v>
      </c>
      <c r="L335" s="6" t="e">
        <f>(SUM(K326:K335))/J334</f>
        <v>#DIV/0!</v>
      </c>
      <c r="M335" s="36" t="e">
        <f t="shared" si="77"/>
        <v>#DIV/0!</v>
      </c>
      <c r="N335" s="6">
        <f t="shared" si="79"/>
        <v>0.58006775555216661</v>
      </c>
      <c r="O335" s="6">
        <f t="shared" si="79"/>
        <v>1.099948635873619</v>
      </c>
      <c r="P335" s="6">
        <f t="shared" si="79"/>
        <v>6.0186875230714088E-2</v>
      </c>
      <c r="Q335" s="75">
        <v>0</v>
      </c>
      <c r="R335" s="76">
        <v>64</v>
      </c>
      <c r="S335" s="6" t="e">
        <f t="shared" si="75"/>
        <v>#DIV/0!</v>
      </c>
      <c r="T335" s="36" t="e">
        <f t="shared" si="78"/>
        <v>#DIV/0!</v>
      </c>
      <c r="U335" s="6">
        <f t="shared" ref="U335:Y350" si="81">U323</f>
        <v>0.82347447721763523</v>
      </c>
      <c r="V335" s="6">
        <f t="shared" si="81"/>
        <v>1.2398542522675045</v>
      </c>
      <c r="W335" s="6">
        <f t="shared" si="81"/>
        <v>0.40709470216776611</v>
      </c>
      <c r="X335" s="6">
        <f t="shared" si="81"/>
        <v>0.40709470216776611</v>
      </c>
      <c r="Y335" s="6">
        <f t="shared" si="81"/>
        <v>0.41637977504986912</v>
      </c>
    </row>
    <row r="336" spans="1:25" x14ac:dyDescent="0.25">
      <c r="A336" s="7" t="s">
        <v>86</v>
      </c>
      <c r="B336" s="7" t="s">
        <v>168</v>
      </c>
      <c r="C336" s="74">
        <v>0</v>
      </c>
      <c r="D336" s="74">
        <v>93</v>
      </c>
      <c r="E336" s="71" t="e">
        <f t="shared" si="74"/>
        <v>#DIV/0!</v>
      </c>
      <c r="F336" s="65" t="e">
        <f t="shared" si="76"/>
        <v>#DIV/0!</v>
      </c>
      <c r="G336" s="71">
        <f t="shared" si="80"/>
        <v>0.94582556715526966</v>
      </c>
      <c r="H336" s="71">
        <f t="shared" si="80"/>
        <v>1.4311117173682604</v>
      </c>
      <c r="I336" s="71">
        <f t="shared" si="80"/>
        <v>0.46053941694227907</v>
      </c>
      <c r="J336" s="75">
        <v>0</v>
      </c>
      <c r="K336" s="75">
        <v>0</v>
      </c>
      <c r="L336" s="6" t="e">
        <f>(SUM(K326:K336))/J335</f>
        <v>#DIV/0!</v>
      </c>
      <c r="M336" s="36" t="e">
        <f t="shared" si="77"/>
        <v>#DIV/0!</v>
      </c>
      <c r="N336" s="6">
        <f t="shared" si="79"/>
        <v>0.72282137340514951</v>
      </c>
      <c r="O336" s="6">
        <f t="shared" si="79"/>
        <v>1.2463651595014014</v>
      </c>
      <c r="P336" s="6">
        <f t="shared" si="79"/>
        <v>0.19927758730889755</v>
      </c>
      <c r="Q336" s="75">
        <v>0</v>
      </c>
      <c r="R336" s="76">
        <v>64</v>
      </c>
      <c r="S336" s="6" t="e">
        <f t="shared" si="75"/>
        <v>#DIV/0!</v>
      </c>
      <c r="T336" s="36" t="e">
        <f t="shared" si="78"/>
        <v>#DIV/0!</v>
      </c>
      <c r="U336" s="6">
        <f t="shared" si="81"/>
        <v>0.91825333306001944</v>
      </c>
      <c r="V336" s="6">
        <f t="shared" si="81"/>
        <v>1.402047931898428</v>
      </c>
      <c r="W336" s="6">
        <f t="shared" si="81"/>
        <v>0.43445873422161085</v>
      </c>
      <c r="X336" s="6">
        <f t="shared" si="81"/>
        <v>0.43445873422161085</v>
      </c>
      <c r="Y336" s="6">
        <f t="shared" si="81"/>
        <v>0.48379459883840858</v>
      </c>
    </row>
    <row r="337" spans="1:25" x14ac:dyDescent="0.25">
      <c r="A337" s="7" t="s">
        <v>86</v>
      </c>
      <c r="B337" s="7" t="s">
        <v>169</v>
      </c>
      <c r="C337" s="74">
        <v>0</v>
      </c>
      <c r="D337" s="74">
        <v>93</v>
      </c>
      <c r="E337" s="71" t="e">
        <f t="shared" si="74"/>
        <v>#DIV/0!</v>
      </c>
      <c r="F337" s="65" t="e">
        <f t="shared" si="76"/>
        <v>#DIV/0!</v>
      </c>
      <c r="G337" s="71">
        <f t="shared" si="80"/>
        <v>1.0016849877757958</v>
      </c>
      <c r="H337" s="71">
        <f t="shared" si="80"/>
        <v>1.521489991464148</v>
      </c>
      <c r="I337" s="71">
        <f t="shared" si="80"/>
        <v>0.48187998408744359</v>
      </c>
      <c r="J337" s="75">
        <v>0</v>
      </c>
      <c r="K337" s="75">
        <v>14842</v>
      </c>
      <c r="L337" s="6" t="e">
        <f>(SUM(K326:K337))/J336</f>
        <v>#DIV/0!</v>
      </c>
      <c r="M337" s="36" t="e">
        <f t="shared" si="77"/>
        <v>#DIV/0!</v>
      </c>
      <c r="N337" s="6">
        <f t="shared" si="79"/>
        <v>0.82421983567812696</v>
      </c>
      <c r="O337" s="6">
        <f t="shared" si="79"/>
        <v>1.3730394926064369</v>
      </c>
      <c r="P337" s="6">
        <f t="shared" si="79"/>
        <v>0.27540017874981693</v>
      </c>
      <c r="Q337" s="75">
        <v>0</v>
      </c>
      <c r="R337" s="76">
        <v>64</v>
      </c>
      <c r="S337" s="6" t="e">
        <f t="shared" si="75"/>
        <v>#DIV/0!</v>
      </c>
      <c r="T337" s="36" t="e">
        <f t="shared" si="78"/>
        <v>#DIV/0!</v>
      </c>
      <c r="U337" s="6">
        <f t="shared" si="81"/>
        <v>0.91825333306001944</v>
      </c>
      <c r="V337" s="6">
        <f t="shared" si="81"/>
        <v>1.402047931898428</v>
      </c>
      <c r="W337" s="6">
        <f t="shared" si="81"/>
        <v>0.43445873422161085</v>
      </c>
      <c r="X337" s="6">
        <f t="shared" si="81"/>
        <v>0.43445873422161085</v>
      </c>
      <c r="Y337" s="6">
        <f t="shared" si="81"/>
        <v>0.48379459883840858</v>
      </c>
    </row>
    <row r="338" spans="1:25" x14ac:dyDescent="0.25">
      <c r="A338" s="7" t="s">
        <v>65</v>
      </c>
      <c r="B338" s="7" t="s">
        <v>158</v>
      </c>
      <c r="C338" s="74">
        <v>75</v>
      </c>
      <c r="D338" s="74">
        <v>0</v>
      </c>
      <c r="E338" s="71">
        <f t="shared" si="74"/>
        <v>0</v>
      </c>
      <c r="F338" s="65" t="str">
        <f t="shared" si="76"/>
        <v>Desempenho Médio</v>
      </c>
      <c r="G338" s="71">
        <f t="shared" si="80"/>
        <v>0.11573204891712785</v>
      </c>
      <c r="H338" s="71">
        <f t="shared" si="80"/>
        <v>0.30218524997148988</v>
      </c>
      <c r="I338" s="71">
        <f t="shared" si="80"/>
        <v>-7.0721152137234206E-2</v>
      </c>
      <c r="J338" s="75">
        <v>44936.800000000003</v>
      </c>
      <c r="K338" s="75">
        <v>0</v>
      </c>
      <c r="L338" s="6">
        <f>K338/J338</f>
        <v>0</v>
      </c>
      <c r="M338" s="36" t="str">
        <f t="shared" si="77"/>
        <v>Desempenho Médio</v>
      </c>
      <c r="N338" s="6">
        <f t="shared" si="79"/>
        <v>0.11129468122233216</v>
      </c>
      <c r="O338" s="6">
        <f t="shared" si="79"/>
        <v>0.54990456699293522</v>
      </c>
      <c r="P338" s="6">
        <f t="shared" si="79"/>
        <v>-0.32731520454827095</v>
      </c>
      <c r="Q338" s="75">
        <v>80</v>
      </c>
      <c r="R338" s="76">
        <v>0</v>
      </c>
      <c r="S338" s="6">
        <f t="shared" si="75"/>
        <v>0</v>
      </c>
      <c r="T338" s="36" t="str">
        <f t="shared" si="78"/>
        <v>Desempenho Médio</v>
      </c>
      <c r="U338" s="6">
        <f t="shared" si="81"/>
        <v>6.5053670194766225E-2</v>
      </c>
      <c r="V338" s="6">
        <f t="shared" si="81"/>
        <v>0.16010348962314203</v>
      </c>
      <c r="W338" s="6">
        <f t="shared" si="81"/>
        <v>-2.9996149233609562E-2</v>
      </c>
      <c r="X338" s="6">
        <f t="shared" si="81"/>
        <v>1.7528760480578331E-2</v>
      </c>
      <c r="Y338" s="6">
        <f t="shared" si="81"/>
        <v>9.5049819428375787E-2</v>
      </c>
    </row>
    <row r="339" spans="1:25" x14ac:dyDescent="0.25">
      <c r="A339" s="7" t="s">
        <v>65</v>
      </c>
      <c r="B339" s="7" t="s">
        <v>159</v>
      </c>
      <c r="C339" s="74">
        <v>75</v>
      </c>
      <c r="D339" s="74">
        <v>0</v>
      </c>
      <c r="E339" s="71">
        <f t="shared" si="74"/>
        <v>0</v>
      </c>
      <c r="F339" s="65" t="str">
        <f t="shared" si="76"/>
        <v>Desempenho Médio</v>
      </c>
      <c r="G339" s="71">
        <f t="shared" si="80"/>
        <v>0.22598075676513599</v>
      </c>
      <c r="H339" s="71">
        <f t="shared" si="80"/>
        <v>0.51894873552035481</v>
      </c>
      <c r="I339" s="71">
        <f t="shared" si="80"/>
        <v>-6.6987221990082807E-2</v>
      </c>
      <c r="J339" s="75">
        <v>44936.800000000003</v>
      </c>
      <c r="K339" s="75">
        <v>0</v>
      </c>
      <c r="L339" s="6">
        <f>(SUM(K338:K339))/J338</f>
        <v>0</v>
      </c>
      <c r="M339" s="36" t="str">
        <f t="shared" si="77"/>
        <v>Desempenho Médio</v>
      </c>
      <c r="N339" s="6">
        <f t="shared" si="79"/>
        <v>0.14992070801509372</v>
      </c>
      <c r="O339" s="6">
        <f t="shared" si="79"/>
        <v>0.58968599072326611</v>
      </c>
      <c r="P339" s="6">
        <f t="shared" si="79"/>
        <v>-0.28984457469307867</v>
      </c>
      <c r="Q339" s="75">
        <v>80</v>
      </c>
      <c r="R339" s="76">
        <v>0</v>
      </c>
      <c r="S339" s="6">
        <f t="shared" si="75"/>
        <v>0</v>
      </c>
      <c r="T339" s="36" t="str">
        <f t="shared" si="78"/>
        <v>Desempenho Médio</v>
      </c>
      <c r="U339" s="6">
        <f t="shared" si="81"/>
        <v>6.5053670194766225E-2</v>
      </c>
      <c r="V339" s="6">
        <f t="shared" si="81"/>
        <v>0.16010348962314203</v>
      </c>
      <c r="W339" s="6">
        <f t="shared" si="81"/>
        <v>-2.9996149233609562E-2</v>
      </c>
      <c r="X339" s="6">
        <f t="shared" si="81"/>
        <v>1.7528760480578331E-2</v>
      </c>
      <c r="Y339" s="6">
        <f t="shared" si="81"/>
        <v>9.5049819428375787E-2</v>
      </c>
    </row>
    <row r="340" spans="1:25" x14ac:dyDescent="0.25">
      <c r="A340" s="7" t="s">
        <v>65</v>
      </c>
      <c r="B340" s="7" t="s">
        <v>160</v>
      </c>
      <c r="C340" s="74">
        <v>75</v>
      </c>
      <c r="D340" s="74">
        <v>0</v>
      </c>
      <c r="E340" s="71">
        <f t="shared" si="74"/>
        <v>0</v>
      </c>
      <c r="F340" s="65" t="str">
        <f t="shared" si="76"/>
        <v>Desempenho Médio</v>
      </c>
      <c r="G340" s="71">
        <f t="shared" si="80"/>
        <v>0.2827891266215985</v>
      </c>
      <c r="H340" s="71">
        <f t="shared" si="80"/>
        <v>0.59134445337262298</v>
      </c>
      <c r="I340" s="71">
        <f t="shared" si="80"/>
        <v>-2.5766200129425987E-2</v>
      </c>
      <c r="J340" s="75">
        <v>44936.800000000003</v>
      </c>
      <c r="K340" s="75">
        <v>0</v>
      </c>
      <c r="L340" s="6">
        <f>(SUM(K338:K340))/J339</f>
        <v>0</v>
      </c>
      <c r="M340" s="36" t="str">
        <f t="shared" si="77"/>
        <v>Desempenho Médio</v>
      </c>
      <c r="N340" s="6">
        <f t="shared" si="79"/>
        <v>0.17723994755342617</v>
      </c>
      <c r="O340" s="6">
        <f t="shared" si="79"/>
        <v>0.61473682715667155</v>
      </c>
      <c r="P340" s="6">
        <f t="shared" si="79"/>
        <v>-0.26025693204981915</v>
      </c>
      <c r="Q340" s="75">
        <v>80</v>
      </c>
      <c r="R340" s="76">
        <v>21</v>
      </c>
      <c r="S340" s="6">
        <f t="shared" si="75"/>
        <v>0.26250000000000001</v>
      </c>
      <c r="T340" s="36" t="str">
        <f t="shared" si="78"/>
        <v>Desempenho Bom</v>
      </c>
      <c r="U340" s="6">
        <f t="shared" si="81"/>
        <v>0.18401218302179842</v>
      </c>
      <c r="V340" s="6">
        <f t="shared" si="81"/>
        <v>0.37883088095577799</v>
      </c>
      <c r="W340" s="6">
        <f t="shared" si="81"/>
        <v>-1.0806514912181153E-2</v>
      </c>
      <c r="X340" s="6">
        <f t="shared" si="81"/>
        <v>8.6602834054808633E-2</v>
      </c>
      <c r="Y340" s="6">
        <f t="shared" si="81"/>
        <v>0.19481869793397957</v>
      </c>
    </row>
    <row r="341" spans="1:25" x14ac:dyDescent="0.25">
      <c r="A341" s="7" t="s">
        <v>65</v>
      </c>
      <c r="B341" s="7" t="s">
        <v>161</v>
      </c>
      <c r="C341" s="74">
        <v>75</v>
      </c>
      <c r="D341" s="74">
        <v>0</v>
      </c>
      <c r="E341" s="71">
        <f t="shared" si="74"/>
        <v>0</v>
      </c>
      <c r="F341" s="65" t="str">
        <f t="shared" si="76"/>
        <v>Desempenho Deficitário</v>
      </c>
      <c r="G341" s="71">
        <f t="shared" si="80"/>
        <v>0.36222496935690102</v>
      </c>
      <c r="H341" s="71">
        <f t="shared" si="80"/>
        <v>0.67917151968337719</v>
      </c>
      <c r="I341" s="71">
        <f t="shared" si="80"/>
        <v>4.5278419030424844E-2</v>
      </c>
      <c r="J341" s="75">
        <v>44936.800000000003</v>
      </c>
      <c r="K341" s="75">
        <v>0</v>
      </c>
      <c r="L341" s="6">
        <f>(SUM(K338:K341))/J340</f>
        <v>0</v>
      </c>
      <c r="M341" s="36" t="str">
        <f t="shared" si="77"/>
        <v>Desempenho Médio</v>
      </c>
      <c r="N341" s="6">
        <f t="shared" si="79"/>
        <v>0.2271654986777647</v>
      </c>
      <c r="O341" s="6">
        <f t="shared" si="79"/>
        <v>0.71582389712396544</v>
      </c>
      <c r="P341" s="6">
        <f t="shared" si="79"/>
        <v>-0.26149289976843598</v>
      </c>
      <c r="Q341" s="75">
        <v>80</v>
      </c>
      <c r="R341" s="76">
        <v>21</v>
      </c>
      <c r="S341" s="6">
        <f t="shared" si="75"/>
        <v>0.26250000000000001</v>
      </c>
      <c r="T341" s="36" t="str">
        <f t="shared" si="78"/>
        <v>Desempenho Bom</v>
      </c>
      <c r="U341" s="6">
        <f t="shared" si="81"/>
        <v>0.18401218302179842</v>
      </c>
      <c r="V341" s="6">
        <f t="shared" si="81"/>
        <v>0.37883088095577799</v>
      </c>
      <c r="W341" s="6">
        <f t="shared" si="81"/>
        <v>-1.0806514912181153E-2</v>
      </c>
      <c r="X341" s="6">
        <f t="shared" si="81"/>
        <v>8.6602834054808633E-2</v>
      </c>
      <c r="Y341" s="6">
        <f t="shared" si="81"/>
        <v>0.19481869793397957</v>
      </c>
    </row>
    <row r="342" spans="1:25" x14ac:dyDescent="0.25">
      <c r="A342" s="7" t="s">
        <v>65</v>
      </c>
      <c r="B342" s="7" t="s">
        <v>162</v>
      </c>
      <c r="C342" s="74">
        <v>75</v>
      </c>
      <c r="D342" s="74">
        <v>0</v>
      </c>
      <c r="E342" s="71">
        <f t="shared" si="74"/>
        <v>0</v>
      </c>
      <c r="F342" s="65" t="str">
        <f t="shared" si="76"/>
        <v>Desempenho Deficitário</v>
      </c>
      <c r="G342" s="71">
        <f t="shared" si="80"/>
        <v>0.44825178806664662</v>
      </c>
      <c r="H342" s="71">
        <f t="shared" si="80"/>
        <v>0.78548221403733831</v>
      </c>
      <c r="I342" s="71">
        <f t="shared" si="80"/>
        <v>0.11102136209595498</v>
      </c>
      <c r="J342" s="75">
        <v>44936.800000000003</v>
      </c>
      <c r="K342" s="75">
        <v>0</v>
      </c>
      <c r="L342" s="6">
        <f>(SUM(K338:K342))/J341</f>
        <v>0</v>
      </c>
      <c r="M342" s="36" t="str">
        <f t="shared" si="77"/>
        <v>Desempenho Médio</v>
      </c>
      <c r="N342" s="6">
        <f t="shared" ref="N342:P357" si="82">N330</f>
        <v>0.27284258705105507</v>
      </c>
      <c r="O342" s="6">
        <f t="shared" si="82"/>
        <v>0.75981161093062477</v>
      </c>
      <c r="P342" s="6">
        <f t="shared" si="82"/>
        <v>-0.21412643682851468</v>
      </c>
      <c r="Q342" s="75">
        <v>80</v>
      </c>
      <c r="R342" s="76">
        <v>21</v>
      </c>
      <c r="S342" s="6">
        <f t="shared" si="75"/>
        <v>0.26250000000000001</v>
      </c>
      <c r="T342" s="36" t="str">
        <f t="shared" si="78"/>
        <v>Desempenho Bom</v>
      </c>
      <c r="U342" s="6">
        <f t="shared" si="81"/>
        <v>0.23278475191631845</v>
      </c>
      <c r="V342" s="6">
        <f t="shared" si="81"/>
        <v>0.51017789992422413</v>
      </c>
      <c r="W342" s="6">
        <f t="shared" si="81"/>
        <v>-4.460839609158726E-2</v>
      </c>
      <c r="X342" s="6">
        <f t="shared" si="81"/>
        <v>9.4088177912365595E-2</v>
      </c>
      <c r="Y342" s="6">
        <f t="shared" si="81"/>
        <v>0.27739314800790571</v>
      </c>
    </row>
    <row r="343" spans="1:25" x14ac:dyDescent="0.25">
      <c r="A343" s="7" t="s">
        <v>65</v>
      </c>
      <c r="B343" s="7" t="s">
        <v>163</v>
      </c>
      <c r="C343" s="74">
        <v>75</v>
      </c>
      <c r="D343" s="74">
        <v>0</v>
      </c>
      <c r="E343" s="71">
        <f t="shared" si="74"/>
        <v>0</v>
      </c>
      <c r="F343" s="65" t="str">
        <f t="shared" si="76"/>
        <v>Desempenho Deficitário</v>
      </c>
      <c r="G343" s="71">
        <f t="shared" si="80"/>
        <v>0.54231176602906361</v>
      </c>
      <c r="H343" s="71">
        <f t="shared" si="80"/>
        <v>0.92735502699565786</v>
      </c>
      <c r="I343" s="71">
        <f t="shared" si="80"/>
        <v>0.15726850506246942</v>
      </c>
      <c r="J343" s="75">
        <v>44936.800000000003</v>
      </c>
      <c r="K343" s="75">
        <v>0</v>
      </c>
      <c r="L343" s="6">
        <f>(SUM(K338:K343))/J342</f>
        <v>0</v>
      </c>
      <c r="M343" s="36" t="str">
        <f t="shared" si="77"/>
        <v>Desempenho Médio</v>
      </c>
      <c r="N343" s="6">
        <f t="shared" si="82"/>
        <v>0.31451673641638933</v>
      </c>
      <c r="O343" s="6">
        <f t="shared" si="82"/>
        <v>0.80702132782766356</v>
      </c>
      <c r="P343" s="6">
        <f t="shared" si="82"/>
        <v>-0.1779878549948849</v>
      </c>
      <c r="Q343" s="75">
        <v>80</v>
      </c>
      <c r="R343" s="76">
        <v>28</v>
      </c>
      <c r="S343" s="6">
        <f t="shared" si="75"/>
        <v>0.35</v>
      </c>
      <c r="T343" s="36" t="str">
        <f t="shared" si="78"/>
        <v>Desempenho Médio</v>
      </c>
      <c r="U343" s="6">
        <f t="shared" si="81"/>
        <v>0.46105014853915682</v>
      </c>
      <c r="V343" s="6">
        <f t="shared" si="81"/>
        <v>0.84756736419379908</v>
      </c>
      <c r="W343" s="6">
        <f t="shared" si="81"/>
        <v>7.4532932884514569E-2</v>
      </c>
      <c r="X343" s="6">
        <f t="shared" si="81"/>
        <v>7.4532932884514569E-2</v>
      </c>
      <c r="Y343" s="6">
        <f t="shared" si="81"/>
        <v>0.38651721565464225</v>
      </c>
    </row>
    <row r="344" spans="1:25" x14ac:dyDescent="0.25">
      <c r="A344" s="7" t="s">
        <v>65</v>
      </c>
      <c r="B344" s="7" t="s">
        <v>164</v>
      </c>
      <c r="C344" s="74">
        <v>75</v>
      </c>
      <c r="D344" s="74">
        <v>33</v>
      </c>
      <c r="E344" s="71">
        <f t="shared" si="74"/>
        <v>0.44</v>
      </c>
      <c r="F344" s="65" t="str">
        <f t="shared" si="76"/>
        <v>Desempenho Médio</v>
      </c>
      <c r="G344" s="71">
        <f t="shared" si="80"/>
        <v>0.63634637719050002</v>
      </c>
      <c r="H344" s="71">
        <f t="shared" si="80"/>
        <v>1.0512878703900039</v>
      </c>
      <c r="I344" s="71">
        <f t="shared" si="80"/>
        <v>0.22140488399099606</v>
      </c>
      <c r="J344" s="75">
        <v>44936.800000000003</v>
      </c>
      <c r="K344" s="75">
        <v>1500</v>
      </c>
      <c r="L344" s="6">
        <f>(SUM(K338:K344))/J343</f>
        <v>3.3380213989425145E-2</v>
      </c>
      <c r="M344" s="36" t="str">
        <f t="shared" si="77"/>
        <v>Desempenho Médio</v>
      </c>
      <c r="N344" s="6">
        <f t="shared" si="82"/>
        <v>0.38334713342809434</v>
      </c>
      <c r="O344" s="6">
        <f t="shared" si="82"/>
        <v>0.88375935483946089</v>
      </c>
      <c r="P344" s="6">
        <f t="shared" si="82"/>
        <v>-0.1170650879832722</v>
      </c>
      <c r="Q344" s="75">
        <v>80</v>
      </c>
      <c r="R344" s="76">
        <v>28</v>
      </c>
      <c r="S344" s="6">
        <f t="shared" si="75"/>
        <v>0.35</v>
      </c>
      <c r="T344" s="36" t="str">
        <f t="shared" si="78"/>
        <v>Desempenho Médio</v>
      </c>
      <c r="U344" s="6">
        <f t="shared" si="81"/>
        <v>0.46105014853915682</v>
      </c>
      <c r="V344" s="6">
        <f t="shared" si="81"/>
        <v>0.84756736419379908</v>
      </c>
      <c r="W344" s="6">
        <f t="shared" si="81"/>
        <v>7.4532932884514569E-2</v>
      </c>
      <c r="X344" s="6">
        <f t="shared" si="81"/>
        <v>7.4532932884514569E-2</v>
      </c>
      <c r="Y344" s="6">
        <f t="shared" si="81"/>
        <v>0.38651721565464225</v>
      </c>
    </row>
    <row r="345" spans="1:25" x14ac:dyDescent="0.25">
      <c r="A345" s="7" t="s">
        <v>65</v>
      </c>
      <c r="B345" s="7" t="s">
        <v>165</v>
      </c>
      <c r="C345" s="74">
        <v>75</v>
      </c>
      <c r="D345" s="74">
        <v>33</v>
      </c>
      <c r="E345" s="71">
        <f t="shared" si="74"/>
        <v>0.44</v>
      </c>
      <c r="F345" s="65" t="str">
        <f t="shared" si="76"/>
        <v>Desempenho Médio</v>
      </c>
      <c r="G345" s="71">
        <f t="shared" si="80"/>
        <v>0.70660866675940681</v>
      </c>
      <c r="H345" s="71">
        <f t="shared" si="80"/>
        <v>1.1341225514190425</v>
      </c>
      <c r="I345" s="71">
        <f t="shared" si="80"/>
        <v>0.27909478209977112</v>
      </c>
      <c r="J345" s="75">
        <v>44936.800000000003</v>
      </c>
      <c r="K345" s="75">
        <v>0</v>
      </c>
      <c r="L345" s="6">
        <f>(SUM(K338:K345))/J344</f>
        <v>3.3380213989425145E-2</v>
      </c>
      <c r="M345" s="36" t="str">
        <f t="shared" si="77"/>
        <v>Desempenho Médio</v>
      </c>
      <c r="N345" s="6">
        <f t="shared" si="82"/>
        <v>0.45719521320533213</v>
      </c>
      <c r="O345" s="6">
        <f t="shared" si="82"/>
        <v>0.97356755068321044</v>
      </c>
      <c r="P345" s="6">
        <f t="shared" si="82"/>
        <v>-5.9177124272546122E-2</v>
      </c>
      <c r="Q345" s="75">
        <v>80</v>
      </c>
      <c r="R345" s="76">
        <v>28</v>
      </c>
      <c r="S345" s="6">
        <f t="shared" si="75"/>
        <v>0.35</v>
      </c>
      <c r="T345" s="36" t="str">
        <f t="shared" si="78"/>
        <v>Desempenho Médio</v>
      </c>
      <c r="U345" s="6">
        <f t="shared" si="81"/>
        <v>0.46105014853915682</v>
      </c>
      <c r="V345" s="6">
        <f t="shared" si="81"/>
        <v>0.84756736419379908</v>
      </c>
      <c r="W345" s="6">
        <f t="shared" si="81"/>
        <v>7.4532932884514569E-2</v>
      </c>
      <c r="X345" s="6">
        <f t="shared" si="81"/>
        <v>7.4532932884514569E-2</v>
      </c>
      <c r="Y345" s="6">
        <f t="shared" si="81"/>
        <v>0.38651721565464225</v>
      </c>
    </row>
    <row r="346" spans="1:25" x14ac:dyDescent="0.25">
      <c r="A346" s="7" t="s">
        <v>65</v>
      </c>
      <c r="B346" s="7" t="s">
        <v>166</v>
      </c>
      <c r="C346" s="74">
        <v>75</v>
      </c>
      <c r="D346" s="74">
        <v>33</v>
      </c>
      <c r="E346" s="71">
        <f t="shared" si="74"/>
        <v>0.44</v>
      </c>
      <c r="F346" s="65" t="str">
        <f t="shared" si="76"/>
        <v>Desempenho Médio</v>
      </c>
      <c r="G346" s="71">
        <f t="shared" si="80"/>
        <v>0.73663014244586189</v>
      </c>
      <c r="H346" s="71">
        <f t="shared" si="80"/>
        <v>1.1737360935948695</v>
      </c>
      <c r="I346" s="71">
        <f t="shared" si="80"/>
        <v>0.29952419129685426</v>
      </c>
      <c r="J346" s="75">
        <v>44936.800000000003</v>
      </c>
      <c r="K346" s="75">
        <v>16850</v>
      </c>
      <c r="L346" s="6">
        <f>(SUM(K338:K346))/J345</f>
        <v>0.40835128447063429</v>
      </c>
      <c r="M346" s="36" t="str">
        <f t="shared" si="77"/>
        <v>Desempenho Médio</v>
      </c>
      <c r="N346" s="6">
        <f t="shared" si="82"/>
        <v>0.50336729135060976</v>
      </c>
      <c r="O346" s="6">
        <f t="shared" si="82"/>
        <v>1.0150591886201059</v>
      </c>
      <c r="P346" s="6">
        <f t="shared" si="82"/>
        <v>-8.3246059188863963E-3</v>
      </c>
      <c r="Q346" s="75">
        <v>80</v>
      </c>
      <c r="R346" s="76">
        <v>33</v>
      </c>
      <c r="S346" s="6">
        <f t="shared" si="75"/>
        <v>0.41249999999999998</v>
      </c>
      <c r="T346" s="36" t="str">
        <f t="shared" si="78"/>
        <v>Desempenho Médio</v>
      </c>
      <c r="U346" s="6">
        <f t="shared" si="81"/>
        <v>0.74232771533595698</v>
      </c>
      <c r="V346" s="6">
        <f t="shared" si="81"/>
        <v>1.1540802341555996</v>
      </c>
      <c r="W346" s="6">
        <f t="shared" si="81"/>
        <v>0.33057519651631434</v>
      </c>
      <c r="X346" s="6">
        <f t="shared" si="81"/>
        <v>0.33057519651631434</v>
      </c>
      <c r="Y346" s="6">
        <f t="shared" si="81"/>
        <v>0.41175251881964264</v>
      </c>
    </row>
    <row r="347" spans="1:25" x14ac:dyDescent="0.25">
      <c r="A347" s="7" t="s">
        <v>65</v>
      </c>
      <c r="B347" s="7" t="s">
        <v>167</v>
      </c>
      <c r="C347" s="74">
        <v>75</v>
      </c>
      <c r="D347" s="74">
        <v>33</v>
      </c>
      <c r="E347" s="71">
        <f t="shared" si="74"/>
        <v>0.44</v>
      </c>
      <c r="F347" s="65" t="str">
        <f t="shared" si="76"/>
        <v>Desempenho Médio</v>
      </c>
      <c r="G347" s="71">
        <f t="shared" si="80"/>
        <v>0.82061442726694189</v>
      </c>
      <c r="H347" s="71">
        <f t="shared" si="80"/>
        <v>1.2607833515834532</v>
      </c>
      <c r="I347" s="71">
        <f t="shared" si="80"/>
        <v>0.38044550295043061</v>
      </c>
      <c r="J347" s="75">
        <v>44936.800000000003</v>
      </c>
      <c r="K347" s="75">
        <v>0</v>
      </c>
      <c r="L347" s="6">
        <f>(SUM(K338:K347))/J346</f>
        <v>0.40835128447063429</v>
      </c>
      <c r="M347" s="36" t="str">
        <f t="shared" si="77"/>
        <v>Desempenho Médio</v>
      </c>
      <c r="N347" s="6">
        <f t="shared" si="82"/>
        <v>0.58006775555216661</v>
      </c>
      <c r="O347" s="6">
        <f t="shared" si="82"/>
        <v>1.099948635873619</v>
      </c>
      <c r="P347" s="6">
        <f t="shared" si="82"/>
        <v>6.0186875230714088E-2</v>
      </c>
      <c r="Q347" s="75">
        <v>80</v>
      </c>
      <c r="R347" s="76">
        <v>33</v>
      </c>
      <c r="S347" s="6">
        <f t="shared" si="75"/>
        <v>0.41249999999999998</v>
      </c>
      <c r="T347" s="36" t="str">
        <f t="shared" si="78"/>
        <v>Desempenho Médio</v>
      </c>
      <c r="U347" s="6">
        <f t="shared" si="81"/>
        <v>0.82347447721763523</v>
      </c>
      <c r="V347" s="6">
        <f t="shared" si="81"/>
        <v>1.2398542522675045</v>
      </c>
      <c r="W347" s="6">
        <f t="shared" si="81"/>
        <v>0.40709470216776611</v>
      </c>
      <c r="X347" s="6">
        <f t="shared" si="81"/>
        <v>0.40709470216776611</v>
      </c>
      <c r="Y347" s="6">
        <f t="shared" si="81"/>
        <v>0.41637977504986912</v>
      </c>
    </row>
    <row r="348" spans="1:25" x14ac:dyDescent="0.25">
      <c r="A348" s="7" t="s">
        <v>65</v>
      </c>
      <c r="B348" s="7" t="s">
        <v>168</v>
      </c>
      <c r="C348" s="74">
        <v>75</v>
      </c>
      <c r="D348" s="74">
        <v>54</v>
      </c>
      <c r="E348" s="71">
        <f t="shared" si="74"/>
        <v>0.72</v>
      </c>
      <c r="F348" s="65" t="str">
        <f t="shared" si="76"/>
        <v>Desempenho Médio</v>
      </c>
      <c r="G348" s="71">
        <f t="shared" si="80"/>
        <v>0.94582556715526966</v>
      </c>
      <c r="H348" s="71">
        <f t="shared" si="80"/>
        <v>1.4311117173682604</v>
      </c>
      <c r="I348" s="71">
        <f t="shared" si="80"/>
        <v>0.46053941694227907</v>
      </c>
      <c r="J348" s="75">
        <v>44936.800000000003</v>
      </c>
      <c r="K348" s="75">
        <v>3025</v>
      </c>
      <c r="L348" s="6">
        <f>(SUM(K338:K348))/J347</f>
        <v>0.47566804934930834</v>
      </c>
      <c r="M348" s="36" t="str">
        <f t="shared" si="77"/>
        <v>Desempenho Médio</v>
      </c>
      <c r="N348" s="6">
        <f t="shared" si="82"/>
        <v>0.72282137340514951</v>
      </c>
      <c r="O348" s="6">
        <f t="shared" si="82"/>
        <v>1.2463651595014014</v>
      </c>
      <c r="P348" s="6">
        <f t="shared" si="82"/>
        <v>0.19927758730889755</v>
      </c>
      <c r="Q348" s="75">
        <v>80</v>
      </c>
      <c r="R348" s="76">
        <v>33</v>
      </c>
      <c r="S348" s="6">
        <f t="shared" si="75"/>
        <v>0.41249999999999998</v>
      </c>
      <c r="T348" s="36" t="str">
        <f t="shared" si="78"/>
        <v>Desempenho Deficitário</v>
      </c>
      <c r="U348" s="6">
        <f t="shared" si="81"/>
        <v>0.91825333306001944</v>
      </c>
      <c r="V348" s="6">
        <f t="shared" si="81"/>
        <v>1.402047931898428</v>
      </c>
      <c r="W348" s="6">
        <f t="shared" si="81"/>
        <v>0.43445873422161085</v>
      </c>
      <c r="X348" s="6">
        <f t="shared" si="81"/>
        <v>0.43445873422161085</v>
      </c>
      <c r="Y348" s="6">
        <f t="shared" si="81"/>
        <v>0.48379459883840858</v>
      </c>
    </row>
    <row r="349" spans="1:25" x14ac:dyDescent="0.25">
      <c r="A349" s="7" t="s">
        <v>65</v>
      </c>
      <c r="B349" s="7" t="s">
        <v>169</v>
      </c>
      <c r="C349" s="74">
        <v>75</v>
      </c>
      <c r="D349" s="74">
        <v>79</v>
      </c>
      <c r="E349" s="71">
        <f t="shared" si="74"/>
        <v>1.0533333333333332</v>
      </c>
      <c r="F349" s="65" t="str">
        <f t="shared" si="76"/>
        <v>Desempenho Bom</v>
      </c>
      <c r="G349" s="71">
        <f t="shared" si="80"/>
        <v>1.0016849877757958</v>
      </c>
      <c r="H349" s="71">
        <f t="shared" si="80"/>
        <v>1.521489991464148</v>
      </c>
      <c r="I349" s="71">
        <f t="shared" si="80"/>
        <v>0.48187998408744359</v>
      </c>
      <c r="J349" s="75">
        <v>44936.800000000003</v>
      </c>
      <c r="K349" s="75">
        <v>23751.64</v>
      </c>
      <c r="L349" s="6">
        <f>(SUM(K338:K349))/J348</f>
        <v>1.0042245998825017</v>
      </c>
      <c r="M349" s="36" t="str">
        <f t="shared" si="77"/>
        <v>Desempenho Bom</v>
      </c>
      <c r="N349" s="6">
        <f t="shared" si="82"/>
        <v>0.82421983567812696</v>
      </c>
      <c r="O349" s="6">
        <f t="shared" si="82"/>
        <v>1.3730394926064369</v>
      </c>
      <c r="P349" s="6">
        <f t="shared" si="82"/>
        <v>0.27540017874981693</v>
      </c>
      <c r="Q349" s="75">
        <v>80</v>
      </c>
      <c r="R349" s="76">
        <v>33</v>
      </c>
      <c r="S349" s="6">
        <f t="shared" si="75"/>
        <v>0.41249999999999998</v>
      </c>
      <c r="T349" s="36" t="str">
        <f t="shared" si="78"/>
        <v>Desempenho Deficitário</v>
      </c>
      <c r="U349" s="6">
        <f t="shared" si="81"/>
        <v>0.91825333306001944</v>
      </c>
      <c r="V349" s="6">
        <f t="shared" si="81"/>
        <v>1.402047931898428</v>
      </c>
      <c r="W349" s="6">
        <f t="shared" si="81"/>
        <v>0.43445873422161085</v>
      </c>
      <c r="X349" s="6">
        <f t="shared" si="81"/>
        <v>0.43445873422161085</v>
      </c>
      <c r="Y349" s="6">
        <f t="shared" si="81"/>
        <v>0.48379459883840858</v>
      </c>
    </row>
    <row r="350" spans="1:25" x14ac:dyDescent="0.25">
      <c r="A350" s="7" t="s">
        <v>142</v>
      </c>
      <c r="B350" s="7" t="s">
        <v>158</v>
      </c>
      <c r="C350" s="74">
        <v>0</v>
      </c>
      <c r="D350" s="74">
        <v>0</v>
      </c>
      <c r="E350" s="71" t="e">
        <f t="shared" si="74"/>
        <v>#DIV/0!</v>
      </c>
      <c r="F350" s="65" t="e">
        <f t="shared" si="76"/>
        <v>#DIV/0!</v>
      </c>
      <c r="G350" s="71">
        <f t="shared" si="80"/>
        <v>0.11573204891712785</v>
      </c>
      <c r="H350" s="71">
        <f t="shared" si="80"/>
        <v>0.30218524997148988</v>
      </c>
      <c r="I350" s="71">
        <f t="shared" si="80"/>
        <v>-7.0721152137234206E-2</v>
      </c>
      <c r="J350" s="75">
        <v>0</v>
      </c>
      <c r="K350" s="75">
        <v>0</v>
      </c>
      <c r="L350" s="6" t="e">
        <f>K350/J350</f>
        <v>#DIV/0!</v>
      </c>
      <c r="M350" s="36" t="e">
        <f t="shared" si="77"/>
        <v>#DIV/0!</v>
      </c>
      <c r="N350" s="6">
        <f t="shared" si="82"/>
        <v>0.11129468122233216</v>
      </c>
      <c r="O350" s="6">
        <f t="shared" si="82"/>
        <v>0.54990456699293522</v>
      </c>
      <c r="P350" s="6">
        <f t="shared" si="82"/>
        <v>-0.32731520454827095</v>
      </c>
      <c r="Q350" s="75">
        <v>0</v>
      </c>
      <c r="R350" s="76">
        <v>0</v>
      </c>
      <c r="S350" s="6" t="e">
        <f t="shared" si="75"/>
        <v>#DIV/0!</v>
      </c>
      <c r="T350" s="36" t="e">
        <f t="shared" si="78"/>
        <v>#DIV/0!</v>
      </c>
      <c r="U350" s="6">
        <f t="shared" si="81"/>
        <v>6.5053670194766225E-2</v>
      </c>
      <c r="V350" s="6">
        <f t="shared" si="81"/>
        <v>0.16010348962314203</v>
      </c>
      <c r="W350" s="6">
        <f t="shared" si="81"/>
        <v>-2.9996149233609562E-2</v>
      </c>
      <c r="X350" s="6">
        <f t="shared" si="81"/>
        <v>1.7528760480578331E-2</v>
      </c>
      <c r="Y350" s="6">
        <f t="shared" si="81"/>
        <v>9.5049819428375787E-2</v>
      </c>
    </row>
    <row r="351" spans="1:25" x14ac:dyDescent="0.25">
      <c r="A351" s="7" t="s">
        <v>142</v>
      </c>
      <c r="B351" s="7" t="s">
        <v>159</v>
      </c>
      <c r="C351" s="74">
        <v>0</v>
      </c>
      <c r="D351" s="74">
        <v>0</v>
      </c>
      <c r="E351" s="71" t="e">
        <f t="shared" si="74"/>
        <v>#DIV/0!</v>
      </c>
      <c r="F351" s="65" t="e">
        <f t="shared" si="76"/>
        <v>#DIV/0!</v>
      </c>
      <c r="G351" s="71">
        <f t="shared" si="80"/>
        <v>0.22598075676513599</v>
      </c>
      <c r="H351" s="71">
        <f t="shared" si="80"/>
        <v>0.51894873552035481</v>
      </c>
      <c r="I351" s="71">
        <f t="shared" si="80"/>
        <v>-6.6987221990082807E-2</v>
      </c>
      <c r="J351" s="75">
        <v>0</v>
      </c>
      <c r="K351" s="75">
        <v>0</v>
      </c>
      <c r="L351" s="6" t="e">
        <f>(SUM(K350:K351))/J350</f>
        <v>#DIV/0!</v>
      </c>
      <c r="M351" s="36" t="e">
        <f t="shared" si="77"/>
        <v>#DIV/0!</v>
      </c>
      <c r="N351" s="6">
        <f t="shared" si="82"/>
        <v>0.14992070801509372</v>
      </c>
      <c r="O351" s="6">
        <f t="shared" si="82"/>
        <v>0.58968599072326611</v>
      </c>
      <c r="P351" s="6">
        <f t="shared" si="82"/>
        <v>-0.28984457469307867</v>
      </c>
      <c r="Q351" s="75">
        <v>0</v>
      </c>
      <c r="R351" s="76">
        <v>0</v>
      </c>
      <c r="S351" s="6" t="e">
        <f t="shared" si="75"/>
        <v>#DIV/0!</v>
      </c>
      <c r="T351" s="36" t="e">
        <f t="shared" si="78"/>
        <v>#DIV/0!</v>
      </c>
      <c r="U351" s="6">
        <f t="shared" ref="U351:Y366" si="83">U339</f>
        <v>6.5053670194766225E-2</v>
      </c>
      <c r="V351" s="6">
        <f t="shared" si="83"/>
        <v>0.16010348962314203</v>
      </c>
      <c r="W351" s="6">
        <f t="shared" si="83"/>
        <v>-2.9996149233609562E-2</v>
      </c>
      <c r="X351" s="6">
        <f t="shared" si="83"/>
        <v>1.7528760480578331E-2</v>
      </c>
      <c r="Y351" s="6">
        <f t="shared" si="83"/>
        <v>9.5049819428375787E-2</v>
      </c>
    </row>
    <row r="352" spans="1:25" x14ac:dyDescent="0.25">
      <c r="A352" s="7" t="s">
        <v>142</v>
      </c>
      <c r="B352" s="7" t="s">
        <v>160</v>
      </c>
      <c r="C352" s="74">
        <v>0</v>
      </c>
      <c r="D352" s="74">
        <v>0</v>
      </c>
      <c r="E352" s="71" t="e">
        <f t="shared" si="74"/>
        <v>#DIV/0!</v>
      </c>
      <c r="F352" s="65" t="e">
        <f t="shared" si="76"/>
        <v>#DIV/0!</v>
      </c>
      <c r="G352" s="71">
        <f t="shared" si="80"/>
        <v>0.2827891266215985</v>
      </c>
      <c r="H352" s="71">
        <f t="shared" si="80"/>
        <v>0.59134445337262298</v>
      </c>
      <c r="I352" s="71">
        <f t="shared" si="80"/>
        <v>-2.5766200129425987E-2</v>
      </c>
      <c r="J352" s="75">
        <v>0</v>
      </c>
      <c r="K352" s="75">
        <v>0</v>
      </c>
      <c r="L352" s="6" t="e">
        <f>(SUM(K350:K352))/J351</f>
        <v>#DIV/0!</v>
      </c>
      <c r="M352" s="36" t="e">
        <f t="shared" si="77"/>
        <v>#DIV/0!</v>
      </c>
      <c r="N352" s="6">
        <f t="shared" si="82"/>
        <v>0.17723994755342617</v>
      </c>
      <c r="O352" s="6">
        <f t="shared" si="82"/>
        <v>0.61473682715667155</v>
      </c>
      <c r="P352" s="6">
        <f t="shared" si="82"/>
        <v>-0.26025693204981915</v>
      </c>
      <c r="Q352" s="75">
        <v>0</v>
      </c>
      <c r="R352" s="76">
        <v>0</v>
      </c>
      <c r="S352" s="6" t="e">
        <f t="shared" si="75"/>
        <v>#DIV/0!</v>
      </c>
      <c r="T352" s="36" t="e">
        <f t="shared" si="78"/>
        <v>#DIV/0!</v>
      </c>
      <c r="U352" s="6">
        <f t="shared" si="83"/>
        <v>0.18401218302179842</v>
      </c>
      <c r="V352" s="6">
        <f t="shared" si="83"/>
        <v>0.37883088095577799</v>
      </c>
      <c r="W352" s="6">
        <f t="shared" si="83"/>
        <v>-1.0806514912181153E-2</v>
      </c>
      <c r="X352" s="6">
        <f t="shared" si="83"/>
        <v>8.6602834054808633E-2</v>
      </c>
      <c r="Y352" s="6">
        <f t="shared" si="83"/>
        <v>0.19481869793397957</v>
      </c>
    </row>
    <row r="353" spans="1:25" x14ac:dyDescent="0.25">
      <c r="A353" s="7" t="s">
        <v>142</v>
      </c>
      <c r="B353" s="7" t="s">
        <v>161</v>
      </c>
      <c r="C353" s="74">
        <v>0</v>
      </c>
      <c r="D353" s="74">
        <v>0</v>
      </c>
      <c r="E353" s="71" t="e">
        <f t="shared" si="74"/>
        <v>#DIV/0!</v>
      </c>
      <c r="F353" s="65" t="e">
        <f t="shared" si="76"/>
        <v>#DIV/0!</v>
      </c>
      <c r="G353" s="71">
        <f t="shared" si="80"/>
        <v>0.36222496935690102</v>
      </c>
      <c r="H353" s="71">
        <f t="shared" si="80"/>
        <v>0.67917151968337719</v>
      </c>
      <c r="I353" s="71">
        <f t="shared" si="80"/>
        <v>4.5278419030424844E-2</v>
      </c>
      <c r="J353" s="75">
        <v>0</v>
      </c>
      <c r="K353" s="75">
        <v>0</v>
      </c>
      <c r="L353" s="6" t="e">
        <f>(SUM(K350:K353))/J352</f>
        <v>#DIV/0!</v>
      </c>
      <c r="M353" s="36" t="e">
        <f t="shared" si="77"/>
        <v>#DIV/0!</v>
      </c>
      <c r="N353" s="6">
        <f t="shared" si="82"/>
        <v>0.2271654986777647</v>
      </c>
      <c r="O353" s="6">
        <f t="shared" si="82"/>
        <v>0.71582389712396544</v>
      </c>
      <c r="P353" s="6">
        <f t="shared" si="82"/>
        <v>-0.26149289976843598</v>
      </c>
      <c r="Q353" s="75">
        <v>0</v>
      </c>
      <c r="R353" s="76">
        <v>0</v>
      </c>
      <c r="S353" s="6" t="e">
        <f t="shared" si="75"/>
        <v>#DIV/0!</v>
      </c>
      <c r="T353" s="36" t="e">
        <f t="shared" si="78"/>
        <v>#DIV/0!</v>
      </c>
      <c r="U353" s="6">
        <f t="shared" si="83"/>
        <v>0.18401218302179842</v>
      </c>
      <c r="V353" s="6">
        <f t="shared" si="83"/>
        <v>0.37883088095577799</v>
      </c>
      <c r="W353" s="6">
        <f t="shared" si="83"/>
        <v>-1.0806514912181153E-2</v>
      </c>
      <c r="X353" s="6">
        <f t="shared" si="83"/>
        <v>8.6602834054808633E-2</v>
      </c>
      <c r="Y353" s="6">
        <f t="shared" si="83"/>
        <v>0.19481869793397957</v>
      </c>
    </row>
    <row r="354" spans="1:25" x14ac:dyDescent="0.25">
      <c r="A354" s="7" t="s">
        <v>142</v>
      </c>
      <c r="B354" s="7" t="s">
        <v>162</v>
      </c>
      <c r="C354" s="74">
        <v>0</v>
      </c>
      <c r="D354" s="74">
        <v>0</v>
      </c>
      <c r="E354" s="71" t="e">
        <f t="shared" si="74"/>
        <v>#DIV/0!</v>
      </c>
      <c r="F354" s="65" t="e">
        <f t="shared" si="76"/>
        <v>#DIV/0!</v>
      </c>
      <c r="G354" s="71">
        <f t="shared" si="80"/>
        <v>0.44825178806664662</v>
      </c>
      <c r="H354" s="71">
        <f t="shared" si="80"/>
        <v>0.78548221403733831</v>
      </c>
      <c r="I354" s="71">
        <f t="shared" si="80"/>
        <v>0.11102136209595498</v>
      </c>
      <c r="J354" s="75">
        <v>0</v>
      </c>
      <c r="K354" s="75">
        <v>0</v>
      </c>
      <c r="L354" s="6" t="e">
        <f>(SUM(K350:K354))/J353</f>
        <v>#DIV/0!</v>
      </c>
      <c r="M354" s="36" t="e">
        <f t="shared" si="77"/>
        <v>#DIV/0!</v>
      </c>
      <c r="N354" s="6">
        <f t="shared" si="82"/>
        <v>0.27284258705105507</v>
      </c>
      <c r="O354" s="6">
        <f t="shared" si="82"/>
        <v>0.75981161093062477</v>
      </c>
      <c r="P354" s="6">
        <f t="shared" si="82"/>
        <v>-0.21412643682851468</v>
      </c>
      <c r="Q354" s="75">
        <v>0</v>
      </c>
      <c r="R354" s="76">
        <v>0</v>
      </c>
      <c r="S354" s="6" t="e">
        <f t="shared" si="75"/>
        <v>#DIV/0!</v>
      </c>
      <c r="T354" s="36" t="e">
        <f t="shared" si="78"/>
        <v>#DIV/0!</v>
      </c>
      <c r="U354" s="6">
        <f t="shared" si="83"/>
        <v>0.23278475191631845</v>
      </c>
      <c r="V354" s="6">
        <f t="shared" si="83"/>
        <v>0.51017789992422413</v>
      </c>
      <c r="W354" s="6">
        <f t="shared" si="83"/>
        <v>-4.460839609158726E-2</v>
      </c>
      <c r="X354" s="6">
        <f t="shared" si="83"/>
        <v>9.4088177912365595E-2</v>
      </c>
      <c r="Y354" s="6">
        <f t="shared" si="83"/>
        <v>0.27739314800790571</v>
      </c>
    </row>
    <row r="355" spans="1:25" x14ac:dyDescent="0.25">
      <c r="A355" s="7" t="s">
        <v>142</v>
      </c>
      <c r="B355" s="7" t="s">
        <v>163</v>
      </c>
      <c r="C355" s="74">
        <v>0</v>
      </c>
      <c r="D355" s="74">
        <v>0</v>
      </c>
      <c r="E355" s="71" t="e">
        <f t="shared" si="74"/>
        <v>#DIV/0!</v>
      </c>
      <c r="F355" s="65" t="e">
        <f t="shared" si="76"/>
        <v>#DIV/0!</v>
      </c>
      <c r="G355" s="71">
        <f t="shared" si="80"/>
        <v>0.54231176602906361</v>
      </c>
      <c r="H355" s="71">
        <f t="shared" si="80"/>
        <v>0.92735502699565786</v>
      </c>
      <c r="I355" s="71">
        <f t="shared" si="80"/>
        <v>0.15726850506246942</v>
      </c>
      <c r="J355" s="75">
        <v>0</v>
      </c>
      <c r="K355" s="75">
        <v>0</v>
      </c>
      <c r="L355" s="6" t="e">
        <f>(SUM(K350:K355))/J354</f>
        <v>#DIV/0!</v>
      </c>
      <c r="M355" s="36" t="e">
        <f t="shared" si="77"/>
        <v>#DIV/0!</v>
      </c>
      <c r="N355" s="6">
        <f t="shared" si="82"/>
        <v>0.31451673641638933</v>
      </c>
      <c r="O355" s="6">
        <f t="shared" si="82"/>
        <v>0.80702132782766356</v>
      </c>
      <c r="P355" s="6">
        <f t="shared" si="82"/>
        <v>-0.1779878549948849</v>
      </c>
      <c r="Q355" s="75">
        <v>0</v>
      </c>
      <c r="R355" s="76">
        <v>0</v>
      </c>
      <c r="S355" s="6" t="e">
        <f t="shared" si="75"/>
        <v>#DIV/0!</v>
      </c>
      <c r="T355" s="36" t="e">
        <f t="shared" si="78"/>
        <v>#DIV/0!</v>
      </c>
      <c r="U355" s="6">
        <f t="shared" si="83"/>
        <v>0.46105014853915682</v>
      </c>
      <c r="V355" s="6">
        <f t="shared" si="83"/>
        <v>0.84756736419379908</v>
      </c>
      <c r="W355" s="6">
        <f t="shared" si="83"/>
        <v>7.4532932884514569E-2</v>
      </c>
      <c r="X355" s="6">
        <f t="shared" si="83"/>
        <v>7.4532932884514569E-2</v>
      </c>
      <c r="Y355" s="6">
        <f t="shared" si="83"/>
        <v>0.38651721565464225</v>
      </c>
    </row>
    <row r="356" spans="1:25" x14ac:dyDescent="0.25">
      <c r="A356" s="7" t="s">
        <v>142</v>
      </c>
      <c r="B356" s="7" t="s">
        <v>164</v>
      </c>
      <c r="C356" s="74">
        <v>0</v>
      </c>
      <c r="D356" s="74">
        <v>0</v>
      </c>
      <c r="E356" s="71" t="e">
        <f t="shared" si="74"/>
        <v>#DIV/0!</v>
      </c>
      <c r="F356" s="65" t="e">
        <f t="shared" si="76"/>
        <v>#DIV/0!</v>
      </c>
      <c r="G356" s="71">
        <f t="shared" si="80"/>
        <v>0.63634637719050002</v>
      </c>
      <c r="H356" s="71">
        <f t="shared" si="80"/>
        <v>1.0512878703900039</v>
      </c>
      <c r="I356" s="71">
        <f t="shared" si="80"/>
        <v>0.22140488399099606</v>
      </c>
      <c r="J356" s="75">
        <v>0</v>
      </c>
      <c r="K356" s="75">
        <v>0</v>
      </c>
      <c r="L356" s="6" t="e">
        <f>(SUM(K350:K356))/J355</f>
        <v>#DIV/0!</v>
      </c>
      <c r="M356" s="36" t="e">
        <f t="shared" si="77"/>
        <v>#DIV/0!</v>
      </c>
      <c r="N356" s="6">
        <f t="shared" si="82"/>
        <v>0.38334713342809434</v>
      </c>
      <c r="O356" s="6">
        <f t="shared" si="82"/>
        <v>0.88375935483946089</v>
      </c>
      <c r="P356" s="6">
        <f t="shared" si="82"/>
        <v>-0.1170650879832722</v>
      </c>
      <c r="Q356" s="75">
        <v>0</v>
      </c>
      <c r="R356" s="76">
        <v>0</v>
      </c>
      <c r="S356" s="6" t="e">
        <f t="shared" si="75"/>
        <v>#DIV/0!</v>
      </c>
      <c r="T356" s="36" t="e">
        <f t="shared" si="78"/>
        <v>#DIV/0!</v>
      </c>
      <c r="U356" s="6">
        <f t="shared" si="83"/>
        <v>0.46105014853915682</v>
      </c>
      <c r="V356" s="6">
        <f t="shared" si="83"/>
        <v>0.84756736419379908</v>
      </c>
      <c r="W356" s="6">
        <f t="shared" si="83"/>
        <v>7.4532932884514569E-2</v>
      </c>
      <c r="X356" s="6">
        <f t="shared" si="83"/>
        <v>7.4532932884514569E-2</v>
      </c>
      <c r="Y356" s="6">
        <f t="shared" si="83"/>
        <v>0.38651721565464225</v>
      </c>
    </row>
    <row r="357" spans="1:25" x14ac:dyDescent="0.25">
      <c r="A357" s="7" t="s">
        <v>142</v>
      </c>
      <c r="B357" s="7" t="s">
        <v>165</v>
      </c>
      <c r="C357" s="74">
        <v>0</v>
      </c>
      <c r="D357" s="74">
        <v>0</v>
      </c>
      <c r="E357" s="71" t="e">
        <f t="shared" si="74"/>
        <v>#DIV/0!</v>
      </c>
      <c r="F357" s="65" t="e">
        <f t="shared" si="76"/>
        <v>#DIV/0!</v>
      </c>
      <c r="G357" s="71">
        <f t="shared" si="80"/>
        <v>0.70660866675940681</v>
      </c>
      <c r="H357" s="71">
        <f t="shared" si="80"/>
        <v>1.1341225514190425</v>
      </c>
      <c r="I357" s="71">
        <f t="shared" si="80"/>
        <v>0.27909478209977112</v>
      </c>
      <c r="J357" s="75">
        <v>0</v>
      </c>
      <c r="K357" s="75">
        <v>0</v>
      </c>
      <c r="L357" s="6" t="e">
        <f>(SUM(K350:K357))/J356</f>
        <v>#DIV/0!</v>
      </c>
      <c r="M357" s="36" t="e">
        <f t="shared" si="77"/>
        <v>#DIV/0!</v>
      </c>
      <c r="N357" s="6">
        <f t="shared" si="82"/>
        <v>0.45719521320533213</v>
      </c>
      <c r="O357" s="6">
        <f t="shared" si="82"/>
        <v>0.97356755068321044</v>
      </c>
      <c r="P357" s="6">
        <f t="shared" si="82"/>
        <v>-5.9177124272546122E-2</v>
      </c>
      <c r="Q357" s="75">
        <v>0</v>
      </c>
      <c r="R357" s="76">
        <v>0</v>
      </c>
      <c r="S357" s="6" t="e">
        <f t="shared" si="75"/>
        <v>#DIV/0!</v>
      </c>
      <c r="T357" s="36" t="e">
        <f t="shared" si="78"/>
        <v>#DIV/0!</v>
      </c>
      <c r="U357" s="6">
        <f t="shared" si="83"/>
        <v>0.46105014853915682</v>
      </c>
      <c r="V357" s="6">
        <f t="shared" si="83"/>
        <v>0.84756736419379908</v>
      </c>
      <c r="W357" s="6">
        <f t="shared" si="83"/>
        <v>7.4532932884514569E-2</v>
      </c>
      <c r="X357" s="6">
        <f t="shared" si="83"/>
        <v>7.4532932884514569E-2</v>
      </c>
      <c r="Y357" s="6">
        <f t="shared" si="83"/>
        <v>0.38651721565464225</v>
      </c>
    </row>
    <row r="358" spans="1:25" x14ac:dyDescent="0.25">
      <c r="A358" s="7" t="s">
        <v>142</v>
      </c>
      <c r="B358" s="7" t="s">
        <v>166</v>
      </c>
      <c r="C358" s="74">
        <v>0</v>
      </c>
      <c r="D358" s="74">
        <v>0</v>
      </c>
      <c r="E358" s="71" t="e">
        <f t="shared" si="74"/>
        <v>#DIV/0!</v>
      </c>
      <c r="F358" s="65" t="e">
        <f t="shared" si="76"/>
        <v>#DIV/0!</v>
      </c>
      <c r="G358" s="71">
        <f t="shared" si="80"/>
        <v>0.73663014244586189</v>
      </c>
      <c r="H358" s="71">
        <f t="shared" si="80"/>
        <v>1.1737360935948695</v>
      </c>
      <c r="I358" s="71">
        <f t="shared" si="80"/>
        <v>0.29952419129685426</v>
      </c>
      <c r="J358" s="75">
        <v>0</v>
      </c>
      <c r="K358" s="75">
        <v>0</v>
      </c>
      <c r="L358" s="6" t="e">
        <f>(SUM(K350:K358))/J357</f>
        <v>#DIV/0!</v>
      </c>
      <c r="M358" s="36" t="e">
        <f t="shared" si="77"/>
        <v>#DIV/0!</v>
      </c>
      <c r="N358" s="6">
        <f t="shared" ref="N358:P373" si="84">N346</f>
        <v>0.50336729135060976</v>
      </c>
      <c r="O358" s="6">
        <f t="shared" si="84"/>
        <v>1.0150591886201059</v>
      </c>
      <c r="P358" s="6">
        <f t="shared" si="84"/>
        <v>-8.3246059188863963E-3</v>
      </c>
      <c r="Q358" s="75">
        <v>0</v>
      </c>
      <c r="R358" s="76">
        <v>0</v>
      </c>
      <c r="S358" s="6" t="e">
        <f t="shared" si="75"/>
        <v>#DIV/0!</v>
      </c>
      <c r="T358" s="36" t="e">
        <f t="shared" si="78"/>
        <v>#DIV/0!</v>
      </c>
      <c r="U358" s="6">
        <f t="shared" si="83"/>
        <v>0.74232771533595698</v>
      </c>
      <c r="V358" s="6">
        <f t="shared" si="83"/>
        <v>1.1540802341555996</v>
      </c>
      <c r="W358" s="6">
        <f t="shared" si="83"/>
        <v>0.33057519651631434</v>
      </c>
      <c r="X358" s="6">
        <f t="shared" si="83"/>
        <v>0.33057519651631434</v>
      </c>
      <c r="Y358" s="6">
        <f t="shared" si="83"/>
        <v>0.41175251881964264</v>
      </c>
    </row>
    <row r="359" spans="1:25" x14ac:dyDescent="0.25">
      <c r="A359" s="7" t="s">
        <v>142</v>
      </c>
      <c r="B359" s="7" t="s">
        <v>167</v>
      </c>
      <c r="C359" s="74">
        <v>0</v>
      </c>
      <c r="D359" s="74">
        <v>0</v>
      </c>
      <c r="E359" s="71" t="e">
        <f t="shared" si="74"/>
        <v>#DIV/0!</v>
      </c>
      <c r="F359" s="65" t="e">
        <f t="shared" si="76"/>
        <v>#DIV/0!</v>
      </c>
      <c r="G359" s="71">
        <f t="shared" si="80"/>
        <v>0.82061442726694189</v>
      </c>
      <c r="H359" s="71">
        <f t="shared" si="80"/>
        <v>1.2607833515834532</v>
      </c>
      <c r="I359" s="71">
        <f t="shared" si="80"/>
        <v>0.38044550295043061</v>
      </c>
      <c r="J359" s="75">
        <v>0</v>
      </c>
      <c r="K359" s="75">
        <v>0</v>
      </c>
      <c r="L359" s="6" t="e">
        <f>(SUM(K350:K359))/J358</f>
        <v>#DIV/0!</v>
      </c>
      <c r="M359" s="36" t="e">
        <f t="shared" si="77"/>
        <v>#DIV/0!</v>
      </c>
      <c r="N359" s="6">
        <f t="shared" si="84"/>
        <v>0.58006775555216661</v>
      </c>
      <c r="O359" s="6">
        <f t="shared" si="84"/>
        <v>1.099948635873619</v>
      </c>
      <c r="P359" s="6">
        <f t="shared" si="84"/>
        <v>6.0186875230714088E-2</v>
      </c>
      <c r="Q359" s="75">
        <v>0</v>
      </c>
      <c r="R359" s="76">
        <v>0</v>
      </c>
      <c r="S359" s="6" t="e">
        <f t="shared" si="75"/>
        <v>#DIV/0!</v>
      </c>
      <c r="T359" s="36" t="e">
        <f t="shared" si="78"/>
        <v>#DIV/0!</v>
      </c>
      <c r="U359" s="6">
        <f t="shared" si="83"/>
        <v>0.82347447721763523</v>
      </c>
      <c r="V359" s="6">
        <f t="shared" si="83"/>
        <v>1.2398542522675045</v>
      </c>
      <c r="W359" s="6">
        <f t="shared" si="83"/>
        <v>0.40709470216776611</v>
      </c>
      <c r="X359" s="6">
        <f t="shared" si="83"/>
        <v>0.40709470216776611</v>
      </c>
      <c r="Y359" s="6">
        <f t="shared" si="83"/>
        <v>0.41637977504986912</v>
      </c>
    </row>
    <row r="360" spans="1:25" x14ac:dyDescent="0.25">
      <c r="A360" s="7" t="s">
        <v>142</v>
      </c>
      <c r="B360" s="7" t="s">
        <v>168</v>
      </c>
      <c r="C360" s="74">
        <v>0</v>
      </c>
      <c r="D360" s="74">
        <v>0</v>
      </c>
      <c r="E360" s="71" t="e">
        <f t="shared" si="74"/>
        <v>#DIV/0!</v>
      </c>
      <c r="F360" s="65" t="e">
        <f t="shared" si="76"/>
        <v>#DIV/0!</v>
      </c>
      <c r="G360" s="71">
        <f t="shared" si="80"/>
        <v>0.94582556715526966</v>
      </c>
      <c r="H360" s="71">
        <f t="shared" si="80"/>
        <v>1.4311117173682604</v>
      </c>
      <c r="I360" s="71">
        <f t="shared" si="80"/>
        <v>0.46053941694227907</v>
      </c>
      <c r="J360" s="75">
        <v>0</v>
      </c>
      <c r="K360" s="75">
        <v>0</v>
      </c>
      <c r="L360" s="6" t="e">
        <f>(SUM(K350:K360))/J359</f>
        <v>#DIV/0!</v>
      </c>
      <c r="M360" s="36" t="e">
        <f t="shared" si="77"/>
        <v>#DIV/0!</v>
      </c>
      <c r="N360" s="6">
        <f t="shared" si="84"/>
        <v>0.72282137340514951</v>
      </c>
      <c r="O360" s="6">
        <f t="shared" si="84"/>
        <v>1.2463651595014014</v>
      </c>
      <c r="P360" s="6">
        <f t="shared" si="84"/>
        <v>0.19927758730889755</v>
      </c>
      <c r="Q360" s="75">
        <v>0</v>
      </c>
      <c r="R360" s="76">
        <v>0</v>
      </c>
      <c r="S360" s="6" t="e">
        <f t="shared" si="75"/>
        <v>#DIV/0!</v>
      </c>
      <c r="T360" s="36" t="e">
        <f t="shared" si="78"/>
        <v>#DIV/0!</v>
      </c>
      <c r="U360" s="6">
        <f t="shared" si="83"/>
        <v>0.91825333306001944</v>
      </c>
      <c r="V360" s="6">
        <f t="shared" si="83"/>
        <v>1.402047931898428</v>
      </c>
      <c r="W360" s="6">
        <f t="shared" si="83"/>
        <v>0.43445873422161085</v>
      </c>
      <c r="X360" s="6">
        <f t="shared" si="83"/>
        <v>0.43445873422161085</v>
      </c>
      <c r="Y360" s="6">
        <f t="shared" si="83"/>
        <v>0.48379459883840858</v>
      </c>
    </row>
    <row r="361" spans="1:25" x14ac:dyDescent="0.25">
      <c r="A361" s="7" t="s">
        <v>142</v>
      </c>
      <c r="B361" s="7" t="s">
        <v>169</v>
      </c>
      <c r="C361" s="74">
        <v>0</v>
      </c>
      <c r="D361" s="74">
        <v>0</v>
      </c>
      <c r="E361" s="71" t="e">
        <f t="shared" si="74"/>
        <v>#DIV/0!</v>
      </c>
      <c r="F361" s="65" t="e">
        <f t="shared" si="76"/>
        <v>#DIV/0!</v>
      </c>
      <c r="G361" s="71">
        <f t="shared" si="80"/>
        <v>1.0016849877757958</v>
      </c>
      <c r="H361" s="71">
        <f t="shared" si="80"/>
        <v>1.521489991464148</v>
      </c>
      <c r="I361" s="71">
        <f t="shared" si="80"/>
        <v>0.48187998408744359</v>
      </c>
      <c r="J361" s="75">
        <v>0</v>
      </c>
      <c r="K361" s="75">
        <v>0</v>
      </c>
      <c r="L361" s="6" t="e">
        <f>(SUM(K350:K361))/J360</f>
        <v>#DIV/0!</v>
      </c>
      <c r="M361" s="36" t="e">
        <f t="shared" si="77"/>
        <v>#DIV/0!</v>
      </c>
      <c r="N361" s="6">
        <f t="shared" si="84"/>
        <v>0.82421983567812696</v>
      </c>
      <c r="O361" s="6">
        <f t="shared" si="84"/>
        <v>1.3730394926064369</v>
      </c>
      <c r="P361" s="6">
        <f t="shared" si="84"/>
        <v>0.27540017874981693</v>
      </c>
      <c r="Q361" s="75">
        <v>0</v>
      </c>
      <c r="R361" s="76">
        <v>0</v>
      </c>
      <c r="S361" s="6" t="e">
        <f t="shared" si="75"/>
        <v>#DIV/0!</v>
      </c>
      <c r="T361" s="36" t="e">
        <f t="shared" si="78"/>
        <v>#DIV/0!</v>
      </c>
      <c r="U361" s="6">
        <f t="shared" si="83"/>
        <v>0.91825333306001944</v>
      </c>
      <c r="V361" s="6">
        <f t="shared" si="83"/>
        <v>1.402047931898428</v>
      </c>
      <c r="W361" s="6">
        <f t="shared" si="83"/>
        <v>0.43445873422161085</v>
      </c>
      <c r="X361" s="6">
        <f t="shared" si="83"/>
        <v>0.43445873422161085</v>
      </c>
      <c r="Y361" s="6">
        <f t="shared" si="83"/>
        <v>0.48379459883840858</v>
      </c>
    </row>
    <row r="362" spans="1:25" x14ac:dyDescent="0.25">
      <c r="A362" s="7" t="s">
        <v>107</v>
      </c>
      <c r="B362" s="7" t="s">
        <v>158</v>
      </c>
      <c r="C362" s="74">
        <v>75</v>
      </c>
      <c r="D362" s="74">
        <v>7</v>
      </c>
      <c r="E362" s="71">
        <f t="shared" si="74"/>
        <v>9.3333333333333338E-2</v>
      </c>
      <c r="F362" s="65" t="str">
        <f t="shared" si="76"/>
        <v>Desempenho Médio</v>
      </c>
      <c r="G362" s="71">
        <f t="shared" si="80"/>
        <v>0.11573204891712785</v>
      </c>
      <c r="H362" s="71">
        <f t="shared" si="80"/>
        <v>0.30218524997148988</v>
      </c>
      <c r="I362" s="71">
        <f t="shared" si="80"/>
        <v>-7.0721152137234206E-2</v>
      </c>
      <c r="J362" s="75">
        <v>132641.13</v>
      </c>
      <c r="K362" s="75">
        <v>11396.38</v>
      </c>
      <c r="L362" s="6">
        <f>K362/J362</f>
        <v>8.5918900117934752E-2</v>
      </c>
      <c r="M362" s="36" t="str">
        <f t="shared" si="77"/>
        <v>Desempenho Médio</v>
      </c>
      <c r="N362" s="6">
        <f t="shared" si="84"/>
        <v>0.11129468122233216</v>
      </c>
      <c r="O362" s="6">
        <f t="shared" si="84"/>
        <v>0.54990456699293522</v>
      </c>
      <c r="P362" s="6">
        <f t="shared" si="84"/>
        <v>-0.32731520454827095</v>
      </c>
      <c r="Q362" s="75">
        <v>80</v>
      </c>
      <c r="R362" s="76">
        <v>11</v>
      </c>
      <c r="S362" s="6">
        <f t="shared" si="75"/>
        <v>0.13750000000000001</v>
      </c>
      <c r="T362" s="36" t="str">
        <f t="shared" si="78"/>
        <v>Desempenho Bom</v>
      </c>
      <c r="U362" s="6">
        <f t="shared" si="83"/>
        <v>6.5053670194766225E-2</v>
      </c>
      <c r="V362" s="6">
        <f t="shared" si="83"/>
        <v>0.16010348962314203</v>
      </c>
      <c r="W362" s="6">
        <f t="shared" si="83"/>
        <v>-2.9996149233609562E-2</v>
      </c>
      <c r="X362" s="6">
        <f t="shared" si="83"/>
        <v>1.7528760480578331E-2</v>
      </c>
      <c r="Y362" s="6">
        <f t="shared" si="83"/>
        <v>9.5049819428375787E-2</v>
      </c>
    </row>
    <row r="363" spans="1:25" x14ac:dyDescent="0.25">
      <c r="A363" s="7" t="s">
        <v>107</v>
      </c>
      <c r="B363" s="7" t="s">
        <v>159</v>
      </c>
      <c r="C363" s="74">
        <v>75</v>
      </c>
      <c r="D363" s="74">
        <v>7</v>
      </c>
      <c r="E363" s="71">
        <f t="shared" si="74"/>
        <v>9.3333333333333338E-2</v>
      </c>
      <c r="F363" s="65" t="str">
        <f t="shared" si="76"/>
        <v>Desempenho Médio</v>
      </c>
      <c r="G363" s="71">
        <f t="shared" si="80"/>
        <v>0.22598075676513599</v>
      </c>
      <c r="H363" s="71">
        <f t="shared" si="80"/>
        <v>0.51894873552035481</v>
      </c>
      <c r="I363" s="71">
        <f t="shared" si="80"/>
        <v>-6.6987221990082807E-2</v>
      </c>
      <c r="J363" s="75">
        <v>132641.13</v>
      </c>
      <c r="K363" s="75">
        <v>0</v>
      </c>
      <c r="L363" s="6">
        <f>(SUM(K362:K363))/J362</f>
        <v>8.5918900117934752E-2</v>
      </c>
      <c r="M363" s="36" t="str">
        <f t="shared" si="77"/>
        <v>Desempenho Médio</v>
      </c>
      <c r="N363" s="6">
        <f t="shared" si="84"/>
        <v>0.14992070801509372</v>
      </c>
      <c r="O363" s="6">
        <f t="shared" si="84"/>
        <v>0.58968599072326611</v>
      </c>
      <c r="P363" s="6">
        <f t="shared" si="84"/>
        <v>-0.28984457469307867</v>
      </c>
      <c r="Q363" s="75">
        <v>80</v>
      </c>
      <c r="R363" s="76">
        <v>11</v>
      </c>
      <c r="S363" s="6">
        <f t="shared" si="75"/>
        <v>0.13750000000000001</v>
      </c>
      <c r="T363" s="36" t="str">
        <f t="shared" si="78"/>
        <v>Desempenho Bom</v>
      </c>
      <c r="U363" s="6">
        <f t="shared" si="83"/>
        <v>6.5053670194766225E-2</v>
      </c>
      <c r="V363" s="6">
        <f t="shared" si="83"/>
        <v>0.16010348962314203</v>
      </c>
      <c r="W363" s="6">
        <f t="shared" si="83"/>
        <v>-2.9996149233609562E-2</v>
      </c>
      <c r="X363" s="6">
        <f t="shared" si="83"/>
        <v>1.7528760480578331E-2</v>
      </c>
      <c r="Y363" s="6">
        <f t="shared" si="83"/>
        <v>9.5049819428375787E-2</v>
      </c>
    </row>
    <row r="364" spans="1:25" x14ac:dyDescent="0.25">
      <c r="A364" s="7" t="s">
        <v>107</v>
      </c>
      <c r="B364" s="7" t="s">
        <v>160</v>
      </c>
      <c r="C364" s="74">
        <v>75</v>
      </c>
      <c r="D364" s="74">
        <v>7</v>
      </c>
      <c r="E364" s="71">
        <f t="shared" si="74"/>
        <v>9.3333333333333338E-2</v>
      </c>
      <c r="F364" s="65" t="str">
        <f t="shared" si="76"/>
        <v>Desempenho Médio</v>
      </c>
      <c r="G364" s="71">
        <f t="shared" si="80"/>
        <v>0.2827891266215985</v>
      </c>
      <c r="H364" s="71">
        <f t="shared" si="80"/>
        <v>0.59134445337262298</v>
      </c>
      <c r="I364" s="71">
        <f t="shared" si="80"/>
        <v>-2.5766200129425987E-2</v>
      </c>
      <c r="J364" s="75">
        <v>132641.13</v>
      </c>
      <c r="K364" s="75">
        <v>0</v>
      </c>
      <c r="L364" s="6">
        <f>(SUM(K362:K364))/J363</f>
        <v>8.5918900117934752E-2</v>
      </c>
      <c r="M364" s="36" t="str">
        <f t="shared" si="77"/>
        <v>Desempenho Médio</v>
      </c>
      <c r="N364" s="6">
        <f t="shared" si="84"/>
        <v>0.17723994755342617</v>
      </c>
      <c r="O364" s="6">
        <f t="shared" si="84"/>
        <v>0.61473682715667155</v>
      </c>
      <c r="P364" s="6">
        <f t="shared" si="84"/>
        <v>-0.26025693204981915</v>
      </c>
      <c r="Q364" s="75">
        <v>80</v>
      </c>
      <c r="R364" s="76">
        <v>22</v>
      </c>
      <c r="S364" s="6">
        <f t="shared" si="75"/>
        <v>0.27500000000000002</v>
      </c>
      <c r="T364" s="36" t="str">
        <f t="shared" si="78"/>
        <v>Desempenho Bom</v>
      </c>
      <c r="U364" s="6">
        <f t="shared" si="83"/>
        <v>0.18401218302179842</v>
      </c>
      <c r="V364" s="6">
        <f t="shared" si="83"/>
        <v>0.37883088095577799</v>
      </c>
      <c r="W364" s="6">
        <f t="shared" si="83"/>
        <v>-1.0806514912181153E-2</v>
      </c>
      <c r="X364" s="6">
        <f t="shared" si="83"/>
        <v>8.6602834054808633E-2</v>
      </c>
      <c r="Y364" s="6">
        <f t="shared" si="83"/>
        <v>0.19481869793397957</v>
      </c>
    </row>
    <row r="365" spans="1:25" x14ac:dyDescent="0.25">
      <c r="A365" s="7" t="s">
        <v>107</v>
      </c>
      <c r="B365" s="7" t="s">
        <v>161</v>
      </c>
      <c r="C365" s="74">
        <v>75</v>
      </c>
      <c r="D365" s="74">
        <v>13</v>
      </c>
      <c r="E365" s="71">
        <f t="shared" si="74"/>
        <v>0.17333333333333334</v>
      </c>
      <c r="F365" s="65" t="str">
        <f t="shared" si="76"/>
        <v>Desempenho Médio</v>
      </c>
      <c r="G365" s="71">
        <f t="shared" si="80"/>
        <v>0.36222496935690102</v>
      </c>
      <c r="H365" s="71">
        <f t="shared" si="80"/>
        <v>0.67917151968337719</v>
      </c>
      <c r="I365" s="71">
        <f t="shared" si="80"/>
        <v>4.5278419030424844E-2</v>
      </c>
      <c r="J365" s="75">
        <v>132641.13</v>
      </c>
      <c r="K365" s="75">
        <v>8500</v>
      </c>
      <c r="L365" s="6">
        <f>(SUM(K362:K365))/J364</f>
        <v>0.15000158698889249</v>
      </c>
      <c r="M365" s="36" t="str">
        <f t="shared" si="77"/>
        <v>Desempenho Médio</v>
      </c>
      <c r="N365" s="6">
        <f t="shared" si="84"/>
        <v>0.2271654986777647</v>
      </c>
      <c r="O365" s="6">
        <f t="shared" si="84"/>
        <v>0.71582389712396544</v>
      </c>
      <c r="P365" s="6">
        <f t="shared" si="84"/>
        <v>-0.26149289976843598</v>
      </c>
      <c r="Q365" s="75">
        <v>80</v>
      </c>
      <c r="R365" s="76">
        <v>22</v>
      </c>
      <c r="S365" s="6">
        <f t="shared" si="75"/>
        <v>0.27500000000000002</v>
      </c>
      <c r="T365" s="36" t="str">
        <f t="shared" si="78"/>
        <v>Desempenho Bom</v>
      </c>
      <c r="U365" s="6">
        <f t="shared" si="83"/>
        <v>0.18401218302179842</v>
      </c>
      <c r="V365" s="6">
        <f t="shared" si="83"/>
        <v>0.37883088095577799</v>
      </c>
      <c r="W365" s="6">
        <f t="shared" si="83"/>
        <v>-1.0806514912181153E-2</v>
      </c>
      <c r="X365" s="6">
        <f t="shared" si="83"/>
        <v>8.6602834054808633E-2</v>
      </c>
      <c r="Y365" s="6">
        <f t="shared" si="83"/>
        <v>0.19481869793397957</v>
      </c>
    </row>
    <row r="366" spans="1:25" x14ac:dyDescent="0.25">
      <c r="A366" s="7" t="s">
        <v>107</v>
      </c>
      <c r="B366" s="7" t="s">
        <v>162</v>
      </c>
      <c r="C366" s="74">
        <v>75</v>
      </c>
      <c r="D366" s="74">
        <v>20</v>
      </c>
      <c r="E366" s="71">
        <f t="shared" si="74"/>
        <v>0.26666666666666666</v>
      </c>
      <c r="F366" s="65" t="str">
        <f t="shared" si="76"/>
        <v>Desempenho Médio</v>
      </c>
      <c r="G366" s="71">
        <f t="shared" si="80"/>
        <v>0.44825178806664662</v>
      </c>
      <c r="H366" s="71">
        <f t="shared" si="80"/>
        <v>0.78548221403733831</v>
      </c>
      <c r="I366" s="71">
        <f t="shared" si="80"/>
        <v>0.11102136209595498</v>
      </c>
      <c r="J366" s="75">
        <v>132641.13</v>
      </c>
      <c r="K366" s="75">
        <v>5100</v>
      </c>
      <c r="L366" s="6">
        <f>(SUM(K362:K366))/J365</f>
        <v>0.18845119911146713</v>
      </c>
      <c r="M366" s="36" t="str">
        <f t="shared" si="77"/>
        <v>Desempenho Médio</v>
      </c>
      <c r="N366" s="6">
        <f t="shared" si="84"/>
        <v>0.27284258705105507</v>
      </c>
      <c r="O366" s="6">
        <f t="shared" si="84"/>
        <v>0.75981161093062477</v>
      </c>
      <c r="P366" s="6">
        <f t="shared" si="84"/>
        <v>-0.21412643682851468</v>
      </c>
      <c r="Q366" s="75">
        <v>80</v>
      </c>
      <c r="R366" s="76">
        <v>22</v>
      </c>
      <c r="S366" s="6">
        <f t="shared" si="75"/>
        <v>0.27500000000000002</v>
      </c>
      <c r="T366" s="36" t="str">
        <f t="shared" si="78"/>
        <v>Desempenho Bom</v>
      </c>
      <c r="U366" s="6">
        <f t="shared" si="83"/>
        <v>0.23278475191631845</v>
      </c>
      <c r="V366" s="6">
        <f t="shared" si="83"/>
        <v>0.51017789992422413</v>
      </c>
      <c r="W366" s="6">
        <f t="shared" si="83"/>
        <v>-4.460839609158726E-2</v>
      </c>
      <c r="X366" s="6">
        <f t="shared" si="83"/>
        <v>9.4088177912365595E-2</v>
      </c>
      <c r="Y366" s="6">
        <f t="shared" si="83"/>
        <v>0.27739314800790571</v>
      </c>
    </row>
    <row r="367" spans="1:25" x14ac:dyDescent="0.25">
      <c r="A367" s="7" t="s">
        <v>107</v>
      </c>
      <c r="B367" s="7" t="s">
        <v>163</v>
      </c>
      <c r="C367" s="74">
        <v>75</v>
      </c>
      <c r="D367" s="74">
        <v>38</v>
      </c>
      <c r="E367" s="71">
        <f t="shared" si="74"/>
        <v>0.50666666666666671</v>
      </c>
      <c r="F367" s="65" t="str">
        <f t="shared" si="76"/>
        <v>Desempenho Médio</v>
      </c>
      <c r="G367" s="71">
        <f t="shared" si="80"/>
        <v>0.54231176602906361</v>
      </c>
      <c r="H367" s="71">
        <f t="shared" si="80"/>
        <v>0.92735502699565786</v>
      </c>
      <c r="I367" s="71">
        <f t="shared" si="80"/>
        <v>0.15726850506246942</v>
      </c>
      <c r="J367" s="75">
        <v>132641.13</v>
      </c>
      <c r="K367" s="75">
        <v>20137.439999999999</v>
      </c>
      <c r="L367" s="6">
        <f>(SUM(K362:K367))/J366</f>
        <v>0.34027017110001995</v>
      </c>
      <c r="M367" s="36" t="str">
        <f t="shared" si="77"/>
        <v>Desempenho Bom</v>
      </c>
      <c r="N367" s="6">
        <f t="shared" si="84"/>
        <v>0.31451673641638933</v>
      </c>
      <c r="O367" s="6">
        <f t="shared" si="84"/>
        <v>0.80702132782766356</v>
      </c>
      <c r="P367" s="6">
        <f t="shared" si="84"/>
        <v>-0.1779878549948849</v>
      </c>
      <c r="Q367" s="75">
        <v>80</v>
      </c>
      <c r="R367" s="76">
        <v>62</v>
      </c>
      <c r="S367" s="6">
        <f t="shared" si="75"/>
        <v>0.77500000000000002</v>
      </c>
      <c r="T367" s="36" t="str">
        <f t="shared" si="78"/>
        <v>Desempenho Bom</v>
      </c>
      <c r="U367" s="6">
        <f t="shared" ref="U367:Y382" si="85">U355</f>
        <v>0.46105014853915682</v>
      </c>
      <c r="V367" s="6">
        <f t="shared" si="85"/>
        <v>0.84756736419379908</v>
      </c>
      <c r="W367" s="6">
        <f t="shared" si="85"/>
        <v>7.4532932884514569E-2</v>
      </c>
      <c r="X367" s="6">
        <f t="shared" si="85"/>
        <v>7.4532932884514569E-2</v>
      </c>
      <c r="Y367" s="6">
        <f t="shared" si="85"/>
        <v>0.38651721565464225</v>
      </c>
    </row>
    <row r="368" spans="1:25" x14ac:dyDescent="0.25">
      <c r="A368" s="7" t="s">
        <v>107</v>
      </c>
      <c r="B368" s="7" t="s">
        <v>164</v>
      </c>
      <c r="C368" s="74">
        <v>75</v>
      </c>
      <c r="D368" s="74">
        <v>42</v>
      </c>
      <c r="E368" s="71">
        <f t="shared" si="74"/>
        <v>0.56000000000000005</v>
      </c>
      <c r="F368" s="65" t="str">
        <f t="shared" si="76"/>
        <v>Desempenho Médio</v>
      </c>
      <c r="G368" s="71">
        <f t="shared" si="80"/>
        <v>0.63634637719050002</v>
      </c>
      <c r="H368" s="71">
        <f t="shared" si="80"/>
        <v>1.0512878703900039</v>
      </c>
      <c r="I368" s="71">
        <f t="shared" si="80"/>
        <v>0.22140488399099606</v>
      </c>
      <c r="J368" s="75">
        <v>132641.13</v>
      </c>
      <c r="K368" s="75">
        <v>5050.2</v>
      </c>
      <c r="L368" s="6">
        <f>(SUM(K362:K368))/J367</f>
        <v>0.37834433406892709</v>
      </c>
      <c r="M368" s="36" t="str">
        <f t="shared" si="77"/>
        <v>Desempenho Médio</v>
      </c>
      <c r="N368" s="6">
        <f t="shared" si="84"/>
        <v>0.38334713342809434</v>
      </c>
      <c r="O368" s="6">
        <f t="shared" si="84"/>
        <v>0.88375935483946089</v>
      </c>
      <c r="P368" s="6">
        <f t="shared" si="84"/>
        <v>-0.1170650879832722</v>
      </c>
      <c r="Q368" s="75">
        <v>80</v>
      </c>
      <c r="R368" s="76">
        <v>62</v>
      </c>
      <c r="S368" s="6">
        <f t="shared" si="75"/>
        <v>0.77500000000000002</v>
      </c>
      <c r="T368" s="36" t="str">
        <f t="shared" si="78"/>
        <v>Desempenho Bom</v>
      </c>
      <c r="U368" s="6">
        <f t="shared" si="85"/>
        <v>0.46105014853915682</v>
      </c>
      <c r="V368" s="6">
        <f t="shared" si="85"/>
        <v>0.84756736419379908</v>
      </c>
      <c r="W368" s="6">
        <f t="shared" si="85"/>
        <v>7.4532932884514569E-2</v>
      </c>
      <c r="X368" s="6">
        <f t="shared" si="85"/>
        <v>7.4532932884514569E-2</v>
      </c>
      <c r="Y368" s="6">
        <f t="shared" si="85"/>
        <v>0.38651721565464225</v>
      </c>
    </row>
    <row r="369" spans="1:25" x14ac:dyDescent="0.25">
      <c r="A369" s="7" t="s">
        <v>107</v>
      </c>
      <c r="B369" s="7" t="s">
        <v>165</v>
      </c>
      <c r="C369" s="74">
        <v>75</v>
      </c>
      <c r="D369" s="74">
        <v>47</v>
      </c>
      <c r="E369" s="71">
        <f t="shared" si="74"/>
        <v>0.62666666666666671</v>
      </c>
      <c r="F369" s="65" t="str">
        <f t="shared" si="76"/>
        <v>Desempenho Médio</v>
      </c>
      <c r="G369" s="71">
        <f t="shared" si="80"/>
        <v>0.70660866675940681</v>
      </c>
      <c r="H369" s="71">
        <f t="shared" si="80"/>
        <v>1.1341225514190425</v>
      </c>
      <c r="I369" s="71">
        <f t="shared" si="80"/>
        <v>0.27909478209977112</v>
      </c>
      <c r="J369" s="75">
        <v>132641.13</v>
      </c>
      <c r="K369" s="75">
        <v>14475</v>
      </c>
      <c r="L369" s="6">
        <f>(SUM(K362:K369))/J368</f>
        <v>0.48747338024035219</v>
      </c>
      <c r="M369" s="36" t="str">
        <f t="shared" si="77"/>
        <v>Desempenho Bom</v>
      </c>
      <c r="N369" s="6">
        <f t="shared" si="84"/>
        <v>0.45719521320533213</v>
      </c>
      <c r="O369" s="6">
        <f t="shared" si="84"/>
        <v>0.97356755068321044</v>
      </c>
      <c r="P369" s="6">
        <f t="shared" si="84"/>
        <v>-5.9177124272546122E-2</v>
      </c>
      <c r="Q369" s="75">
        <v>80</v>
      </c>
      <c r="R369" s="76">
        <v>62</v>
      </c>
      <c r="S369" s="6">
        <f t="shared" si="75"/>
        <v>0.77500000000000002</v>
      </c>
      <c r="T369" s="36" t="str">
        <f t="shared" si="78"/>
        <v>Desempenho Bom</v>
      </c>
      <c r="U369" s="6">
        <f t="shared" si="85"/>
        <v>0.46105014853915682</v>
      </c>
      <c r="V369" s="6">
        <f t="shared" si="85"/>
        <v>0.84756736419379908</v>
      </c>
      <c r="W369" s="6">
        <f t="shared" si="85"/>
        <v>7.4532932884514569E-2</v>
      </c>
      <c r="X369" s="6">
        <f t="shared" si="85"/>
        <v>7.4532932884514569E-2</v>
      </c>
      <c r="Y369" s="6">
        <f t="shared" si="85"/>
        <v>0.38651721565464225</v>
      </c>
    </row>
    <row r="370" spans="1:25" x14ac:dyDescent="0.25">
      <c r="A370" s="7" t="s">
        <v>107</v>
      </c>
      <c r="B370" s="7" t="s">
        <v>166</v>
      </c>
      <c r="C370" s="74">
        <v>75</v>
      </c>
      <c r="D370" s="74">
        <v>51</v>
      </c>
      <c r="E370" s="71">
        <f t="shared" si="74"/>
        <v>0.68</v>
      </c>
      <c r="F370" s="65" t="str">
        <f t="shared" si="76"/>
        <v>Desempenho Médio</v>
      </c>
      <c r="G370" s="71">
        <f t="shared" si="80"/>
        <v>0.73663014244586189</v>
      </c>
      <c r="H370" s="71">
        <f t="shared" si="80"/>
        <v>1.1737360935948695</v>
      </c>
      <c r="I370" s="71">
        <f t="shared" si="80"/>
        <v>0.29952419129685426</v>
      </c>
      <c r="J370" s="75">
        <v>132641.13</v>
      </c>
      <c r="K370" s="75">
        <v>5000.57</v>
      </c>
      <c r="L370" s="6">
        <f>(SUM(K362:K370))/J369</f>
        <v>0.52517337570932932</v>
      </c>
      <c r="M370" s="36" t="str">
        <f t="shared" si="77"/>
        <v>Desempenho Bom</v>
      </c>
      <c r="N370" s="6">
        <f t="shared" si="84"/>
        <v>0.50336729135060976</v>
      </c>
      <c r="O370" s="6">
        <f t="shared" si="84"/>
        <v>1.0150591886201059</v>
      </c>
      <c r="P370" s="6">
        <f t="shared" si="84"/>
        <v>-8.3246059188863963E-3</v>
      </c>
      <c r="Q370" s="75">
        <v>80</v>
      </c>
      <c r="R370" s="76">
        <v>62</v>
      </c>
      <c r="S370" s="6">
        <f t="shared" si="75"/>
        <v>0.77500000000000002</v>
      </c>
      <c r="T370" s="36" t="str">
        <f t="shared" si="78"/>
        <v>Desempenho Bom</v>
      </c>
      <c r="U370" s="6">
        <f t="shared" si="85"/>
        <v>0.74232771533595698</v>
      </c>
      <c r="V370" s="6">
        <f t="shared" si="85"/>
        <v>1.1540802341555996</v>
      </c>
      <c r="W370" s="6">
        <f t="shared" si="85"/>
        <v>0.33057519651631434</v>
      </c>
      <c r="X370" s="6">
        <f t="shared" si="85"/>
        <v>0.33057519651631434</v>
      </c>
      <c r="Y370" s="6">
        <f t="shared" si="85"/>
        <v>0.41175251881964264</v>
      </c>
    </row>
    <row r="371" spans="1:25" x14ac:dyDescent="0.25">
      <c r="A371" s="7" t="s">
        <v>107</v>
      </c>
      <c r="B371" s="7" t="s">
        <v>167</v>
      </c>
      <c r="C371" s="74">
        <v>75</v>
      </c>
      <c r="D371" s="74">
        <v>56</v>
      </c>
      <c r="E371" s="71">
        <f t="shared" si="74"/>
        <v>0.7466666666666667</v>
      </c>
      <c r="F371" s="65" t="str">
        <f t="shared" si="76"/>
        <v>Desempenho Médio</v>
      </c>
      <c r="G371" s="71">
        <f t="shared" si="80"/>
        <v>0.82061442726694189</v>
      </c>
      <c r="H371" s="71">
        <f t="shared" si="80"/>
        <v>1.2607833515834532</v>
      </c>
      <c r="I371" s="71">
        <f t="shared" si="80"/>
        <v>0.38044550295043061</v>
      </c>
      <c r="J371" s="75">
        <v>132641.13</v>
      </c>
      <c r="K371" s="75">
        <v>14000.57</v>
      </c>
      <c r="L371" s="6">
        <f>(SUM(K362:K371))/J370</f>
        <v>0.63072562786520292</v>
      </c>
      <c r="M371" s="36" t="str">
        <f t="shared" si="77"/>
        <v>Desempenho Bom</v>
      </c>
      <c r="N371" s="6">
        <f t="shared" si="84"/>
        <v>0.58006775555216661</v>
      </c>
      <c r="O371" s="6">
        <f t="shared" si="84"/>
        <v>1.099948635873619</v>
      </c>
      <c r="P371" s="6">
        <f t="shared" si="84"/>
        <v>6.0186875230714088E-2</v>
      </c>
      <c r="Q371" s="75">
        <v>80</v>
      </c>
      <c r="R371" s="76">
        <v>62</v>
      </c>
      <c r="S371" s="6">
        <f t="shared" si="75"/>
        <v>0.77500000000000002</v>
      </c>
      <c r="T371" s="36" t="str">
        <f t="shared" si="78"/>
        <v>Desempenho Médio</v>
      </c>
      <c r="U371" s="6">
        <f t="shared" si="85"/>
        <v>0.82347447721763523</v>
      </c>
      <c r="V371" s="6">
        <f t="shared" si="85"/>
        <v>1.2398542522675045</v>
      </c>
      <c r="W371" s="6">
        <f t="shared" si="85"/>
        <v>0.40709470216776611</v>
      </c>
      <c r="X371" s="6">
        <f t="shared" si="85"/>
        <v>0.40709470216776611</v>
      </c>
      <c r="Y371" s="6">
        <f t="shared" si="85"/>
        <v>0.41637977504986912</v>
      </c>
    </row>
    <row r="372" spans="1:25" x14ac:dyDescent="0.25">
      <c r="A372" s="7" t="s">
        <v>107</v>
      </c>
      <c r="B372" s="7" t="s">
        <v>168</v>
      </c>
      <c r="C372" s="74">
        <v>75</v>
      </c>
      <c r="D372" s="74">
        <v>76</v>
      </c>
      <c r="E372" s="71">
        <f t="shared" si="74"/>
        <v>1.0133333333333334</v>
      </c>
      <c r="F372" s="65" t="str">
        <f t="shared" si="76"/>
        <v>Desempenho Bom</v>
      </c>
      <c r="G372" s="71">
        <f t="shared" si="80"/>
        <v>0.94582556715526966</v>
      </c>
      <c r="H372" s="71">
        <f t="shared" si="80"/>
        <v>1.4311117173682604</v>
      </c>
      <c r="I372" s="71">
        <f t="shared" si="80"/>
        <v>0.46053941694227907</v>
      </c>
      <c r="J372" s="75">
        <v>132641.13</v>
      </c>
      <c r="K372" s="75">
        <v>20041.2</v>
      </c>
      <c r="L372" s="6">
        <f>(SUM(K362:K372))/J371</f>
        <v>0.78181903305558387</v>
      </c>
      <c r="M372" s="36" t="str">
        <f t="shared" si="77"/>
        <v>Desempenho Bom</v>
      </c>
      <c r="N372" s="6">
        <f t="shared" si="84"/>
        <v>0.72282137340514951</v>
      </c>
      <c r="O372" s="6">
        <f t="shared" si="84"/>
        <v>1.2463651595014014</v>
      </c>
      <c r="P372" s="6">
        <f t="shared" si="84"/>
        <v>0.19927758730889755</v>
      </c>
      <c r="Q372" s="75">
        <v>80</v>
      </c>
      <c r="R372" s="76">
        <v>87</v>
      </c>
      <c r="S372" s="6">
        <f t="shared" si="75"/>
        <v>1.0874999999999999</v>
      </c>
      <c r="T372" s="36" t="str">
        <f t="shared" si="78"/>
        <v>Desempenho Bom</v>
      </c>
      <c r="U372" s="6">
        <f t="shared" si="85"/>
        <v>0.91825333306001944</v>
      </c>
      <c r="V372" s="6">
        <f t="shared" si="85"/>
        <v>1.402047931898428</v>
      </c>
      <c r="W372" s="6">
        <f t="shared" si="85"/>
        <v>0.43445873422161085</v>
      </c>
      <c r="X372" s="6">
        <f t="shared" si="85"/>
        <v>0.43445873422161085</v>
      </c>
      <c r="Y372" s="6">
        <f t="shared" si="85"/>
        <v>0.48379459883840858</v>
      </c>
    </row>
    <row r="373" spans="1:25" x14ac:dyDescent="0.25">
      <c r="A373" s="7" t="s">
        <v>107</v>
      </c>
      <c r="B373" s="7" t="s">
        <v>169</v>
      </c>
      <c r="C373" s="74">
        <v>75</v>
      </c>
      <c r="D373" s="74">
        <v>78</v>
      </c>
      <c r="E373" s="71">
        <f t="shared" si="74"/>
        <v>1.04</v>
      </c>
      <c r="F373" s="65" t="str">
        <f t="shared" si="76"/>
        <v>Desempenho Bom</v>
      </c>
      <c r="G373" s="71">
        <f t="shared" si="80"/>
        <v>1.0016849877757958</v>
      </c>
      <c r="H373" s="71">
        <f t="shared" si="80"/>
        <v>1.521489991464148</v>
      </c>
      <c r="I373" s="71">
        <f t="shared" si="80"/>
        <v>0.48187998408744359</v>
      </c>
      <c r="J373" s="75">
        <v>132641.13</v>
      </c>
      <c r="K373" s="75">
        <v>34227.21</v>
      </c>
      <c r="L373" s="6">
        <f>(SUM(K362:K373))/J372</f>
        <v>1.0398627484551737</v>
      </c>
      <c r="M373" s="36" t="str">
        <f t="shared" si="77"/>
        <v>Desempenho Bom</v>
      </c>
      <c r="N373" s="6">
        <f t="shared" si="84"/>
        <v>0.82421983567812696</v>
      </c>
      <c r="O373" s="6">
        <f t="shared" si="84"/>
        <v>1.3730394926064369</v>
      </c>
      <c r="P373" s="6">
        <f t="shared" si="84"/>
        <v>0.27540017874981693</v>
      </c>
      <c r="Q373" s="75">
        <v>80</v>
      </c>
      <c r="R373" s="76">
        <v>87</v>
      </c>
      <c r="S373" s="6">
        <f t="shared" si="75"/>
        <v>1.0874999999999999</v>
      </c>
      <c r="T373" s="36" t="str">
        <f t="shared" si="78"/>
        <v>Desempenho Bom</v>
      </c>
      <c r="U373" s="6">
        <f t="shared" si="85"/>
        <v>0.91825333306001944</v>
      </c>
      <c r="V373" s="6">
        <f t="shared" si="85"/>
        <v>1.402047931898428</v>
      </c>
      <c r="W373" s="6">
        <f t="shared" si="85"/>
        <v>0.43445873422161085</v>
      </c>
      <c r="X373" s="6">
        <f t="shared" si="85"/>
        <v>0.43445873422161085</v>
      </c>
      <c r="Y373" s="6">
        <f t="shared" si="85"/>
        <v>0.48379459883840858</v>
      </c>
    </row>
    <row r="374" spans="1:25" x14ac:dyDescent="0.25">
      <c r="A374" s="7" t="s">
        <v>89</v>
      </c>
      <c r="B374" s="7" t="s">
        <v>158</v>
      </c>
      <c r="C374" s="74">
        <v>0</v>
      </c>
      <c r="D374" s="74">
        <v>0</v>
      </c>
      <c r="E374" s="71" t="e">
        <f t="shared" si="74"/>
        <v>#DIV/0!</v>
      </c>
      <c r="F374" s="65" t="e">
        <f t="shared" si="76"/>
        <v>#DIV/0!</v>
      </c>
      <c r="G374" s="71">
        <f t="shared" si="80"/>
        <v>0.11573204891712785</v>
      </c>
      <c r="H374" s="71">
        <f t="shared" si="80"/>
        <v>0.30218524997148988</v>
      </c>
      <c r="I374" s="71">
        <f t="shared" si="80"/>
        <v>-7.0721152137234206E-2</v>
      </c>
      <c r="J374" s="75">
        <v>0</v>
      </c>
      <c r="K374" s="75">
        <v>0</v>
      </c>
      <c r="L374" s="6" t="e">
        <f>K374/J374</f>
        <v>#DIV/0!</v>
      </c>
      <c r="M374" s="36" t="e">
        <f t="shared" si="77"/>
        <v>#DIV/0!</v>
      </c>
      <c r="N374" s="6">
        <f t="shared" ref="N374:P389" si="86">N362</f>
        <v>0.11129468122233216</v>
      </c>
      <c r="O374" s="6">
        <f t="shared" si="86"/>
        <v>0.54990456699293522</v>
      </c>
      <c r="P374" s="6">
        <f t="shared" si="86"/>
        <v>-0.32731520454827095</v>
      </c>
      <c r="Q374" s="75">
        <v>0</v>
      </c>
      <c r="R374" s="76">
        <v>0</v>
      </c>
      <c r="S374" s="6" t="e">
        <f t="shared" si="75"/>
        <v>#DIV/0!</v>
      </c>
      <c r="T374" s="36" t="e">
        <f t="shared" si="78"/>
        <v>#DIV/0!</v>
      </c>
      <c r="U374" s="6">
        <f t="shared" si="85"/>
        <v>6.5053670194766225E-2</v>
      </c>
      <c r="V374" s="6">
        <f t="shared" si="85"/>
        <v>0.16010348962314203</v>
      </c>
      <c r="W374" s="6">
        <f t="shared" si="85"/>
        <v>-2.9996149233609562E-2</v>
      </c>
      <c r="X374" s="6">
        <f t="shared" si="85"/>
        <v>1.7528760480578331E-2</v>
      </c>
      <c r="Y374" s="6">
        <f t="shared" si="85"/>
        <v>9.5049819428375787E-2</v>
      </c>
    </row>
    <row r="375" spans="1:25" x14ac:dyDescent="0.25">
      <c r="A375" s="7" t="s">
        <v>89</v>
      </c>
      <c r="B375" s="7" t="s">
        <v>159</v>
      </c>
      <c r="C375" s="74">
        <v>0</v>
      </c>
      <c r="D375" s="74">
        <v>24</v>
      </c>
      <c r="E375" s="71" t="e">
        <f t="shared" si="74"/>
        <v>#DIV/0!</v>
      </c>
      <c r="F375" s="65" t="e">
        <f t="shared" si="76"/>
        <v>#DIV/0!</v>
      </c>
      <c r="G375" s="71">
        <f t="shared" si="80"/>
        <v>0.22598075676513599</v>
      </c>
      <c r="H375" s="71">
        <f t="shared" si="80"/>
        <v>0.51894873552035481</v>
      </c>
      <c r="I375" s="71">
        <f t="shared" si="80"/>
        <v>-6.6987221990082807E-2</v>
      </c>
      <c r="J375" s="75">
        <v>0</v>
      </c>
      <c r="K375" s="75">
        <v>0</v>
      </c>
      <c r="L375" s="6" t="e">
        <f>(SUM(K374:K375))/J374</f>
        <v>#DIV/0!</v>
      </c>
      <c r="M375" s="36" t="e">
        <f t="shared" si="77"/>
        <v>#DIV/0!</v>
      </c>
      <c r="N375" s="6">
        <f t="shared" si="86"/>
        <v>0.14992070801509372</v>
      </c>
      <c r="O375" s="6">
        <f t="shared" si="86"/>
        <v>0.58968599072326611</v>
      </c>
      <c r="P375" s="6">
        <f t="shared" si="86"/>
        <v>-0.28984457469307867</v>
      </c>
      <c r="Q375" s="75">
        <v>0</v>
      </c>
      <c r="R375" s="76">
        <v>0</v>
      </c>
      <c r="S375" s="6" t="e">
        <f t="shared" si="75"/>
        <v>#DIV/0!</v>
      </c>
      <c r="T375" s="36" t="e">
        <f t="shared" si="78"/>
        <v>#DIV/0!</v>
      </c>
      <c r="U375" s="6">
        <f t="shared" si="85"/>
        <v>6.5053670194766225E-2</v>
      </c>
      <c r="V375" s="6">
        <f t="shared" si="85"/>
        <v>0.16010348962314203</v>
      </c>
      <c r="W375" s="6">
        <f t="shared" si="85"/>
        <v>-2.9996149233609562E-2</v>
      </c>
      <c r="X375" s="6">
        <f t="shared" si="85"/>
        <v>1.7528760480578331E-2</v>
      </c>
      <c r="Y375" s="6">
        <f t="shared" si="85"/>
        <v>9.5049819428375787E-2</v>
      </c>
    </row>
    <row r="376" spans="1:25" x14ac:dyDescent="0.25">
      <c r="A376" s="7" t="s">
        <v>89</v>
      </c>
      <c r="B376" s="7" t="s">
        <v>160</v>
      </c>
      <c r="C376" s="74">
        <v>0</v>
      </c>
      <c r="D376" s="74">
        <v>56</v>
      </c>
      <c r="E376" s="71" t="e">
        <f t="shared" si="74"/>
        <v>#DIV/0!</v>
      </c>
      <c r="F376" s="65" t="e">
        <f t="shared" si="76"/>
        <v>#DIV/0!</v>
      </c>
      <c r="G376" s="71">
        <f t="shared" si="80"/>
        <v>0.2827891266215985</v>
      </c>
      <c r="H376" s="71">
        <f t="shared" si="80"/>
        <v>0.59134445337262298</v>
      </c>
      <c r="I376" s="71">
        <f t="shared" si="80"/>
        <v>-2.5766200129425987E-2</v>
      </c>
      <c r="J376" s="75">
        <v>0</v>
      </c>
      <c r="K376" s="75">
        <v>0</v>
      </c>
      <c r="L376" s="6" t="e">
        <f>(SUM(K374:K376))/J375</f>
        <v>#DIV/0!</v>
      </c>
      <c r="M376" s="36" t="e">
        <f t="shared" si="77"/>
        <v>#DIV/0!</v>
      </c>
      <c r="N376" s="6">
        <f t="shared" si="86"/>
        <v>0.17723994755342617</v>
      </c>
      <c r="O376" s="6">
        <f t="shared" si="86"/>
        <v>0.61473682715667155</v>
      </c>
      <c r="P376" s="6">
        <f t="shared" si="86"/>
        <v>-0.26025693204981915</v>
      </c>
      <c r="Q376" s="75">
        <v>0</v>
      </c>
      <c r="R376" s="76">
        <v>0</v>
      </c>
      <c r="S376" s="6" t="e">
        <f t="shared" si="75"/>
        <v>#DIV/0!</v>
      </c>
      <c r="T376" s="36" t="e">
        <f t="shared" si="78"/>
        <v>#DIV/0!</v>
      </c>
      <c r="U376" s="6">
        <f t="shared" si="85"/>
        <v>0.18401218302179842</v>
      </c>
      <c r="V376" s="6">
        <f t="shared" si="85"/>
        <v>0.37883088095577799</v>
      </c>
      <c r="W376" s="6">
        <f t="shared" si="85"/>
        <v>-1.0806514912181153E-2</v>
      </c>
      <c r="X376" s="6">
        <f t="shared" si="85"/>
        <v>8.6602834054808633E-2</v>
      </c>
      <c r="Y376" s="6">
        <f t="shared" si="85"/>
        <v>0.19481869793397957</v>
      </c>
    </row>
    <row r="377" spans="1:25" x14ac:dyDescent="0.25">
      <c r="A377" s="7" t="s">
        <v>89</v>
      </c>
      <c r="B377" s="7" t="s">
        <v>161</v>
      </c>
      <c r="C377" s="74">
        <v>0</v>
      </c>
      <c r="D377" s="74">
        <v>56</v>
      </c>
      <c r="E377" s="71" t="e">
        <f t="shared" si="74"/>
        <v>#DIV/0!</v>
      </c>
      <c r="F377" s="65" t="e">
        <f t="shared" si="76"/>
        <v>#DIV/0!</v>
      </c>
      <c r="G377" s="71">
        <f t="shared" si="80"/>
        <v>0.36222496935690102</v>
      </c>
      <c r="H377" s="71">
        <f t="shared" si="80"/>
        <v>0.67917151968337719</v>
      </c>
      <c r="I377" s="71">
        <f t="shared" si="80"/>
        <v>4.5278419030424844E-2</v>
      </c>
      <c r="J377" s="75">
        <v>0</v>
      </c>
      <c r="K377" s="75">
        <v>0</v>
      </c>
      <c r="L377" s="6" t="e">
        <f>(SUM(K374:K377))/J376</f>
        <v>#DIV/0!</v>
      </c>
      <c r="M377" s="36" t="e">
        <f t="shared" si="77"/>
        <v>#DIV/0!</v>
      </c>
      <c r="N377" s="6">
        <f t="shared" si="86"/>
        <v>0.2271654986777647</v>
      </c>
      <c r="O377" s="6">
        <f t="shared" si="86"/>
        <v>0.71582389712396544</v>
      </c>
      <c r="P377" s="6">
        <f t="shared" si="86"/>
        <v>-0.26149289976843598</v>
      </c>
      <c r="Q377" s="75">
        <v>0</v>
      </c>
      <c r="R377" s="76">
        <v>0</v>
      </c>
      <c r="S377" s="6" t="e">
        <f t="shared" si="75"/>
        <v>#DIV/0!</v>
      </c>
      <c r="T377" s="36" t="e">
        <f t="shared" si="78"/>
        <v>#DIV/0!</v>
      </c>
      <c r="U377" s="6">
        <f t="shared" si="85"/>
        <v>0.18401218302179842</v>
      </c>
      <c r="V377" s="6">
        <f t="shared" si="85"/>
        <v>0.37883088095577799</v>
      </c>
      <c r="W377" s="6">
        <f t="shared" si="85"/>
        <v>-1.0806514912181153E-2</v>
      </c>
      <c r="X377" s="6">
        <f t="shared" si="85"/>
        <v>8.6602834054808633E-2</v>
      </c>
      <c r="Y377" s="6">
        <f t="shared" si="85"/>
        <v>0.19481869793397957</v>
      </c>
    </row>
    <row r="378" spans="1:25" x14ac:dyDescent="0.25">
      <c r="A378" s="7" t="s">
        <v>89</v>
      </c>
      <c r="B378" s="7" t="s">
        <v>162</v>
      </c>
      <c r="C378" s="74">
        <v>0</v>
      </c>
      <c r="D378" s="74">
        <v>67</v>
      </c>
      <c r="E378" s="71" t="e">
        <f t="shared" si="74"/>
        <v>#DIV/0!</v>
      </c>
      <c r="F378" s="65" t="e">
        <f t="shared" si="76"/>
        <v>#DIV/0!</v>
      </c>
      <c r="G378" s="71">
        <f t="shared" si="80"/>
        <v>0.44825178806664662</v>
      </c>
      <c r="H378" s="71">
        <f t="shared" si="80"/>
        <v>0.78548221403733831</v>
      </c>
      <c r="I378" s="71">
        <f t="shared" si="80"/>
        <v>0.11102136209595498</v>
      </c>
      <c r="J378" s="75">
        <v>0</v>
      </c>
      <c r="K378" s="75">
        <v>0</v>
      </c>
      <c r="L378" s="6" t="e">
        <f>(SUM(K374:K378))/J377</f>
        <v>#DIV/0!</v>
      </c>
      <c r="M378" s="36" t="e">
        <f t="shared" si="77"/>
        <v>#DIV/0!</v>
      </c>
      <c r="N378" s="6">
        <f t="shared" si="86"/>
        <v>0.27284258705105507</v>
      </c>
      <c r="O378" s="6">
        <f t="shared" si="86"/>
        <v>0.75981161093062477</v>
      </c>
      <c r="P378" s="6">
        <f t="shared" si="86"/>
        <v>-0.21412643682851468</v>
      </c>
      <c r="Q378" s="75">
        <v>0</v>
      </c>
      <c r="R378" s="76">
        <v>0</v>
      </c>
      <c r="S378" s="6" t="e">
        <f t="shared" si="75"/>
        <v>#DIV/0!</v>
      </c>
      <c r="T378" s="36" t="e">
        <f t="shared" si="78"/>
        <v>#DIV/0!</v>
      </c>
      <c r="U378" s="6">
        <f t="shared" si="85"/>
        <v>0.23278475191631845</v>
      </c>
      <c r="V378" s="6">
        <f t="shared" si="85"/>
        <v>0.51017789992422413</v>
      </c>
      <c r="W378" s="6">
        <f t="shared" si="85"/>
        <v>-4.460839609158726E-2</v>
      </c>
      <c r="X378" s="6">
        <f t="shared" si="85"/>
        <v>9.4088177912365595E-2</v>
      </c>
      <c r="Y378" s="6">
        <f t="shared" si="85"/>
        <v>0.27739314800790571</v>
      </c>
    </row>
    <row r="379" spans="1:25" x14ac:dyDescent="0.25">
      <c r="A379" s="7" t="s">
        <v>89</v>
      </c>
      <c r="B379" s="7" t="s">
        <v>163</v>
      </c>
      <c r="C379" s="74">
        <v>0</v>
      </c>
      <c r="D379" s="74">
        <v>67</v>
      </c>
      <c r="E379" s="71" t="e">
        <f t="shared" si="74"/>
        <v>#DIV/0!</v>
      </c>
      <c r="F379" s="65" t="e">
        <f t="shared" si="76"/>
        <v>#DIV/0!</v>
      </c>
      <c r="G379" s="71">
        <f t="shared" si="80"/>
        <v>0.54231176602906361</v>
      </c>
      <c r="H379" s="71">
        <f t="shared" si="80"/>
        <v>0.92735502699565786</v>
      </c>
      <c r="I379" s="71">
        <f t="shared" si="80"/>
        <v>0.15726850506246942</v>
      </c>
      <c r="J379" s="75">
        <v>0</v>
      </c>
      <c r="K379" s="75">
        <v>0</v>
      </c>
      <c r="L379" s="6" t="e">
        <f>(SUM(K374:K379))/J378</f>
        <v>#DIV/0!</v>
      </c>
      <c r="M379" s="36" t="e">
        <f t="shared" si="77"/>
        <v>#DIV/0!</v>
      </c>
      <c r="N379" s="6">
        <f t="shared" si="86"/>
        <v>0.31451673641638933</v>
      </c>
      <c r="O379" s="6">
        <f t="shared" si="86"/>
        <v>0.80702132782766356</v>
      </c>
      <c r="P379" s="6">
        <f t="shared" si="86"/>
        <v>-0.1779878549948849</v>
      </c>
      <c r="Q379" s="75">
        <v>0</v>
      </c>
      <c r="R379" s="76">
        <v>0</v>
      </c>
      <c r="S379" s="6" t="e">
        <f t="shared" si="75"/>
        <v>#DIV/0!</v>
      </c>
      <c r="T379" s="36" t="e">
        <f t="shared" si="78"/>
        <v>#DIV/0!</v>
      </c>
      <c r="U379" s="6">
        <f t="shared" si="85"/>
        <v>0.46105014853915682</v>
      </c>
      <c r="V379" s="6">
        <f t="shared" si="85"/>
        <v>0.84756736419379908</v>
      </c>
      <c r="W379" s="6">
        <f t="shared" si="85"/>
        <v>7.4532932884514569E-2</v>
      </c>
      <c r="X379" s="6">
        <f t="shared" si="85"/>
        <v>7.4532932884514569E-2</v>
      </c>
      <c r="Y379" s="6">
        <f t="shared" si="85"/>
        <v>0.38651721565464225</v>
      </c>
    </row>
    <row r="380" spans="1:25" x14ac:dyDescent="0.25">
      <c r="A380" s="7" t="s">
        <v>89</v>
      </c>
      <c r="B380" s="7" t="s">
        <v>164</v>
      </c>
      <c r="C380" s="74">
        <v>0</v>
      </c>
      <c r="D380" s="74">
        <v>71</v>
      </c>
      <c r="E380" s="71" t="e">
        <f t="shared" si="74"/>
        <v>#DIV/0!</v>
      </c>
      <c r="F380" s="65" t="e">
        <f t="shared" si="76"/>
        <v>#DIV/0!</v>
      </c>
      <c r="G380" s="71">
        <f t="shared" si="80"/>
        <v>0.63634637719050002</v>
      </c>
      <c r="H380" s="71">
        <f t="shared" si="80"/>
        <v>1.0512878703900039</v>
      </c>
      <c r="I380" s="71">
        <f t="shared" si="80"/>
        <v>0.22140488399099606</v>
      </c>
      <c r="J380" s="75">
        <v>0</v>
      </c>
      <c r="K380" s="75">
        <v>0</v>
      </c>
      <c r="L380" s="6" t="e">
        <f>(SUM(K374:K380))/J379</f>
        <v>#DIV/0!</v>
      </c>
      <c r="M380" s="36" t="e">
        <f t="shared" si="77"/>
        <v>#DIV/0!</v>
      </c>
      <c r="N380" s="6">
        <f t="shared" si="86"/>
        <v>0.38334713342809434</v>
      </c>
      <c r="O380" s="6">
        <f t="shared" si="86"/>
        <v>0.88375935483946089</v>
      </c>
      <c r="P380" s="6">
        <f t="shared" si="86"/>
        <v>-0.1170650879832722</v>
      </c>
      <c r="Q380" s="75">
        <v>0</v>
      </c>
      <c r="R380" s="76">
        <v>0</v>
      </c>
      <c r="S380" s="6" t="e">
        <f t="shared" si="75"/>
        <v>#DIV/0!</v>
      </c>
      <c r="T380" s="36" t="e">
        <f t="shared" si="78"/>
        <v>#DIV/0!</v>
      </c>
      <c r="U380" s="6">
        <f t="shared" si="85"/>
        <v>0.46105014853915682</v>
      </c>
      <c r="V380" s="6">
        <f t="shared" si="85"/>
        <v>0.84756736419379908</v>
      </c>
      <c r="W380" s="6">
        <f t="shared" si="85"/>
        <v>7.4532932884514569E-2</v>
      </c>
      <c r="X380" s="6">
        <f t="shared" si="85"/>
        <v>7.4532932884514569E-2</v>
      </c>
      <c r="Y380" s="6">
        <f t="shared" si="85"/>
        <v>0.38651721565464225</v>
      </c>
    </row>
    <row r="381" spans="1:25" x14ac:dyDescent="0.25">
      <c r="A381" s="7" t="s">
        <v>89</v>
      </c>
      <c r="B381" s="7" t="s">
        <v>165</v>
      </c>
      <c r="C381" s="74">
        <v>0</v>
      </c>
      <c r="D381" s="74">
        <v>71</v>
      </c>
      <c r="E381" s="71" t="e">
        <f t="shared" si="74"/>
        <v>#DIV/0!</v>
      </c>
      <c r="F381" s="65" t="e">
        <f t="shared" si="76"/>
        <v>#DIV/0!</v>
      </c>
      <c r="G381" s="71">
        <f t="shared" si="80"/>
        <v>0.70660866675940681</v>
      </c>
      <c r="H381" s="71">
        <f t="shared" si="80"/>
        <v>1.1341225514190425</v>
      </c>
      <c r="I381" s="71">
        <f t="shared" si="80"/>
        <v>0.27909478209977112</v>
      </c>
      <c r="J381" s="75">
        <v>0</v>
      </c>
      <c r="K381" s="75">
        <v>0</v>
      </c>
      <c r="L381" s="6" t="e">
        <f>(SUM(K374:K381))/J380</f>
        <v>#DIV/0!</v>
      </c>
      <c r="M381" s="36" t="e">
        <f t="shared" si="77"/>
        <v>#DIV/0!</v>
      </c>
      <c r="N381" s="6">
        <f t="shared" si="86"/>
        <v>0.45719521320533213</v>
      </c>
      <c r="O381" s="6">
        <f t="shared" si="86"/>
        <v>0.97356755068321044</v>
      </c>
      <c r="P381" s="6">
        <f t="shared" si="86"/>
        <v>-5.9177124272546122E-2</v>
      </c>
      <c r="Q381" s="75">
        <v>0</v>
      </c>
      <c r="R381" s="76">
        <v>0</v>
      </c>
      <c r="S381" s="6" t="e">
        <f t="shared" si="75"/>
        <v>#DIV/0!</v>
      </c>
      <c r="T381" s="36" t="e">
        <f t="shared" si="78"/>
        <v>#DIV/0!</v>
      </c>
      <c r="U381" s="6">
        <f t="shared" si="85"/>
        <v>0.46105014853915682</v>
      </c>
      <c r="V381" s="6">
        <f t="shared" si="85"/>
        <v>0.84756736419379908</v>
      </c>
      <c r="W381" s="6">
        <f t="shared" si="85"/>
        <v>7.4532932884514569E-2</v>
      </c>
      <c r="X381" s="6">
        <f t="shared" si="85"/>
        <v>7.4532932884514569E-2</v>
      </c>
      <c r="Y381" s="6">
        <f t="shared" si="85"/>
        <v>0.38651721565464225</v>
      </c>
    </row>
    <row r="382" spans="1:25" x14ac:dyDescent="0.25">
      <c r="A382" s="7" t="s">
        <v>89</v>
      </c>
      <c r="B382" s="7" t="s">
        <v>166</v>
      </c>
      <c r="C382" s="74">
        <v>0</v>
      </c>
      <c r="D382" s="74">
        <v>76</v>
      </c>
      <c r="E382" s="71" t="e">
        <f t="shared" si="74"/>
        <v>#DIV/0!</v>
      </c>
      <c r="F382" s="65" t="e">
        <f t="shared" si="76"/>
        <v>#DIV/0!</v>
      </c>
      <c r="G382" s="71">
        <f t="shared" si="80"/>
        <v>0.73663014244586189</v>
      </c>
      <c r="H382" s="71">
        <f t="shared" si="80"/>
        <v>1.1737360935948695</v>
      </c>
      <c r="I382" s="71">
        <f t="shared" si="80"/>
        <v>0.29952419129685426</v>
      </c>
      <c r="J382" s="75">
        <v>0</v>
      </c>
      <c r="K382" s="75">
        <v>355</v>
      </c>
      <c r="L382" s="6" t="e">
        <f>(SUM(K374:K382))/J381</f>
        <v>#DIV/0!</v>
      </c>
      <c r="M382" s="36" t="e">
        <f t="shared" si="77"/>
        <v>#DIV/0!</v>
      </c>
      <c r="N382" s="6">
        <f t="shared" si="86"/>
        <v>0.50336729135060976</v>
      </c>
      <c r="O382" s="6">
        <f t="shared" si="86"/>
        <v>1.0150591886201059</v>
      </c>
      <c r="P382" s="6">
        <f t="shared" si="86"/>
        <v>-8.3246059188863963E-3</v>
      </c>
      <c r="Q382" s="75">
        <v>0</v>
      </c>
      <c r="R382" s="76">
        <v>56</v>
      </c>
      <c r="S382" s="6" t="e">
        <f t="shared" si="75"/>
        <v>#DIV/0!</v>
      </c>
      <c r="T382" s="36" t="e">
        <f t="shared" si="78"/>
        <v>#DIV/0!</v>
      </c>
      <c r="U382" s="6">
        <f t="shared" si="85"/>
        <v>0.74232771533595698</v>
      </c>
      <c r="V382" s="6">
        <f t="shared" si="85"/>
        <v>1.1540802341555996</v>
      </c>
      <c r="W382" s="6">
        <f t="shared" si="85"/>
        <v>0.33057519651631434</v>
      </c>
      <c r="X382" s="6">
        <f t="shared" si="85"/>
        <v>0.33057519651631434</v>
      </c>
      <c r="Y382" s="6">
        <f t="shared" si="85"/>
        <v>0.41175251881964264</v>
      </c>
    </row>
    <row r="383" spans="1:25" x14ac:dyDescent="0.25">
      <c r="A383" s="7" t="s">
        <v>89</v>
      </c>
      <c r="B383" s="7" t="s">
        <v>167</v>
      </c>
      <c r="C383" s="74">
        <v>0</v>
      </c>
      <c r="D383" s="74">
        <v>76</v>
      </c>
      <c r="E383" s="71" t="e">
        <f t="shared" si="74"/>
        <v>#DIV/0!</v>
      </c>
      <c r="F383" s="65" t="e">
        <f t="shared" si="76"/>
        <v>#DIV/0!</v>
      </c>
      <c r="G383" s="71">
        <f t="shared" si="80"/>
        <v>0.82061442726694189</v>
      </c>
      <c r="H383" s="71">
        <f t="shared" si="80"/>
        <v>1.2607833515834532</v>
      </c>
      <c r="I383" s="71">
        <f t="shared" si="80"/>
        <v>0.38044550295043061</v>
      </c>
      <c r="J383" s="75">
        <v>0</v>
      </c>
      <c r="K383" s="75">
        <v>200</v>
      </c>
      <c r="L383" s="6" t="e">
        <f>(SUM(K374:K383))/J382</f>
        <v>#DIV/0!</v>
      </c>
      <c r="M383" s="36" t="e">
        <f t="shared" si="77"/>
        <v>#DIV/0!</v>
      </c>
      <c r="N383" s="6">
        <f t="shared" si="86"/>
        <v>0.58006775555216661</v>
      </c>
      <c r="O383" s="6">
        <f t="shared" si="86"/>
        <v>1.099948635873619</v>
      </c>
      <c r="P383" s="6">
        <f t="shared" si="86"/>
        <v>6.0186875230714088E-2</v>
      </c>
      <c r="Q383" s="75">
        <v>0</v>
      </c>
      <c r="R383" s="76">
        <v>56</v>
      </c>
      <c r="S383" s="6" t="e">
        <f t="shared" si="75"/>
        <v>#DIV/0!</v>
      </c>
      <c r="T383" s="36" t="e">
        <f t="shared" si="78"/>
        <v>#DIV/0!</v>
      </c>
      <c r="U383" s="6">
        <f t="shared" ref="U383:Y398" si="87">U371</f>
        <v>0.82347447721763523</v>
      </c>
      <c r="V383" s="6">
        <f t="shared" si="87"/>
        <v>1.2398542522675045</v>
      </c>
      <c r="W383" s="6">
        <f t="shared" si="87"/>
        <v>0.40709470216776611</v>
      </c>
      <c r="X383" s="6">
        <f t="shared" si="87"/>
        <v>0.40709470216776611</v>
      </c>
      <c r="Y383" s="6">
        <f t="shared" si="87"/>
        <v>0.41637977504986912</v>
      </c>
    </row>
    <row r="384" spans="1:25" x14ac:dyDescent="0.25">
      <c r="A384" s="7" t="s">
        <v>89</v>
      </c>
      <c r="B384" s="7" t="s">
        <v>168</v>
      </c>
      <c r="C384" s="74">
        <v>0</v>
      </c>
      <c r="D384" s="74">
        <v>76</v>
      </c>
      <c r="E384" s="71" t="e">
        <f t="shared" si="74"/>
        <v>#DIV/0!</v>
      </c>
      <c r="F384" s="65" t="e">
        <f t="shared" si="76"/>
        <v>#DIV/0!</v>
      </c>
      <c r="G384" s="71">
        <f t="shared" si="80"/>
        <v>0.94582556715526966</v>
      </c>
      <c r="H384" s="71">
        <f t="shared" si="80"/>
        <v>1.4311117173682604</v>
      </c>
      <c r="I384" s="71">
        <f t="shared" si="80"/>
        <v>0.46053941694227907</v>
      </c>
      <c r="J384" s="75">
        <v>0</v>
      </c>
      <c r="K384" s="75">
        <v>3240</v>
      </c>
      <c r="L384" s="6" t="e">
        <f>(SUM(K374:K384))/J383</f>
        <v>#DIV/0!</v>
      </c>
      <c r="M384" s="36" t="e">
        <f t="shared" si="77"/>
        <v>#DIV/0!</v>
      </c>
      <c r="N384" s="6">
        <f t="shared" si="86"/>
        <v>0.72282137340514951</v>
      </c>
      <c r="O384" s="6">
        <f t="shared" si="86"/>
        <v>1.2463651595014014</v>
      </c>
      <c r="P384" s="6">
        <f t="shared" si="86"/>
        <v>0.19927758730889755</v>
      </c>
      <c r="Q384" s="75">
        <v>0</v>
      </c>
      <c r="R384" s="76">
        <v>56</v>
      </c>
      <c r="S384" s="6" t="e">
        <f t="shared" si="75"/>
        <v>#DIV/0!</v>
      </c>
      <c r="T384" s="36" t="e">
        <f t="shared" si="78"/>
        <v>#DIV/0!</v>
      </c>
      <c r="U384" s="6">
        <f t="shared" si="87"/>
        <v>0.91825333306001944</v>
      </c>
      <c r="V384" s="6">
        <f t="shared" si="87"/>
        <v>1.402047931898428</v>
      </c>
      <c r="W384" s="6">
        <f t="shared" si="87"/>
        <v>0.43445873422161085</v>
      </c>
      <c r="X384" s="6">
        <f t="shared" si="87"/>
        <v>0.43445873422161085</v>
      </c>
      <c r="Y384" s="6">
        <f t="shared" si="87"/>
        <v>0.48379459883840858</v>
      </c>
    </row>
    <row r="385" spans="1:25" x14ac:dyDescent="0.25">
      <c r="A385" s="7" t="s">
        <v>89</v>
      </c>
      <c r="B385" s="7" t="s">
        <v>169</v>
      </c>
      <c r="C385" s="74">
        <v>0</v>
      </c>
      <c r="D385" s="74">
        <v>76</v>
      </c>
      <c r="E385" s="71" t="e">
        <f t="shared" si="74"/>
        <v>#DIV/0!</v>
      </c>
      <c r="F385" s="65" t="e">
        <f t="shared" si="76"/>
        <v>#DIV/0!</v>
      </c>
      <c r="G385" s="71">
        <f t="shared" si="80"/>
        <v>1.0016849877757958</v>
      </c>
      <c r="H385" s="71">
        <f t="shared" si="80"/>
        <v>1.521489991464148</v>
      </c>
      <c r="I385" s="71">
        <f t="shared" si="80"/>
        <v>0.48187998408744359</v>
      </c>
      <c r="J385" s="75">
        <v>0</v>
      </c>
      <c r="K385" s="75">
        <v>200</v>
      </c>
      <c r="L385" s="6" t="e">
        <f>(SUM(K374:K385))/J384</f>
        <v>#DIV/0!</v>
      </c>
      <c r="M385" s="36" t="e">
        <f t="shared" si="77"/>
        <v>#DIV/0!</v>
      </c>
      <c r="N385" s="6">
        <f t="shared" si="86"/>
        <v>0.82421983567812696</v>
      </c>
      <c r="O385" s="6">
        <f t="shared" si="86"/>
        <v>1.3730394926064369</v>
      </c>
      <c r="P385" s="6">
        <f t="shared" si="86"/>
        <v>0.27540017874981693</v>
      </c>
      <c r="Q385" s="75">
        <v>0</v>
      </c>
      <c r="R385" s="76">
        <v>56</v>
      </c>
      <c r="S385" s="6" t="e">
        <f t="shared" si="75"/>
        <v>#DIV/0!</v>
      </c>
      <c r="T385" s="36" t="e">
        <f t="shared" si="78"/>
        <v>#DIV/0!</v>
      </c>
      <c r="U385" s="6">
        <f t="shared" si="87"/>
        <v>0.91825333306001944</v>
      </c>
      <c r="V385" s="6">
        <f t="shared" si="87"/>
        <v>1.402047931898428</v>
      </c>
      <c r="W385" s="6">
        <f t="shared" si="87"/>
        <v>0.43445873422161085</v>
      </c>
      <c r="X385" s="6">
        <f t="shared" si="87"/>
        <v>0.43445873422161085</v>
      </c>
      <c r="Y385" s="6">
        <f t="shared" si="87"/>
        <v>0.48379459883840858</v>
      </c>
    </row>
    <row r="386" spans="1:25" x14ac:dyDescent="0.25">
      <c r="A386" s="7" t="s">
        <v>127</v>
      </c>
      <c r="B386" s="7" t="s">
        <v>158</v>
      </c>
      <c r="C386" s="74">
        <v>70</v>
      </c>
      <c r="D386" s="74">
        <v>52</v>
      </c>
      <c r="E386" s="71">
        <f t="shared" ref="E386:E449" si="88">D386/C386</f>
        <v>0.74285714285714288</v>
      </c>
      <c r="F386" s="65" t="str">
        <f t="shared" si="76"/>
        <v>Desempenho Ótimo</v>
      </c>
      <c r="G386" s="71">
        <f t="shared" si="80"/>
        <v>0.11573204891712785</v>
      </c>
      <c r="H386" s="71">
        <f t="shared" si="80"/>
        <v>0.30218524997148988</v>
      </c>
      <c r="I386" s="71">
        <f t="shared" si="80"/>
        <v>-7.0721152137234206E-2</v>
      </c>
      <c r="J386" s="75">
        <v>48000</v>
      </c>
      <c r="K386" s="75">
        <v>135500</v>
      </c>
      <c r="L386" s="6">
        <f>K386/J386</f>
        <v>2.8229166666666665</v>
      </c>
      <c r="M386" s="36" t="str">
        <f t="shared" si="77"/>
        <v>Desempenho Ótimo</v>
      </c>
      <c r="N386" s="6">
        <f t="shared" si="86"/>
        <v>0.11129468122233216</v>
      </c>
      <c r="O386" s="6">
        <f t="shared" si="86"/>
        <v>0.54990456699293522</v>
      </c>
      <c r="P386" s="6">
        <f t="shared" si="86"/>
        <v>-0.32731520454827095</v>
      </c>
      <c r="Q386" s="75">
        <v>40</v>
      </c>
      <c r="R386" s="76">
        <v>0</v>
      </c>
      <c r="S386" s="6">
        <f t="shared" ref="S386:S449" si="89">R386/Q386</f>
        <v>0</v>
      </c>
      <c r="T386" s="36" t="str">
        <f t="shared" si="78"/>
        <v>Desempenho Médio</v>
      </c>
      <c r="U386" s="6">
        <f t="shared" si="87"/>
        <v>6.5053670194766225E-2</v>
      </c>
      <c r="V386" s="6">
        <f t="shared" si="87"/>
        <v>0.16010348962314203</v>
      </c>
      <c r="W386" s="6">
        <f t="shared" si="87"/>
        <v>-2.9996149233609562E-2</v>
      </c>
      <c r="X386" s="6">
        <f t="shared" si="87"/>
        <v>1.7528760480578331E-2</v>
      </c>
      <c r="Y386" s="6">
        <f t="shared" si="87"/>
        <v>9.5049819428375787E-2</v>
      </c>
    </row>
    <row r="387" spans="1:25" x14ac:dyDescent="0.25">
      <c r="A387" s="7" t="s">
        <v>127</v>
      </c>
      <c r="B387" s="7" t="s">
        <v>159</v>
      </c>
      <c r="C387" s="74">
        <v>70</v>
      </c>
      <c r="D387" s="74">
        <v>52</v>
      </c>
      <c r="E387" s="71">
        <f t="shared" si="88"/>
        <v>0.74285714285714288</v>
      </c>
      <c r="F387" s="65" t="str">
        <f t="shared" ref="F387:F450" si="90">IF(E387&gt;=H387,"Desempenho Ótimo",(IF(E387&gt;G387,"Desempenho Bom",(IF(E387&gt;I387,"Desempenho Médio",IF(E387&lt;=I387,"Desempenho Deficitário",0))))))</f>
        <v>Desempenho Ótimo</v>
      </c>
      <c r="G387" s="71">
        <f t="shared" si="80"/>
        <v>0.22598075676513599</v>
      </c>
      <c r="H387" s="71">
        <f t="shared" si="80"/>
        <v>0.51894873552035481</v>
      </c>
      <c r="I387" s="71">
        <f t="shared" si="80"/>
        <v>-6.6987221990082807E-2</v>
      </c>
      <c r="J387" s="75">
        <v>48000</v>
      </c>
      <c r="K387" s="75">
        <v>0</v>
      </c>
      <c r="L387" s="6">
        <f>(SUM(K386:K387))/J386</f>
        <v>2.8229166666666665</v>
      </c>
      <c r="M387" s="36" t="str">
        <f t="shared" ref="M387:M450" si="91">IF(L387&gt;=O387,"Desempenho Ótimo",(IF(L387&gt;N387,"Desempenho Bom",(IF(L387&gt;P387,"Desempenho Médio",IF(L387&lt;=P387,"Desempenho Deficitário",0))))))</f>
        <v>Desempenho Ótimo</v>
      </c>
      <c r="N387" s="6">
        <f t="shared" si="86"/>
        <v>0.14992070801509372</v>
      </c>
      <c r="O387" s="6">
        <f t="shared" si="86"/>
        <v>0.58968599072326611</v>
      </c>
      <c r="P387" s="6">
        <f t="shared" si="86"/>
        <v>-0.28984457469307867</v>
      </c>
      <c r="Q387" s="75">
        <v>40</v>
      </c>
      <c r="R387" s="76">
        <v>0</v>
      </c>
      <c r="S387" s="6">
        <f t="shared" si="89"/>
        <v>0</v>
      </c>
      <c r="T387" s="36" t="str">
        <f t="shared" ref="T387:T450" si="92">IF(S387&gt;=V387,"Desempenho Ótimo",(IF(S387&gt;U387,"Desempenho Bom",(IF(S387&gt;W387,"Desempenho Médio",IF(S387&lt;=W387,"Desempenho Deficitário",0))))))</f>
        <v>Desempenho Médio</v>
      </c>
      <c r="U387" s="6">
        <f t="shared" si="87"/>
        <v>6.5053670194766225E-2</v>
      </c>
      <c r="V387" s="6">
        <f t="shared" si="87"/>
        <v>0.16010348962314203</v>
      </c>
      <c r="W387" s="6">
        <f t="shared" si="87"/>
        <v>-2.9996149233609562E-2</v>
      </c>
      <c r="X387" s="6">
        <f t="shared" si="87"/>
        <v>1.7528760480578331E-2</v>
      </c>
      <c r="Y387" s="6">
        <f t="shared" si="87"/>
        <v>9.5049819428375787E-2</v>
      </c>
    </row>
    <row r="388" spans="1:25" x14ac:dyDescent="0.25">
      <c r="A388" s="7" t="s">
        <v>127</v>
      </c>
      <c r="B388" s="7" t="s">
        <v>160</v>
      </c>
      <c r="C388" s="74">
        <v>70</v>
      </c>
      <c r="D388" s="74">
        <v>52</v>
      </c>
      <c r="E388" s="71">
        <f t="shared" si="88"/>
        <v>0.74285714285714288</v>
      </c>
      <c r="F388" s="65" t="str">
        <f t="shared" si="90"/>
        <v>Desempenho Ótimo</v>
      </c>
      <c r="G388" s="71">
        <f t="shared" si="80"/>
        <v>0.2827891266215985</v>
      </c>
      <c r="H388" s="71">
        <f t="shared" si="80"/>
        <v>0.59134445337262298</v>
      </c>
      <c r="I388" s="71">
        <f t="shared" si="80"/>
        <v>-2.5766200129425987E-2</v>
      </c>
      <c r="J388" s="75">
        <v>48000</v>
      </c>
      <c r="K388" s="75">
        <v>0</v>
      </c>
      <c r="L388" s="6">
        <f>(SUM(K386:K388))/J387</f>
        <v>2.8229166666666665</v>
      </c>
      <c r="M388" s="36" t="str">
        <f t="shared" si="91"/>
        <v>Desempenho Ótimo</v>
      </c>
      <c r="N388" s="6">
        <f t="shared" si="86"/>
        <v>0.17723994755342617</v>
      </c>
      <c r="O388" s="6">
        <f t="shared" si="86"/>
        <v>0.61473682715667155</v>
      </c>
      <c r="P388" s="6">
        <f t="shared" si="86"/>
        <v>-0.26025693204981915</v>
      </c>
      <c r="Q388" s="75">
        <v>40</v>
      </c>
      <c r="R388" s="76">
        <v>0</v>
      </c>
      <c r="S388" s="6">
        <f t="shared" si="89"/>
        <v>0</v>
      </c>
      <c r="T388" s="36" t="str">
        <f t="shared" si="92"/>
        <v>Desempenho Médio</v>
      </c>
      <c r="U388" s="6">
        <f t="shared" si="87"/>
        <v>0.18401218302179842</v>
      </c>
      <c r="V388" s="6">
        <f t="shared" si="87"/>
        <v>0.37883088095577799</v>
      </c>
      <c r="W388" s="6">
        <f t="shared" si="87"/>
        <v>-1.0806514912181153E-2</v>
      </c>
      <c r="X388" s="6">
        <f t="shared" si="87"/>
        <v>8.6602834054808633E-2</v>
      </c>
      <c r="Y388" s="6">
        <f t="shared" si="87"/>
        <v>0.19481869793397957</v>
      </c>
    </row>
    <row r="389" spans="1:25" x14ac:dyDescent="0.25">
      <c r="A389" s="7" t="s">
        <v>127</v>
      </c>
      <c r="B389" s="7" t="s">
        <v>161</v>
      </c>
      <c r="C389" s="74">
        <v>70</v>
      </c>
      <c r="D389" s="74">
        <v>74</v>
      </c>
      <c r="E389" s="71">
        <f t="shared" si="88"/>
        <v>1.0571428571428572</v>
      </c>
      <c r="F389" s="65" t="str">
        <f t="shared" si="90"/>
        <v>Desempenho Ótimo</v>
      </c>
      <c r="G389" s="71">
        <f t="shared" si="80"/>
        <v>0.36222496935690102</v>
      </c>
      <c r="H389" s="71">
        <f t="shared" si="80"/>
        <v>0.67917151968337719</v>
      </c>
      <c r="I389" s="71">
        <f t="shared" si="80"/>
        <v>4.5278419030424844E-2</v>
      </c>
      <c r="J389" s="75">
        <v>48000</v>
      </c>
      <c r="K389" s="75">
        <v>17500</v>
      </c>
      <c r="L389" s="6">
        <f>(SUM(K386:K389))/J388</f>
        <v>3.1875</v>
      </c>
      <c r="M389" s="36" t="str">
        <f t="shared" si="91"/>
        <v>Desempenho Ótimo</v>
      </c>
      <c r="N389" s="6">
        <f t="shared" si="86"/>
        <v>0.2271654986777647</v>
      </c>
      <c r="O389" s="6">
        <f t="shared" si="86"/>
        <v>0.71582389712396544</v>
      </c>
      <c r="P389" s="6">
        <f t="shared" si="86"/>
        <v>-0.26149289976843598</v>
      </c>
      <c r="Q389" s="75">
        <v>40</v>
      </c>
      <c r="R389" s="76">
        <v>0</v>
      </c>
      <c r="S389" s="6">
        <f t="shared" si="89"/>
        <v>0</v>
      </c>
      <c r="T389" s="36" t="str">
        <f t="shared" si="92"/>
        <v>Desempenho Médio</v>
      </c>
      <c r="U389" s="6">
        <f t="shared" si="87"/>
        <v>0.18401218302179842</v>
      </c>
      <c r="V389" s="6">
        <f t="shared" si="87"/>
        <v>0.37883088095577799</v>
      </c>
      <c r="W389" s="6">
        <f t="shared" si="87"/>
        <v>-1.0806514912181153E-2</v>
      </c>
      <c r="X389" s="6">
        <f t="shared" si="87"/>
        <v>8.6602834054808633E-2</v>
      </c>
      <c r="Y389" s="6">
        <f t="shared" si="87"/>
        <v>0.19481869793397957</v>
      </c>
    </row>
    <row r="390" spans="1:25" x14ac:dyDescent="0.25">
      <c r="A390" s="7" t="s">
        <v>127</v>
      </c>
      <c r="B390" s="7" t="s">
        <v>162</v>
      </c>
      <c r="C390" s="74">
        <v>70</v>
      </c>
      <c r="D390" s="74">
        <v>74</v>
      </c>
      <c r="E390" s="71">
        <f t="shared" si="88"/>
        <v>1.0571428571428572</v>
      </c>
      <c r="F390" s="65" t="str">
        <f t="shared" si="90"/>
        <v>Desempenho Ótimo</v>
      </c>
      <c r="G390" s="71">
        <f t="shared" si="80"/>
        <v>0.44825178806664662</v>
      </c>
      <c r="H390" s="71">
        <f t="shared" si="80"/>
        <v>0.78548221403733831</v>
      </c>
      <c r="I390" s="71">
        <f t="shared" si="80"/>
        <v>0.11102136209595498</v>
      </c>
      <c r="J390" s="75">
        <v>48000</v>
      </c>
      <c r="K390" s="75">
        <v>0</v>
      </c>
      <c r="L390" s="6">
        <f>(SUM(K386:K390))/J389</f>
        <v>3.1875</v>
      </c>
      <c r="M390" s="36" t="str">
        <f t="shared" si="91"/>
        <v>Desempenho Ótimo</v>
      </c>
      <c r="N390" s="6">
        <f t="shared" ref="N390:P405" si="93">N378</f>
        <v>0.27284258705105507</v>
      </c>
      <c r="O390" s="6">
        <f t="shared" si="93"/>
        <v>0.75981161093062477</v>
      </c>
      <c r="P390" s="6">
        <f t="shared" si="93"/>
        <v>-0.21412643682851468</v>
      </c>
      <c r="Q390" s="75">
        <v>40</v>
      </c>
      <c r="R390" s="76">
        <v>0</v>
      </c>
      <c r="S390" s="6">
        <f t="shared" si="89"/>
        <v>0</v>
      </c>
      <c r="T390" s="36" t="str">
        <f t="shared" si="92"/>
        <v>Desempenho Médio</v>
      </c>
      <c r="U390" s="6">
        <f t="shared" si="87"/>
        <v>0.23278475191631845</v>
      </c>
      <c r="V390" s="6">
        <f t="shared" si="87"/>
        <v>0.51017789992422413</v>
      </c>
      <c r="W390" s="6">
        <f t="shared" si="87"/>
        <v>-4.460839609158726E-2</v>
      </c>
      <c r="X390" s="6">
        <f t="shared" si="87"/>
        <v>9.4088177912365595E-2</v>
      </c>
      <c r="Y390" s="6">
        <f t="shared" si="87"/>
        <v>0.27739314800790571</v>
      </c>
    </row>
    <row r="391" spans="1:25" x14ac:dyDescent="0.25">
      <c r="A391" s="7" t="s">
        <v>127</v>
      </c>
      <c r="B391" s="7" t="s">
        <v>163</v>
      </c>
      <c r="C391" s="74">
        <v>70</v>
      </c>
      <c r="D391" s="74">
        <v>78</v>
      </c>
      <c r="E391" s="71">
        <f t="shared" si="88"/>
        <v>1.1142857142857143</v>
      </c>
      <c r="F391" s="65" t="str">
        <f t="shared" si="90"/>
        <v>Desempenho Ótimo</v>
      </c>
      <c r="G391" s="71">
        <f t="shared" si="80"/>
        <v>0.54231176602906361</v>
      </c>
      <c r="H391" s="71">
        <f t="shared" si="80"/>
        <v>0.92735502699565786</v>
      </c>
      <c r="I391" s="71">
        <f t="shared" si="80"/>
        <v>0.15726850506246942</v>
      </c>
      <c r="J391" s="75">
        <v>48000</v>
      </c>
      <c r="K391" s="75">
        <v>1100</v>
      </c>
      <c r="L391" s="6">
        <f>(SUM(K386:K391))/J390</f>
        <v>3.2104166666666667</v>
      </c>
      <c r="M391" s="36" t="str">
        <f t="shared" si="91"/>
        <v>Desempenho Ótimo</v>
      </c>
      <c r="N391" s="6">
        <f t="shared" si="93"/>
        <v>0.31451673641638933</v>
      </c>
      <c r="O391" s="6">
        <f t="shared" si="93"/>
        <v>0.80702132782766356</v>
      </c>
      <c r="P391" s="6">
        <f t="shared" si="93"/>
        <v>-0.1779878549948849</v>
      </c>
      <c r="Q391" s="75">
        <v>40</v>
      </c>
      <c r="R391" s="76">
        <v>0</v>
      </c>
      <c r="S391" s="6">
        <f t="shared" si="89"/>
        <v>0</v>
      </c>
      <c r="T391" s="36" t="str">
        <f t="shared" si="92"/>
        <v>Desempenho Deficitário</v>
      </c>
      <c r="U391" s="6">
        <f t="shared" si="87"/>
        <v>0.46105014853915682</v>
      </c>
      <c r="V391" s="6">
        <f t="shared" si="87"/>
        <v>0.84756736419379908</v>
      </c>
      <c r="W391" s="6">
        <f t="shared" si="87"/>
        <v>7.4532932884514569E-2</v>
      </c>
      <c r="X391" s="6">
        <f t="shared" si="87"/>
        <v>7.4532932884514569E-2</v>
      </c>
      <c r="Y391" s="6">
        <f t="shared" si="87"/>
        <v>0.38651721565464225</v>
      </c>
    </row>
    <row r="392" spans="1:25" x14ac:dyDescent="0.25">
      <c r="A392" s="7" t="s">
        <v>127</v>
      </c>
      <c r="B392" s="7" t="s">
        <v>164</v>
      </c>
      <c r="C392" s="74">
        <v>70</v>
      </c>
      <c r="D392" s="74">
        <v>78</v>
      </c>
      <c r="E392" s="71">
        <f t="shared" si="88"/>
        <v>1.1142857142857143</v>
      </c>
      <c r="F392" s="65" t="str">
        <f t="shared" si="90"/>
        <v>Desempenho Ótimo</v>
      </c>
      <c r="G392" s="71">
        <f t="shared" si="80"/>
        <v>0.63634637719050002</v>
      </c>
      <c r="H392" s="71">
        <f t="shared" si="80"/>
        <v>1.0512878703900039</v>
      </c>
      <c r="I392" s="71">
        <f t="shared" si="80"/>
        <v>0.22140488399099606</v>
      </c>
      <c r="J392" s="75">
        <v>48000</v>
      </c>
      <c r="K392" s="75">
        <v>0</v>
      </c>
      <c r="L392" s="6">
        <f>(SUM(K386:K392))/J391</f>
        <v>3.2104166666666667</v>
      </c>
      <c r="M392" s="36" t="str">
        <f t="shared" si="91"/>
        <v>Desempenho Ótimo</v>
      </c>
      <c r="N392" s="6">
        <f t="shared" si="93"/>
        <v>0.38334713342809434</v>
      </c>
      <c r="O392" s="6">
        <f t="shared" si="93"/>
        <v>0.88375935483946089</v>
      </c>
      <c r="P392" s="6">
        <f t="shared" si="93"/>
        <v>-0.1170650879832722</v>
      </c>
      <c r="Q392" s="75">
        <v>40</v>
      </c>
      <c r="R392" s="76">
        <v>0</v>
      </c>
      <c r="S392" s="6">
        <f t="shared" si="89"/>
        <v>0</v>
      </c>
      <c r="T392" s="36" t="str">
        <f t="shared" si="92"/>
        <v>Desempenho Deficitário</v>
      </c>
      <c r="U392" s="6">
        <f t="shared" si="87"/>
        <v>0.46105014853915682</v>
      </c>
      <c r="V392" s="6">
        <f t="shared" si="87"/>
        <v>0.84756736419379908</v>
      </c>
      <c r="W392" s="6">
        <f t="shared" si="87"/>
        <v>7.4532932884514569E-2</v>
      </c>
      <c r="X392" s="6">
        <f t="shared" si="87"/>
        <v>7.4532932884514569E-2</v>
      </c>
      <c r="Y392" s="6">
        <f t="shared" si="87"/>
        <v>0.38651721565464225</v>
      </c>
    </row>
    <row r="393" spans="1:25" x14ac:dyDescent="0.25">
      <c r="A393" s="7" t="s">
        <v>127</v>
      </c>
      <c r="B393" s="7" t="s">
        <v>165</v>
      </c>
      <c r="C393" s="74">
        <v>70</v>
      </c>
      <c r="D393" s="74">
        <v>78</v>
      </c>
      <c r="E393" s="71">
        <f t="shared" si="88"/>
        <v>1.1142857142857143</v>
      </c>
      <c r="F393" s="65" t="str">
        <f t="shared" si="90"/>
        <v>Desempenho Bom</v>
      </c>
      <c r="G393" s="71">
        <f t="shared" si="80"/>
        <v>0.70660866675940681</v>
      </c>
      <c r="H393" s="71">
        <f t="shared" si="80"/>
        <v>1.1341225514190425</v>
      </c>
      <c r="I393" s="71">
        <f t="shared" si="80"/>
        <v>0.27909478209977112</v>
      </c>
      <c r="J393" s="75">
        <v>48000</v>
      </c>
      <c r="K393" s="75">
        <v>2800</v>
      </c>
      <c r="L393" s="6">
        <f>(SUM(K386:K393))/J392</f>
        <v>3.2687499999999998</v>
      </c>
      <c r="M393" s="36" t="str">
        <f t="shared" si="91"/>
        <v>Desempenho Ótimo</v>
      </c>
      <c r="N393" s="6">
        <f t="shared" si="93"/>
        <v>0.45719521320533213</v>
      </c>
      <c r="O393" s="6">
        <f t="shared" si="93"/>
        <v>0.97356755068321044</v>
      </c>
      <c r="P393" s="6">
        <f t="shared" si="93"/>
        <v>-5.9177124272546122E-2</v>
      </c>
      <c r="Q393" s="75">
        <v>40</v>
      </c>
      <c r="R393" s="76">
        <v>0</v>
      </c>
      <c r="S393" s="6">
        <f t="shared" si="89"/>
        <v>0</v>
      </c>
      <c r="T393" s="36" t="str">
        <f t="shared" si="92"/>
        <v>Desempenho Deficitário</v>
      </c>
      <c r="U393" s="6">
        <f t="shared" si="87"/>
        <v>0.46105014853915682</v>
      </c>
      <c r="V393" s="6">
        <f t="shared" si="87"/>
        <v>0.84756736419379908</v>
      </c>
      <c r="W393" s="6">
        <f t="shared" si="87"/>
        <v>7.4532932884514569E-2</v>
      </c>
      <c r="X393" s="6">
        <f t="shared" si="87"/>
        <v>7.4532932884514569E-2</v>
      </c>
      <c r="Y393" s="6">
        <f t="shared" si="87"/>
        <v>0.38651721565464225</v>
      </c>
    </row>
    <row r="394" spans="1:25" x14ac:dyDescent="0.25">
      <c r="A394" s="7" t="s">
        <v>127</v>
      </c>
      <c r="B394" s="7" t="s">
        <v>166</v>
      </c>
      <c r="C394" s="74">
        <v>70</v>
      </c>
      <c r="D394" s="74">
        <v>78</v>
      </c>
      <c r="E394" s="71">
        <f t="shared" si="88"/>
        <v>1.1142857142857143</v>
      </c>
      <c r="F394" s="65" t="str">
        <f t="shared" si="90"/>
        <v>Desempenho Bom</v>
      </c>
      <c r="G394" s="71">
        <f t="shared" si="80"/>
        <v>0.73663014244586189</v>
      </c>
      <c r="H394" s="71">
        <f t="shared" si="80"/>
        <v>1.1737360935948695</v>
      </c>
      <c r="I394" s="71">
        <f t="shared" si="80"/>
        <v>0.29952419129685426</v>
      </c>
      <c r="J394" s="75">
        <v>48000</v>
      </c>
      <c r="K394" s="75">
        <v>0</v>
      </c>
      <c r="L394" s="6">
        <f>(SUM(K386:K394))/J393</f>
        <v>3.2687499999999998</v>
      </c>
      <c r="M394" s="36" t="str">
        <f t="shared" si="91"/>
        <v>Desempenho Ótimo</v>
      </c>
      <c r="N394" s="6">
        <f t="shared" si="93"/>
        <v>0.50336729135060976</v>
      </c>
      <c r="O394" s="6">
        <f t="shared" si="93"/>
        <v>1.0150591886201059</v>
      </c>
      <c r="P394" s="6">
        <f t="shared" si="93"/>
        <v>-8.3246059188863963E-3</v>
      </c>
      <c r="Q394" s="75">
        <v>40</v>
      </c>
      <c r="R394" s="76">
        <v>39</v>
      </c>
      <c r="S394" s="6">
        <f t="shared" si="89"/>
        <v>0.97499999999999998</v>
      </c>
      <c r="T394" s="36" t="str">
        <f t="shared" si="92"/>
        <v>Desempenho Bom</v>
      </c>
      <c r="U394" s="6">
        <f t="shared" si="87"/>
        <v>0.74232771533595698</v>
      </c>
      <c r="V394" s="6">
        <f t="shared" si="87"/>
        <v>1.1540802341555996</v>
      </c>
      <c r="W394" s="6">
        <f t="shared" si="87"/>
        <v>0.33057519651631434</v>
      </c>
      <c r="X394" s="6">
        <f t="shared" si="87"/>
        <v>0.33057519651631434</v>
      </c>
      <c r="Y394" s="6">
        <f t="shared" si="87"/>
        <v>0.41175251881964264</v>
      </c>
    </row>
    <row r="395" spans="1:25" x14ac:dyDescent="0.25">
      <c r="A395" s="7" t="s">
        <v>127</v>
      </c>
      <c r="B395" s="7" t="s">
        <v>167</v>
      </c>
      <c r="C395" s="74">
        <v>70</v>
      </c>
      <c r="D395" s="74">
        <v>78</v>
      </c>
      <c r="E395" s="71">
        <f t="shared" si="88"/>
        <v>1.1142857142857143</v>
      </c>
      <c r="F395" s="65" t="str">
        <f t="shared" si="90"/>
        <v>Desempenho Bom</v>
      </c>
      <c r="G395" s="71">
        <f t="shared" si="80"/>
        <v>0.82061442726694189</v>
      </c>
      <c r="H395" s="71">
        <f t="shared" si="80"/>
        <v>1.2607833515834532</v>
      </c>
      <c r="I395" s="71">
        <f t="shared" si="80"/>
        <v>0.38044550295043061</v>
      </c>
      <c r="J395" s="75">
        <v>48000</v>
      </c>
      <c r="K395" s="75">
        <v>0</v>
      </c>
      <c r="L395" s="6">
        <f>(SUM(K386:K395))/J394</f>
        <v>3.2687499999999998</v>
      </c>
      <c r="M395" s="36" t="str">
        <f t="shared" si="91"/>
        <v>Desempenho Ótimo</v>
      </c>
      <c r="N395" s="6">
        <f t="shared" si="93"/>
        <v>0.58006775555216661</v>
      </c>
      <c r="O395" s="6">
        <f t="shared" si="93"/>
        <v>1.099948635873619</v>
      </c>
      <c r="P395" s="6">
        <f t="shared" si="93"/>
        <v>6.0186875230714088E-2</v>
      </c>
      <c r="Q395" s="75">
        <v>40</v>
      </c>
      <c r="R395" s="76">
        <v>65</v>
      </c>
      <c r="S395" s="6">
        <f t="shared" si="89"/>
        <v>1.625</v>
      </c>
      <c r="T395" s="36" t="str">
        <f t="shared" si="92"/>
        <v>Desempenho Ótimo</v>
      </c>
      <c r="U395" s="6">
        <f t="shared" si="87"/>
        <v>0.82347447721763523</v>
      </c>
      <c r="V395" s="6">
        <f t="shared" si="87"/>
        <v>1.2398542522675045</v>
      </c>
      <c r="W395" s="6">
        <f t="shared" si="87"/>
        <v>0.40709470216776611</v>
      </c>
      <c r="X395" s="6">
        <f t="shared" si="87"/>
        <v>0.40709470216776611</v>
      </c>
      <c r="Y395" s="6">
        <f t="shared" si="87"/>
        <v>0.41637977504986912</v>
      </c>
    </row>
    <row r="396" spans="1:25" x14ac:dyDescent="0.25">
      <c r="A396" s="7" t="s">
        <v>127</v>
      </c>
      <c r="B396" s="7" t="s">
        <v>168</v>
      </c>
      <c r="C396" s="74">
        <v>70</v>
      </c>
      <c r="D396" s="74">
        <v>78</v>
      </c>
      <c r="E396" s="71">
        <f t="shared" si="88"/>
        <v>1.1142857142857143</v>
      </c>
      <c r="F396" s="65" t="str">
        <f t="shared" si="90"/>
        <v>Desempenho Bom</v>
      </c>
      <c r="G396" s="71">
        <f t="shared" si="80"/>
        <v>0.94582556715526966</v>
      </c>
      <c r="H396" s="71">
        <f t="shared" si="80"/>
        <v>1.4311117173682604</v>
      </c>
      <c r="I396" s="71">
        <f t="shared" si="80"/>
        <v>0.46053941694227907</v>
      </c>
      <c r="J396" s="75">
        <v>48000</v>
      </c>
      <c r="K396" s="75">
        <v>0</v>
      </c>
      <c r="L396" s="6">
        <f>(SUM(K386:K396))/J395</f>
        <v>3.2687499999999998</v>
      </c>
      <c r="M396" s="36" t="str">
        <f t="shared" si="91"/>
        <v>Desempenho Ótimo</v>
      </c>
      <c r="N396" s="6">
        <f t="shared" si="93"/>
        <v>0.72282137340514951</v>
      </c>
      <c r="O396" s="6">
        <f t="shared" si="93"/>
        <v>1.2463651595014014</v>
      </c>
      <c r="P396" s="6">
        <f t="shared" si="93"/>
        <v>0.19927758730889755</v>
      </c>
      <c r="Q396" s="75">
        <v>40</v>
      </c>
      <c r="R396" s="76">
        <v>65</v>
      </c>
      <c r="S396" s="6">
        <f t="shared" si="89"/>
        <v>1.625</v>
      </c>
      <c r="T396" s="36" t="str">
        <f t="shared" si="92"/>
        <v>Desempenho Ótimo</v>
      </c>
      <c r="U396" s="6">
        <f t="shared" si="87"/>
        <v>0.91825333306001944</v>
      </c>
      <c r="V396" s="6">
        <f t="shared" si="87"/>
        <v>1.402047931898428</v>
      </c>
      <c r="W396" s="6">
        <f t="shared" si="87"/>
        <v>0.43445873422161085</v>
      </c>
      <c r="X396" s="6">
        <f t="shared" si="87"/>
        <v>0.43445873422161085</v>
      </c>
      <c r="Y396" s="6">
        <f t="shared" si="87"/>
        <v>0.48379459883840858</v>
      </c>
    </row>
    <row r="397" spans="1:25" x14ac:dyDescent="0.25">
      <c r="A397" s="7" t="s">
        <v>127</v>
      </c>
      <c r="B397" s="7" t="s">
        <v>169</v>
      </c>
      <c r="C397" s="74">
        <v>70</v>
      </c>
      <c r="D397" s="74">
        <v>96</v>
      </c>
      <c r="E397" s="71">
        <f t="shared" si="88"/>
        <v>1.3714285714285714</v>
      </c>
      <c r="F397" s="65" t="str">
        <f t="shared" si="90"/>
        <v>Desempenho Bom</v>
      </c>
      <c r="G397" s="71">
        <f t="shared" si="80"/>
        <v>1.0016849877757958</v>
      </c>
      <c r="H397" s="71">
        <f t="shared" si="80"/>
        <v>1.521489991464148</v>
      </c>
      <c r="I397" s="71">
        <f t="shared" si="80"/>
        <v>0.48187998408744359</v>
      </c>
      <c r="J397" s="75">
        <v>48000</v>
      </c>
      <c r="K397" s="75">
        <v>4149.95</v>
      </c>
      <c r="L397" s="6">
        <f>(SUM(K386:K397))/J396</f>
        <v>3.3552072916666669</v>
      </c>
      <c r="M397" s="36" t="str">
        <f t="shared" si="91"/>
        <v>Desempenho Ótimo</v>
      </c>
      <c r="N397" s="6">
        <f t="shared" si="93"/>
        <v>0.82421983567812696</v>
      </c>
      <c r="O397" s="6">
        <f t="shared" si="93"/>
        <v>1.3730394926064369</v>
      </c>
      <c r="P397" s="6">
        <f t="shared" si="93"/>
        <v>0.27540017874981693</v>
      </c>
      <c r="Q397" s="75">
        <v>40</v>
      </c>
      <c r="R397" s="76">
        <v>65</v>
      </c>
      <c r="S397" s="6">
        <f t="shared" si="89"/>
        <v>1.625</v>
      </c>
      <c r="T397" s="36" t="str">
        <f t="shared" si="92"/>
        <v>Desempenho Ótimo</v>
      </c>
      <c r="U397" s="6">
        <f t="shared" si="87"/>
        <v>0.91825333306001944</v>
      </c>
      <c r="V397" s="6">
        <f t="shared" si="87"/>
        <v>1.402047931898428</v>
      </c>
      <c r="W397" s="6">
        <f t="shared" si="87"/>
        <v>0.43445873422161085</v>
      </c>
      <c r="X397" s="6">
        <f t="shared" si="87"/>
        <v>0.43445873422161085</v>
      </c>
      <c r="Y397" s="6">
        <f t="shared" si="87"/>
        <v>0.48379459883840858</v>
      </c>
    </row>
    <row r="398" spans="1:25" x14ac:dyDescent="0.25">
      <c r="A398" s="7" t="s">
        <v>122</v>
      </c>
      <c r="B398" s="7" t="s">
        <v>158</v>
      </c>
      <c r="C398" s="74">
        <v>75</v>
      </c>
      <c r="D398" s="74">
        <v>0</v>
      </c>
      <c r="E398" s="71">
        <f t="shared" si="88"/>
        <v>0</v>
      </c>
      <c r="F398" s="65" t="str">
        <f t="shared" si="90"/>
        <v>Desempenho Médio</v>
      </c>
      <c r="G398" s="71">
        <f t="shared" si="80"/>
        <v>0.11573204891712785</v>
      </c>
      <c r="H398" s="71">
        <f t="shared" si="80"/>
        <v>0.30218524997148988</v>
      </c>
      <c r="I398" s="71">
        <f t="shared" si="80"/>
        <v>-7.0721152137234206E-2</v>
      </c>
      <c r="J398" s="75">
        <v>35000</v>
      </c>
      <c r="K398" s="75">
        <v>0</v>
      </c>
      <c r="L398" s="6">
        <f>K398/J398</f>
        <v>0</v>
      </c>
      <c r="M398" s="36" t="str">
        <f t="shared" si="91"/>
        <v>Desempenho Médio</v>
      </c>
      <c r="N398" s="6">
        <f t="shared" si="93"/>
        <v>0.11129468122233216</v>
      </c>
      <c r="O398" s="6">
        <f t="shared" si="93"/>
        <v>0.54990456699293522</v>
      </c>
      <c r="P398" s="6">
        <f t="shared" si="93"/>
        <v>-0.32731520454827095</v>
      </c>
      <c r="Q398" s="75">
        <v>43</v>
      </c>
      <c r="R398" s="76">
        <v>0</v>
      </c>
      <c r="S398" s="6">
        <f t="shared" si="89"/>
        <v>0</v>
      </c>
      <c r="T398" s="36" t="str">
        <f t="shared" si="92"/>
        <v>Desempenho Médio</v>
      </c>
      <c r="U398" s="6">
        <f t="shared" si="87"/>
        <v>6.5053670194766225E-2</v>
      </c>
      <c r="V398" s="6">
        <f t="shared" si="87"/>
        <v>0.16010348962314203</v>
      </c>
      <c r="W398" s="6">
        <f t="shared" si="87"/>
        <v>-2.9996149233609562E-2</v>
      </c>
      <c r="X398" s="6">
        <f t="shared" si="87"/>
        <v>1.7528760480578331E-2</v>
      </c>
      <c r="Y398" s="6">
        <f t="shared" si="87"/>
        <v>9.5049819428375787E-2</v>
      </c>
    </row>
    <row r="399" spans="1:25" x14ac:dyDescent="0.25">
      <c r="A399" s="7" t="s">
        <v>122</v>
      </c>
      <c r="B399" s="7" t="s">
        <v>159</v>
      </c>
      <c r="C399" s="74">
        <v>75</v>
      </c>
      <c r="D399" s="74">
        <v>0</v>
      </c>
      <c r="E399" s="71">
        <f t="shared" si="88"/>
        <v>0</v>
      </c>
      <c r="F399" s="65" t="str">
        <f t="shared" si="90"/>
        <v>Desempenho Médio</v>
      </c>
      <c r="G399" s="71">
        <f t="shared" ref="G399:I462" si="94">G387</f>
        <v>0.22598075676513599</v>
      </c>
      <c r="H399" s="71">
        <f t="shared" si="94"/>
        <v>0.51894873552035481</v>
      </c>
      <c r="I399" s="71">
        <f t="shared" si="94"/>
        <v>-6.6987221990082807E-2</v>
      </c>
      <c r="J399" s="75">
        <v>35000</v>
      </c>
      <c r="K399" s="75">
        <v>0</v>
      </c>
      <c r="L399" s="6">
        <f>(SUM(K398:K399))/J398</f>
        <v>0</v>
      </c>
      <c r="M399" s="36" t="str">
        <f t="shared" si="91"/>
        <v>Desempenho Médio</v>
      </c>
      <c r="N399" s="6">
        <f t="shared" si="93"/>
        <v>0.14992070801509372</v>
      </c>
      <c r="O399" s="6">
        <f t="shared" si="93"/>
        <v>0.58968599072326611</v>
      </c>
      <c r="P399" s="6">
        <f t="shared" si="93"/>
        <v>-0.28984457469307867</v>
      </c>
      <c r="Q399" s="75">
        <v>43</v>
      </c>
      <c r="R399" s="76">
        <v>0</v>
      </c>
      <c r="S399" s="6">
        <f t="shared" si="89"/>
        <v>0</v>
      </c>
      <c r="T399" s="36" t="str">
        <f t="shared" si="92"/>
        <v>Desempenho Médio</v>
      </c>
      <c r="U399" s="6">
        <f t="shared" ref="U399:Y414" si="95">U387</f>
        <v>6.5053670194766225E-2</v>
      </c>
      <c r="V399" s="6">
        <f t="shared" si="95"/>
        <v>0.16010348962314203</v>
      </c>
      <c r="W399" s="6">
        <f t="shared" si="95"/>
        <v>-2.9996149233609562E-2</v>
      </c>
      <c r="X399" s="6">
        <f t="shared" si="95"/>
        <v>1.7528760480578331E-2</v>
      </c>
      <c r="Y399" s="6">
        <f t="shared" si="95"/>
        <v>9.5049819428375787E-2</v>
      </c>
    </row>
    <row r="400" spans="1:25" x14ac:dyDescent="0.25">
      <c r="A400" s="7" t="s">
        <v>122</v>
      </c>
      <c r="B400" s="7" t="s">
        <v>160</v>
      </c>
      <c r="C400" s="74">
        <v>75</v>
      </c>
      <c r="D400" s="74">
        <v>0</v>
      </c>
      <c r="E400" s="71">
        <f t="shared" si="88"/>
        <v>0</v>
      </c>
      <c r="F400" s="65" t="str">
        <f t="shared" si="90"/>
        <v>Desempenho Médio</v>
      </c>
      <c r="G400" s="71">
        <f t="shared" si="94"/>
        <v>0.2827891266215985</v>
      </c>
      <c r="H400" s="71">
        <f t="shared" si="94"/>
        <v>0.59134445337262298</v>
      </c>
      <c r="I400" s="71">
        <f t="shared" si="94"/>
        <v>-2.5766200129425987E-2</v>
      </c>
      <c r="J400" s="75">
        <v>35000</v>
      </c>
      <c r="K400" s="75">
        <v>0</v>
      </c>
      <c r="L400" s="6">
        <f>(SUM(K398:K400))/J399</f>
        <v>0</v>
      </c>
      <c r="M400" s="36" t="str">
        <f t="shared" si="91"/>
        <v>Desempenho Médio</v>
      </c>
      <c r="N400" s="6">
        <f t="shared" si="93"/>
        <v>0.17723994755342617</v>
      </c>
      <c r="O400" s="6">
        <f t="shared" si="93"/>
        <v>0.61473682715667155</v>
      </c>
      <c r="P400" s="6">
        <f t="shared" si="93"/>
        <v>-0.26025693204981915</v>
      </c>
      <c r="Q400" s="75">
        <v>43</v>
      </c>
      <c r="R400" s="76">
        <v>28</v>
      </c>
      <c r="S400" s="6">
        <f t="shared" si="89"/>
        <v>0.65116279069767447</v>
      </c>
      <c r="T400" s="36" t="str">
        <f t="shared" si="92"/>
        <v>Desempenho Ótimo</v>
      </c>
      <c r="U400" s="6">
        <f t="shared" si="95"/>
        <v>0.18401218302179842</v>
      </c>
      <c r="V400" s="6">
        <f t="shared" si="95"/>
        <v>0.37883088095577799</v>
      </c>
      <c r="W400" s="6">
        <f t="shared" si="95"/>
        <v>-1.0806514912181153E-2</v>
      </c>
      <c r="X400" s="6">
        <f t="shared" si="95"/>
        <v>8.6602834054808633E-2</v>
      </c>
      <c r="Y400" s="6">
        <f t="shared" si="95"/>
        <v>0.19481869793397957</v>
      </c>
    </row>
    <row r="401" spans="1:25" x14ac:dyDescent="0.25">
      <c r="A401" s="7" t="s">
        <v>122</v>
      </c>
      <c r="B401" s="7" t="s">
        <v>161</v>
      </c>
      <c r="C401" s="74">
        <v>75</v>
      </c>
      <c r="D401" s="74">
        <v>41</v>
      </c>
      <c r="E401" s="71">
        <f t="shared" si="88"/>
        <v>0.54666666666666663</v>
      </c>
      <c r="F401" s="65" t="str">
        <f t="shared" si="90"/>
        <v>Desempenho Bom</v>
      </c>
      <c r="G401" s="71">
        <f t="shared" si="94"/>
        <v>0.36222496935690102</v>
      </c>
      <c r="H401" s="71">
        <f t="shared" si="94"/>
        <v>0.67917151968337719</v>
      </c>
      <c r="I401" s="71">
        <f t="shared" si="94"/>
        <v>4.5278419030424844E-2</v>
      </c>
      <c r="J401" s="75">
        <v>35000</v>
      </c>
      <c r="K401" s="75">
        <v>9032</v>
      </c>
      <c r="L401" s="6">
        <f>(SUM(K398:K401))/J400</f>
        <v>0.25805714285714287</v>
      </c>
      <c r="M401" s="36" t="str">
        <f t="shared" si="91"/>
        <v>Desempenho Bom</v>
      </c>
      <c r="N401" s="6">
        <f t="shared" si="93"/>
        <v>0.2271654986777647</v>
      </c>
      <c r="O401" s="6">
        <f t="shared" si="93"/>
        <v>0.71582389712396544</v>
      </c>
      <c r="P401" s="6">
        <f t="shared" si="93"/>
        <v>-0.26149289976843598</v>
      </c>
      <c r="Q401" s="75">
        <v>43</v>
      </c>
      <c r="R401" s="76">
        <v>28</v>
      </c>
      <c r="S401" s="6">
        <f t="shared" si="89"/>
        <v>0.65116279069767447</v>
      </c>
      <c r="T401" s="36" t="str">
        <f t="shared" si="92"/>
        <v>Desempenho Ótimo</v>
      </c>
      <c r="U401" s="6">
        <f t="shared" si="95"/>
        <v>0.18401218302179842</v>
      </c>
      <c r="V401" s="6">
        <f t="shared" si="95"/>
        <v>0.37883088095577799</v>
      </c>
      <c r="W401" s="6">
        <f t="shared" si="95"/>
        <v>-1.0806514912181153E-2</v>
      </c>
      <c r="X401" s="6">
        <f t="shared" si="95"/>
        <v>8.6602834054808633E-2</v>
      </c>
      <c r="Y401" s="6">
        <f t="shared" si="95"/>
        <v>0.19481869793397957</v>
      </c>
    </row>
    <row r="402" spans="1:25" x14ac:dyDescent="0.25">
      <c r="A402" s="7" t="s">
        <v>122</v>
      </c>
      <c r="B402" s="7" t="s">
        <v>162</v>
      </c>
      <c r="C402" s="74">
        <v>75</v>
      </c>
      <c r="D402" s="74">
        <v>41</v>
      </c>
      <c r="E402" s="71">
        <f t="shared" si="88"/>
        <v>0.54666666666666663</v>
      </c>
      <c r="F402" s="65" t="str">
        <f t="shared" si="90"/>
        <v>Desempenho Bom</v>
      </c>
      <c r="G402" s="71">
        <f t="shared" si="94"/>
        <v>0.44825178806664662</v>
      </c>
      <c r="H402" s="71">
        <f t="shared" si="94"/>
        <v>0.78548221403733831</v>
      </c>
      <c r="I402" s="71">
        <f t="shared" si="94"/>
        <v>0.11102136209595498</v>
      </c>
      <c r="J402" s="75">
        <v>35000</v>
      </c>
      <c r="K402" s="75">
        <v>0</v>
      </c>
      <c r="L402" s="6">
        <f>(SUM(K398:K402))/J401</f>
        <v>0.25805714285714287</v>
      </c>
      <c r="M402" s="36" t="str">
        <f t="shared" si="91"/>
        <v>Desempenho Médio</v>
      </c>
      <c r="N402" s="6">
        <f t="shared" si="93"/>
        <v>0.27284258705105507</v>
      </c>
      <c r="O402" s="6">
        <f t="shared" si="93"/>
        <v>0.75981161093062477</v>
      </c>
      <c r="P402" s="6">
        <f t="shared" si="93"/>
        <v>-0.21412643682851468</v>
      </c>
      <c r="Q402" s="75">
        <v>43</v>
      </c>
      <c r="R402" s="76">
        <v>28</v>
      </c>
      <c r="S402" s="6">
        <f t="shared" si="89"/>
        <v>0.65116279069767447</v>
      </c>
      <c r="T402" s="36" t="str">
        <f t="shared" si="92"/>
        <v>Desempenho Ótimo</v>
      </c>
      <c r="U402" s="6">
        <f t="shared" si="95"/>
        <v>0.23278475191631845</v>
      </c>
      <c r="V402" s="6">
        <f t="shared" si="95"/>
        <v>0.51017789992422413</v>
      </c>
      <c r="W402" s="6">
        <f t="shared" si="95"/>
        <v>-4.460839609158726E-2</v>
      </c>
      <c r="X402" s="6">
        <f t="shared" si="95"/>
        <v>9.4088177912365595E-2</v>
      </c>
      <c r="Y402" s="6">
        <f t="shared" si="95"/>
        <v>0.27739314800790571</v>
      </c>
    </row>
    <row r="403" spans="1:25" x14ac:dyDescent="0.25">
      <c r="A403" s="7" t="s">
        <v>122</v>
      </c>
      <c r="B403" s="7" t="s">
        <v>163</v>
      </c>
      <c r="C403" s="74">
        <v>75</v>
      </c>
      <c r="D403" s="74">
        <v>41</v>
      </c>
      <c r="E403" s="71">
        <f t="shared" si="88"/>
        <v>0.54666666666666663</v>
      </c>
      <c r="F403" s="65" t="str">
        <f t="shared" si="90"/>
        <v>Desempenho Bom</v>
      </c>
      <c r="G403" s="71">
        <f t="shared" si="94"/>
        <v>0.54231176602906361</v>
      </c>
      <c r="H403" s="71">
        <f t="shared" si="94"/>
        <v>0.92735502699565786</v>
      </c>
      <c r="I403" s="71">
        <f t="shared" si="94"/>
        <v>0.15726850506246942</v>
      </c>
      <c r="J403" s="75">
        <v>35000</v>
      </c>
      <c r="K403" s="75">
        <v>0</v>
      </c>
      <c r="L403" s="6">
        <f>(SUM(K398:K403))/J402</f>
        <v>0.25805714285714287</v>
      </c>
      <c r="M403" s="36" t="str">
        <f t="shared" si="91"/>
        <v>Desempenho Médio</v>
      </c>
      <c r="N403" s="6">
        <f t="shared" si="93"/>
        <v>0.31451673641638933</v>
      </c>
      <c r="O403" s="6">
        <f t="shared" si="93"/>
        <v>0.80702132782766356</v>
      </c>
      <c r="P403" s="6">
        <f t="shared" si="93"/>
        <v>-0.1779878549948849</v>
      </c>
      <c r="Q403" s="75">
        <v>43</v>
      </c>
      <c r="R403" s="76">
        <v>53</v>
      </c>
      <c r="S403" s="6">
        <f t="shared" si="89"/>
        <v>1.2325581395348837</v>
      </c>
      <c r="T403" s="36" t="str">
        <f t="shared" si="92"/>
        <v>Desempenho Ótimo</v>
      </c>
      <c r="U403" s="6">
        <f t="shared" si="95"/>
        <v>0.46105014853915682</v>
      </c>
      <c r="V403" s="6">
        <f t="shared" si="95"/>
        <v>0.84756736419379908</v>
      </c>
      <c r="W403" s="6">
        <f t="shared" si="95"/>
        <v>7.4532932884514569E-2</v>
      </c>
      <c r="X403" s="6">
        <f t="shared" si="95"/>
        <v>7.4532932884514569E-2</v>
      </c>
      <c r="Y403" s="6">
        <f t="shared" si="95"/>
        <v>0.38651721565464225</v>
      </c>
    </row>
    <row r="404" spans="1:25" x14ac:dyDescent="0.25">
      <c r="A404" s="7" t="s">
        <v>122</v>
      </c>
      <c r="B404" s="7" t="s">
        <v>164</v>
      </c>
      <c r="C404" s="74">
        <v>75</v>
      </c>
      <c r="D404" s="74">
        <v>41</v>
      </c>
      <c r="E404" s="71">
        <f t="shared" si="88"/>
        <v>0.54666666666666663</v>
      </c>
      <c r="F404" s="65" t="str">
        <f t="shared" si="90"/>
        <v>Desempenho Médio</v>
      </c>
      <c r="G404" s="71">
        <f t="shared" si="94"/>
        <v>0.63634637719050002</v>
      </c>
      <c r="H404" s="71">
        <f t="shared" si="94"/>
        <v>1.0512878703900039</v>
      </c>
      <c r="I404" s="71">
        <f t="shared" si="94"/>
        <v>0.22140488399099606</v>
      </c>
      <c r="J404" s="75">
        <v>35000</v>
      </c>
      <c r="K404" s="75">
        <v>0</v>
      </c>
      <c r="L404" s="6">
        <f>(SUM(K398:K404))/J403</f>
        <v>0.25805714285714287</v>
      </c>
      <c r="M404" s="36" t="str">
        <f t="shared" si="91"/>
        <v>Desempenho Médio</v>
      </c>
      <c r="N404" s="6">
        <f t="shared" si="93"/>
        <v>0.38334713342809434</v>
      </c>
      <c r="O404" s="6">
        <f t="shared" si="93"/>
        <v>0.88375935483946089</v>
      </c>
      <c r="P404" s="6">
        <f t="shared" si="93"/>
        <v>-0.1170650879832722</v>
      </c>
      <c r="Q404" s="75">
        <v>43</v>
      </c>
      <c r="R404" s="76">
        <v>53</v>
      </c>
      <c r="S404" s="6">
        <f t="shared" si="89"/>
        <v>1.2325581395348837</v>
      </c>
      <c r="T404" s="36" t="str">
        <f t="shared" si="92"/>
        <v>Desempenho Ótimo</v>
      </c>
      <c r="U404" s="6">
        <f t="shared" si="95"/>
        <v>0.46105014853915682</v>
      </c>
      <c r="V404" s="6">
        <f t="shared" si="95"/>
        <v>0.84756736419379908</v>
      </c>
      <c r="W404" s="6">
        <f t="shared" si="95"/>
        <v>7.4532932884514569E-2</v>
      </c>
      <c r="X404" s="6">
        <f t="shared" si="95"/>
        <v>7.4532932884514569E-2</v>
      </c>
      <c r="Y404" s="6">
        <f t="shared" si="95"/>
        <v>0.38651721565464225</v>
      </c>
    </row>
    <row r="405" spans="1:25" x14ac:dyDescent="0.25">
      <c r="A405" s="7" t="s">
        <v>122</v>
      </c>
      <c r="B405" s="7" t="s">
        <v>165</v>
      </c>
      <c r="C405" s="74">
        <v>75</v>
      </c>
      <c r="D405" s="74">
        <v>41</v>
      </c>
      <c r="E405" s="71">
        <f t="shared" si="88"/>
        <v>0.54666666666666663</v>
      </c>
      <c r="F405" s="65" t="str">
        <f t="shared" si="90"/>
        <v>Desempenho Médio</v>
      </c>
      <c r="G405" s="71">
        <f t="shared" si="94"/>
        <v>0.70660866675940681</v>
      </c>
      <c r="H405" s="71">
        <f t="shared" si="94"/>
        <v>1.1341225514190425</v>
      </c>
      <c r="I405" s="71">
        <f t="shared" si="94"/>
        <v>0.27909478209977112</v>
      </c>
      <c r="J405" s="75">
        <v>35000</v>
      </c>
      <c r="K405" s="75">
        <v>0</v>
      </c>
      <c r="L405" s="6">
        <f>(SUM(K398:K405))/J404</f>
        <v>0.25805714285714287</v>
      </c>
      <c r="M405" s="36" t="str">
        <f t="shared" si="91"/>
        <v>Desempenho Médio</v>
      </c>
      <c r="N405" s="6">
        <f t="shared" si="93"/>
        <v>0.45719521320533213</v>
      </c>
      <c r="O405" s="6">
        <f t="shared" si="93"/>
        <v>0.97356755068321044</v>
      </c>
      <c r="P405" s="6">
        <f t="shared" si="93"/>
        <v>-5.9177124272546122E-2</v>
      </c>
      <c r="Q405" s="75">
        <v>43</v>
      </c>
      <c r="R405" s="76">
        <v>53</v>
      </c>
      <c r="S405" s="6">
        <f t="shared" si="89"/>
        <v>1.2325581395348837</v>
      </c>
      <c r="T405" s="36" t="str">
        <f t="shared" si="92"/>
        <v>Desempenho Ótimo</v>
      </c>
      <c r="U405" s="6">
        <f t="shared" si="95"/>
        <v>0.46105014853915682</v>
      </c>
      <c r="V405" s="6">
        <f t="shared" si="95"/>
        <v>0.84756736419379908</v>
      </c>
      <c r="W405" s="6">
        <f t="shared" si="95"/>
        <v>7.4532932884514569E-2</v>
      </c>
      <c r="X405" s="6">
        <f t="shared" si="95"/>
        <v>7.4532932884514569E-2</v>
      </c>
      <c r="Y405" s="6">
        <f t="shared" si="95"/>
        <v>0.38651721565464225</v>
      </c>
    </row>
    <row r="406" spans="1:25" x14ac:dyDescent="0.25">
      <c r="A406" s="7" t="s">
        <v>122</v>
      </c>
      <c r="B406" s="7" t="s">
        <v>166</v>
      </c>
      <c r="C406" s="74">
        <v>75</v>
      </c>
      <c r="D406" s="74">
        <v>41</v>
      </c>
      <c r="E406" s="71">
        <f t="shared" si="88"/>
        <v>0.54666666666666663</v>
      </c>
      <c r="F406" s="65" t="str">
        <f t="shared" si="90"/>
        <v>Desempenho Médio</v>
      </c>
      <c r="G406" s="71">
        <f t="shared" si="94"/>
        <v>0.73663014244586189</v>
      </c>
      <c r="H406" s="71">
        <f t="shared" si="94"/>
        <v>1.1737360935948695</v>
      </c>
      <c r="I406" s="71">
        <f t="shared" si="94"/>
        <v>0.29952419129685426</v>
      </c>
      <c r="J406" s="75">
        <v>35000</v>
      </c>
      <c r="K406" s="75">
        <v>0</v>
      </c>
      <c r="L406" s="6">
        <f>(SUM(K398:K406))/J405</f>
        <v>0.25805714285714287</v>
      </c>
      <c r="M406" s="36" t="str">
        <f t="shared" si="91"/>
        <v>Desempenho Médio</v>
      </c>
      <c r="N406" s="6">
        <f t="shared" ref="N406:P421" si="96">N394</f>
        <v>0.50336729135060976</v>
      </c>
      <c r="O406" s="6">
        <f t="shared" si="96"/>
        <v>1.0150591886201059</v>
      </c>
      <c r="P406" s="6">
        <f t="shared" si="96"/>
        <v>-8.3246059188863963E-3</v>
      </c>
      <c r="Q406" s="75">
        <v>43</v>
      </c>
      <c r="R406" s="76">
        <v>53</v>
      </c>
      <c r="S406" s="6">
        <f t="shared" si="89"/>
        <v>1.2325581395348837</v>
      </c>
      <c r="T406" s="36" t="str">
        <f t="shared" si="92"/>
        <v>Desempenho Ótimo</v>
      </c>
      <c r="U406" s="6">
        <f t="shared" si="95"/>
        <v>0.74232771533595698</v>
      </c>
      <c r="V406" s="6">
        <f t="shared" si="95"/>
        <v>1.1540802341555996</v>
      </c>
      <c r="W406" s="6">
        <f t="shared" si="95"/>
        <v>0.33057519651631434</v>
      </c>
      <c r="X406" s="6">
        <f t="shared" si="95"/>
        <v>0.33057519651631434</v>
      </c>
      <c r="Y406" s="6">
        <f t="shared" si="95"/>
        <v>0.41175251881964264</v>
      </c>
    </row>
    <row r="407" spans="1:25" x14ac:dyDescent="0.25">
      <c r="A407" s="7" t="s">
        <v>122</v>
      </c>
      <c r="B407" s="7" t="s">
        <v>167</v>
      </c>
      <c r="C407" s="74">
        <v>75</v>
      </c>
      <c r="D407" s="74">
        <v>41</v>
      </c>
      <c r="E407" s="71">
        <f t="shared" si="88"/>
        <v>0.54666666666666663</v>
      </c>
      <c r="F407" s="65" t="str">
        <f t="shared" si="90"/>
        <v>Desempenho Médio</v>
      </c>
      <c r="G407" s="71">
        <f t="shared" si="94"/>
        <v>0.82061442726694189</v>
      </c>
      <c r="H407" s="71">
        <f t="shared" si="94"/>
        <v>1.2607833515834532</v>
      </c>
      <c r="I407" s="71">
        <f t="shared" si="94"/>
        <v>0.38044550295043061</v>
      </c>
      <c r="J407" s="75">
        <v>35000</v>
      </c>
      <c r="K407" s="75">
        <v>0</v>
      </c>
      <c r="L407" s="6">
        <f>(SUM(K398:K407))/J406</f>
        <v>0.25805714285714287</v>
      </c>
      <c r="M407" s="36" t="str">
        <f t="shared" si="91"/>
        <v>Desempenho Médio</v>
      </c>
      <c r="N407" s="6">
        <f t="shared" si="96"/>
        <v>0.58006775555216661</v>
      </c>
      <c r="O407" s="6">
        <f t="shared" si="96"/>
        <v>1.099948635873619</v>
      </c>
      <c r="P407" s="6">
        <f t="shared" si="96"/>
        <v>6.0186875230714088E-2</v>
      </c>
      <c r="Q407" s="75">
        <v>43</v>
      </c>
      <c r="R407" s="76">
        <v>53</v>
      </c>
      <c r="S407" s="6">
        <f t="shared" si="89"/>
        <v>1.2325581395348837</v>
      </c>
      <c r="T407" s="36" t="str">
        <f t="shared" si="92"/>
        <v>Desempenho Bom</v>
      </c>
      <c r="U407" s="6">
        <f t="shared" si="95"/>
        <v>0.82347447721763523</v>
      </c>
      <c r="V407" s="6">
        <f t="shared" si="95"/>
        <v>1.2398542522675045</v>
      </c>
      <c r="W407" s="6">
        <f t="shared" si="95"/>
        <v>0.40709470216776611</v>
      </c>
      <c r="X407" s="6">
        <f t="shared" si="95"/>
        <v>0.40709470216776611</v>
      </c>
      <c r="Y407" s="6">
        <f t="shared" si="95"/>
        <v>0.41637977504986912</v>
      </c>
    </row>
    <row r="408" spans="1:25" x14ac:dyDescent="0.25">
      <c r="A408" s="7" t="s">
        <v>122</v>
      </c>
      <c r="B408" s="7" t="s">
        <v>168</v>
      </c>
      <c r="C408" s="74">
        <v>75</v>
      </c>
      <c r="D408" s="74">
        <v>53</v>
      </c>
      <c r="E408" s="71">
        <f t="shared" si="88"/>
        <v>0.70666666666666667</v>
      </c>
      <c r="F408" s="65" t="str">
        <f t="shared" si="90"/>
        <v>Desempenho Médio</v>
      </c>
      <c r="G408" s="71">
        <f t="shared" si="94"/>
        <v>0.94582556715526966</v>
      </c>
      <c r="H408" s="71">
        <f t="shared" si="94"/>
        <v>1.4311117173682604</v>
      </c>
      <c r="I408" s="71">
        <f t="shared" si="94"/>
        <v>0.46053941694227907</v>
      </c>
      <c r="J408" s="75">
        <v>35000</v>
      </c>
      <c r="K408" s="75">
        <v>800</v>
      </c>
      <c r="L408" s="6">
        <f>(SUM(K398:K408))/J407</f>
        <v>0.28091428571428573</v>
      </c>
      <c r="M408" s="36" t="str">
        <f t="shared" si="91"/>
        <v>Desempenho Médio</v>
      </c>
      <c r="N408" s="6">
        <f t="shared" si="96"/>
        <v>0.72282137340514951</v>
      </c>
      <c r="O408" s="6">
        <f t="shared" si="96"/>
        <v>1.2463651595014014</v>
      </c>
      <c r="P408" s="6">
        <f t="shared" si="96"/>
        <v>0.19927758730889755</v>
      </c>
      <c r="Q408" s="75">
        <v>43</v>
      </c>
      <c r="R408" s="76">
        <v>94</v>
      </c>
      <c r="S408" s="6">
        <f t="shared" si="89"/>
        <v>2.1860465116279069</v>
      </c>
      <c r="T408" s="36" t="str">
        <f t="shared" si="92"/>
        <v>Desempenho Ótimo</v>
      </c>
      <c r="U408" s="6">
        <f t="shared" si="95"/>
        <v>0.91825333306001944</v>
      </c>
      <c r="V408" s="6">
        <f t="shared" si="95"/>
        <v>1.402047931898428</v>
      </c>
      <c r="W408" s="6">
        <f t="shared" si="95"/>
        <v>0.43445873422161085</v>
      </c>
      <c r="X408" s="6">
        <f t="shared" si="95"/>
        <v>0.43445873422161085</v>
      </c>
      <c r="Y408" s="6">
        <f t="shared" si="95"/>
        <v>0.48379459883840858</v>
      </c>
    </row>
    <row r="409" spans="1:25" x14ac:dyDescent="0.25">
      <c r="A409" s="7" t="s">
        <v>122</v>
      </c>
      <c r="B409" s="7" t="s">
        <v>169</v>
      </c>
      <c r="C409" s="74">
        <v>75</v>
      </c>
      <c r="D409" s="74">
        <v>65</v>
      </c>
      <c r="E409" s="71">
        <f t="shared" si="88"/>
        <v>0.8666666666666667</v>
      </c>
      <c r="F409" s="65" t="str">
        <f t="shared" si="90"/>
        <v>Desempenho Médio</v>
      </c>
      <c r="G409" s="71">
        <f t="shared" si="94"/>
        <v>1.0016849877757958</v>
      </c>
      <c r="H409" s="71">
        <f t="shared" si="94"/>
        <v>1.521489991464148</v>
      </c>
      <c r="I409" s="71">
        <f t="shared" si="94"/>
        <v>0.48187998408744359</v>
      </c>
      <c r="J409" s="75">
        <v>35000</v>
      </c>
      <c r="K409" s="75">
        <v>3500</v>
      </c>
      <c r="L409" s="6">
        <f>(SUM(K398:K409))/J408</f>
        <v>0.38091428571428571</v>
      </c>
      <c r="M409" s="36" t="str">
        <f t="shared" si="91"/>
        <v>Desempenho Médio</v>
      </c>
      <c r="N409" s="6">
        <f t="shared" si="96"/>
        <v>0.82421983567812696</v>
      </c>
      <c r="O409" s="6">
        <f t="shared" si="96"/>
        <v>1.3730394926064369</v>
      </c>
      <c r="P409" s="6">
        <f t="shared" si="96"/>
        <v>0.27540017874981693</v>
      </c>
      <c r="Q409" s="75">
        <v>43</v>
      </c>
      <c r="R409" s="76">
        <v>94</v>
      </c>
      <c r="S409" s="6">
        <f t="shared" si="89"/>
        <v>2.1860465116279069</v>
      </c>
      <c r="T409" s="36" t="str">
        <f t="shared" si="92"/>
        <v>Desempenho Ótimo</v>
      </c>
      <c r="U409" s="6">
        <f t="shared" si="95"/>
        <v>0.91825333306001944</v>
      </c>
      <c r="V409" s="6">
        <f t="shared" si="95"/>
        <v>1.402047931898428</v>
      </c>
      <c r="W409" s="6">
        <f t="shared" si="95"/>
        <v>0.43445873422161085</v>
      </c>
      <c r="X409" s="6">
        <f t="shared" si="95"/>
        <v>0.43445873422161085</v>
      </c>
      <c r="Y409" s="6">
        <f t="shared" si="95"/>
        <v>0.48379459883840858</v>
      </c>
    </row>
    <row r="410" spans="1:25" x14ac:dyDescent="0.25">
      <c r="A410" s="7" t="s">
        <v>90</v>
      </c>
      <c r="B410" s="7" t="s">
        <v>158</v>
      </c>
      <c r="C410" s="74">
        <v>0</v>
      </c>
      <c r="D410" s="74">
        <v>0</v>
      </c>
      <c r="E410" s="71" t="e">
        <f t="shared" si="88"/>
        <v>#DIV/0!</v>
      </c>
      <c r="F410" s="65" t="e">
        <f t="shared" si="90"/>
        <v>#DIV/0!</v>
      </c>
      <c r="G410" s="71">
        <f t="shared" si="94"/>
        <v>0.11573204891712785</v>
      </c>
      <c r="H410" s="71">
        <f t="shared" si="94"/>
        <v>0.30218524997148988</v>
      </c>
      <c r="I410" s="71">
        <f t="shared" si="94"/>
        <v>-7.0721152137234206E-2</v>
      </c>
      <c r="J410" s="75">
        <v>0</v>
      </c>
      <c r="K410" s="75">
        <v>0</v>
      </c>
      <c r="L410" s="6" t="e">
        <f>K410/J410</f>
        <v>#DIV/0!</v>
      </c>
      <c r="M410" s="36" t="e">
        <f t="shared" si="91"/>
        <v>#DIV/0!</v>
      </c>
      <c r="N410" s="6">
        <f t="shared" si="96"/>
        <v>0.11129468122233216</v>
      </c>
      <c r="O410" s="6">
        <f t="shared" si="96"/>
        <v>0.54990456699293522</v>
      </c>
      <c r="P410" s="6">
        <f t="shared" si="96"/>
        <v>-0.32731520454827095</v>
      </c>
      <c r="Q410" s="75">
        <v>0</v>
      </c>
      <c r="R410" s="76">
        <v>0</v>
      </c>
      <c r="S410" s="6" t="e">
        <f t="shared" si="89"/>
        <v>#DIV/0!</v>
      </c>
      <c r="T410" s="36" t="e">
        <f t="shared" si="92"/>
        <v>#DIV/0!</v>
      </c>
      <c r="U410" s="6">
        <f t="shared" si="95"/>
        <v>6.5053670194766225E-2</v>
      </c>
      <c r="V410" s="6">
        <f t="shared" si="95"/>
        <v>0.16010348962314203</v>
      </c>
      <c r="W410" s="6">
        <f t="shared" si="95"/>
        <v>-2.9996149233609562E-2</v>
      </c>
      <c r="X410" s="6">
        <f t="shared" si="95"/>
        <v>1.7528760480578331E-2</v>
      </c>
      <c r="Y410" s="6">
        <f t="shared" si="95"/>
        <v>9.5049819428375787E-2</v>
      </c>
    </row>
    <row r="411" spans="1:25" x14ac:dyDescent="0.25">
      <c r="A411" s="7" t="s">
        <v>90</v>
      </c>
      <c r="B411" s="7" t="s">
        <v>159</v>
      </c>
      <c r="C411" s="74">
        <v>0</v>
      </c>
      <c r="D411" s="74">
        <v>0</v>
      </c>
      <c r="E411" s="71" t="e">
        <f t="shared" si="88"/>
        <v>#DIV/0!</v>
      </c>
      <c r="F411" s="65" t="e">
        <f t="shared" si="90"/>
        <v>#DIV/0!</v>
      </c>
      <c r="G411" s="71">
        <f t="shared" si="94"/>
        <v>0.22598075676513599</v>
      </c>
      <c r="H411" s="71">
        <f t="shared" si="94"/>
        <v>0.51894873552035481</v>
      </c>
      <c r="I411" s="71">
        <f t="shared" si="94"/>
        <v>-6.6987221990082807E-2</v>
      </c>
      <c r="J411" s="75">
        <v>0</v>
      </c>
      <c r="K411" s="75">
        <v>0</v>
      </c>
      <c r="L411" s="6" t="e">
        <f>(SUM(K410:K411))/J410</f>
        <v>#DIV/0!</v>
      </c>
      <c r="M411" s="36" t="e">
        <f t="shared" si="91"/>
        <v>#DIV/0!</v>
      </c>
      <c r="N411" s="6">
        <f t="shared" si="96"/>
        <v>0.14992070801509372</v>
      </c>
      <c r="O411" s="6">
        <f t="shared" si="96"/>
        <v>0.58968599072326611</v>
      </c>
      <c r="P411" s="6">
        <f t="shared" si="96"/>
        <v>-0.28984457469307867</v>
      </c>
      <c r="Q411" s="75">
        <v>0</v>
      </c>
      <c r="R411" s="76">
        <v>0</v>
      </c>
      <c r="S411" s="6" t="e">
        <f t="shared" si="89"/>
        <v>#DIV/0!</v>
      </c>
      <c r="T411" s="36" t="e">
        <f t="shared" si="92"/>
        <v>#DIV/0!</v>
      </c>
      <c r="U411" s="6">
        <f t="shared" si="95"/>
        <v>6.5053670194766225E-2</v>
      </c>
      <c r="V411" s="6">
        <f t="shared" si="95"/>
        <v>0.16010348962314203</v>
      </c>
      <c r="W411" s="6">
        <f t="shared" si="95"/>
        <v>-2.9996149233609562E-2</v>
      </c>
      <c r="X411" s="6">
        <f t="shared" si="95"/>
        <v>1.7528760480578331E-2</v>
      </c>
      <c r="Y411" s="6">
        <f t="shared" si="95"/>
        <v>9.5049819428375787E-2</v>
      </c>
    </row>
    <row r="412" spans="1:25" x14ac:dyDescent="0.25">
      <c r="A412" s="7" t="s">
        <v>90</v>
      </c>
      <c r="B412" s="7" t="s">
        <v>160</v>
      </c>
      <c r="C412" s="74">
        <v>0</v>
      </c>
      <c r="D412" s="74">
        <v>0</v>
      </c>
      <c r="E412" s="71" t="e">
        <f t="shared" si="88"/>
        <v>#DIV/0!</v>
      </c>
      <c r="F412" s="65" t="e">
        <f t="shared" si="90"/>
        <v>#DIV/0!</v>
      </c>
      <c r="G412" s="71">
        <f t="shared" si="94"/>
        <v>0.2827891266215985</v>
      </c>
      <c r="H412" s="71">
        <f t="shared" si="94"/>
        <v>0.59134445337262298</v>
      </c>
      <c r="I412" s="71">
        <f t="shared" si="94"/>
        <v>-2.5766200129425987E-2</v>
      </c>
      <c r="J412" s="75">
        <v>0</v>
      </c>
      <c r="K412" s="75">
        <v>0</v>
      </c>
      <c r="L412" s="6" t="e">
        <f>(SUM(K410:K412))/J411</f>
        <v>#DIV/0!</v>
      </c>
      <c r="M412" s="36" t="e">
        <f t="shared" si="91"/>
        <v>#DIV/0!</v>
      </c>
      <c r="N412" s="6">
        <f t="shared" si="96"/>
        <v>0.17723994755342617</v>
      </c>
      <c r="O412" s="6">
        <f t="shared" si="96"/>
        <v>0.61473682715667155</v>
      </c>
      <c r="P412" s="6">
        <f t="shared" si="96"/>
        <v>-0.26025693204981915</v>
      </c>
      <c r="Q412" s="75">
        <v>0</v>
      </c>
      <c r="R412" s="76">
        <v>0</v>
      </c>
      <c r="S412" s="6" t="e">
        <f t="shared" si="89"/>
        <v>#DIV/0!</v>
      </c>
      <c r="T412" s="36" t="e">
        <f t="shared" si="92"/>
        <v>#DIV/0!</v>
      </c>
      <c r="U412" s="6">
        <f t="shared" si="95"/>
        <v>0.18401218302179842</v>
      </c>
      <c r="V412" s="6">
        <f t="shared" si="95"/>
        <v>0.37883088095577799</v>
      </c>
      <c r="W412" s="6">
        <f t="shared" si="95"/>
        <v>-1.0806514912181153E-2</v>
      </c>
      <c r="X412" s="6">
        <f t="shared" si="95"/>
        <v>8.6602834054808633E-2</v>
      </c>
      <c r="Y412" s="6">
        <f t="shared" si="95"/>
        <v>0.19481869793397957</v>
      </c>
    </row>
    <row r="413" spans="1:25" x14ac:dyDescent="0.25">
      <c r="A413" s="7" t="s">
        <v>90</v>
      </c>
      <c r="B413" s="7" t="s">
        <v>161</v>
      </c>
      <c r="C413" s="74">
        <v>0</v>
      </c>
      <c r="D413" s="74">
        <v>0</v>
      </c>
      <c r="E413" s="71" t="e">
        <f t="shared" si="88"/>
        <v>#DIV/0!</v>
      </c>
      <c r="F413" s="65" t="e">
        <f t="shared" si="90"/>
        <v>#DIV/0!</v>
      </c>
      <c r="G413" s="71">
        <f t="shared" si="94"/>
        <v>0.36222496935690102</v>
      </c>
      <c r="H413" s="71">
        <f t="shared" si="94"/>
        <v>0.67917151968337719</v>
      </c>
      <c r="I413" s="71">
        <f t="shared" si="94"/>
        <v>4.5278419030424844E-2</v>
      </c>
      <c r="J413" s="75">
        <v>0</v>
      </c>
      <c r="K413" s="75">
        <v>0</v>
      </c>
      <c r="L413" s="6" t="e">
        <f>(SUM(K410:K413))/J412</f>
        <v>#DIV/0!</v>
      </c>
      <c r="M413" s="36" t="e">
        <f t="shared" si="91"/>
        <v>#DIV/0!</v>
      </c>
      <c r="N413" s="6">
        <f t="shared" si="96"/>
        <v>0.2271654986777647</v>
      </c>
      <c r="O413" s="6">
        <f t="shared" si="96"/>
        <v>0.71582389712396544</v>
      </c>
      <c r="P413" s="6">
        <f t="shared" si="96"/>
        <v>-0.26149289976843598</v>
      </c>
      <c r="Q413" s="75">
        <v>0</v>
      </c>
      <c r="R413" s="76">
        <v>0</v>
      </c>
      <c r="S413" s="6" t="e">
        <f t="shared" si="89"/>
        <v>#DIV/0!</v>
      </c>
      <c r="T413" s="36" t="e">
        <f t="shared" si="92"/>
        <v>#DIV/0!</v>
      </c>
      <c r="U413" s="6">
        <f t="shared" si="95"/>
        <v>0.18401218302179842</v>
      </c>
      <c r="V413" s="6">
        <f t="shared" si="95"/>
        <v>0.37883088095577799</v>
      </c>
      <c r="W413" s="6">
        <f t="shared" si="95"/>
        <v>-1.0806514912181153E-2</v>
      </c>
      <c r="X413" s="6">
        <f t="shared" si="95"/>
        <v>8.6602834054808633E-2</v>
      </c>
      <c r="Y413" s="6">
        <f t="shared" si="95"/>
        <v>0.19481869793397957</v>
      </c>
    </row>
    <row r="414" spans="1:25" x14ac:dyDescent="0.25">
      <c r="A414" s="7" t="s">
        <v>90</v>
      </c>
      <c r="B414" s="7" t="s">
        <v>162</v>
      </c>
      <c r="C414" s="74">
        <v>0</v>
      </c>
      <c r="D414" s="74">
        <v>0</v>
      </c>
      <c r="E414" s="71" t="e">
        <f t="shared" si="88"/>
        <v>#DIV/0!</v>
      </c>
      <c r="F414" s="65" t="e">
        <f t="shared" si="90"/>
        <v>#DIV/0!</v>
      </c>
      <c r="G414" s="71">
        <f t="shared" si="94"/>
        <v>0.44825178806664662</v>
      </c>
      <c r="H414" s="71">
        <f t="shared" si="94"/>
        <v>0.78548221403733831</v>
      </c>
      <c r="I414" s="71">
        <f t="shared" si="94"/>
        <v>0.11102136209595498</v>
      </c>
      <c r="J414" s="75">
        <v>0</v>
      </c>
      <c r="K414" s="75">
        <v>0</v>
      </c>
      <c r="L414" s="6" t="e">
        <f>(SUM(K410:K414))/J413</f>
        <v>#DIV/0!</v>
      </c>
      <c r="M414" s="36" t="e">
        <f t="shared" si="91"/>
        <v>#DIV/0!</v>
      </c>
      <c r="N414" s="6">
        <f t="shared" si="96"/>
        <v>0.27284258705105507</v>
      </c>
      <c r="O414" s="6">
        <f t="shared" si="96"/>
        <v>0.75981161093062477</v>
      </c>
      <c r="P414" s="6">
        <f t="shared" si="96"/>
        <v>-0.21412643682851468</v>
      </c>
      <c r="Q414" s="75">
        <v>0</v>
      </c>
      <c r="R414" s="76">
        <v>0</v>
      </c>
      <c r="S414" s="6" t="e">
        <f t="shared" si="89"/>
        <v>#DIV/0!</v>
      </c>
      <c r="T414" s="36" t="e">
        <f t="shared" si="92"/>
        <v>#DIV/0!</v>
      </c>
      <c r="U414" s="6">
        <f t="shared" si="95"/>
        <v>0.23278475191631845</v>
      </c>
      <c r="V414" s="6">
        <f t="shared" si="95"/>
        <v>0.51017789992422413</v>
      </c>
      <c r="W414" s="6">
        <f t="shared" si="95"/>
        <v>-4.460839609158726E-2</v>
      </c>
      <c r="X414" s="6">
        <f t="shared" si="95"/>
        <v>9.4088177912365595E-2</v>
      </c>
      <c r="Y414" s="6">
        <f t="shared" si="95"/>
        <v>0.27739314800790571</v>
      </c>
    </row>
    <row r="415" spans="1:25" x14ac:dyDescent="0.25">
      <c r="A415" s="7" t="s">
        <v>90</v>
      </c>
      <c r="B415" s="7" t="s">
        <v>163</v>
      </c>
      <c r="C415" s="74">
        <v>0</v>
      </c>
      <c r="D415" s="74">
        <v>0</v>
      </c>
      <c r="E415" s="71" t="e">
        <f t="shared" si="88"/>
        <v>#DIV/0!</v>
      </c>
      <c r="F415" s="65" t="e">
        <f t="shared" si="90"/>
        <v>#DIV/0!</v>
      </c>
      <c r="G415" s="71">
        <f t="shared" si="94"/>
        <v>0.54231176602906361</v>
      </c>
      <c r="H415" s="71">
        <f t="shared" si="94"/>
        <v>0.92735502699565786</v>
      </c>
      <c r="I415" s="71">
        <f t="shared" si="94"/>
        <v>0.15726850506246942</v>
      </c>
      <c r="J415" s="75">
        <v>0</v>
      </c>
      <c r="K415" s="75">
        <v>0</v>
      </c>
      <c r="L415" s="6" t="e">
        <f>(SUM(K410:K415))/J414</f>
        <v>#DIV/0!</v>
      </c>
      <c r="M415" s="36" t="e">
        <f t="shared" si="91"/>
        <v>#DIV/0!</v>
      </c>
      <c r="N415" s="6">
        <f t="shared" si="96"/>
        <v>0.31451673641638933</v>
      </c>
      <c r="O415" s="6">
        <f t="shared" si="96"/>
        <v>0.80702132782766356</v>
      </c>
      <c r="P415" s="6">
        <f t="shared" si="96"/>
        <v>-0.1779878549948849</v>
      </c>
      <c r="Q415" s="75">
        <v>0</v>
      </c>
      <c r="R415" s="76">
        <v>0</v>
      </c>
      <c r="S415" s="6" t="e">
        <f t="shared" si="89"/>
        <v>#DIV/0!</v>
      </c>
      <c r="T415" s="36" t="e">
        <f t="shared" si="92"/>
        <v>#DIV/0!</v>
      </c>
      <c r="U415" s="6">
        <f t="shared" ref="U415:Y430" si="97">U403</f>
        <v>0.46105014853915682</v>
      </c>
      <c r="V415" s="6">
        <f t="shared" si="97"/>
        <v>0.84756736419379908</v>
      </c>
      <c r="W415" s="6">
        <f t="shared" si="97"/>
        <v>7.4532932884514569E-2</v>
      </c>
      <c r="X415" s="6">
        <f t="shared" si="97"/>
        <v>7.4532932884514569E-2</v>
      </c>
      <c r="Y415" s="6">
        <f t="shared" si="97"/>
        <v>0.38651721565464225</v>
      </c>
    </row>
    <row r="416" spans="1:25" x14ac:dyDescent="0.25">
      <c r="A416" s="7" t="s">
        <v>90</v>
      </c>
      <c r="B416" s="7" t="s">
        <v>164</v>
      </c>
      <c r="C416" s="74">
        <v>0</v>
      </c>
      <c r="D416" s="74">
        <v>0</v>
      </c>
      <c r="E416" s="71" t="e">
        <f t="shared" si="88"/>
        <v>#DIV/0!</v>
      </c>
      <c r="F416" s="65" t="e">
        <f t="shared" si="90"/>
        <v>#DIV/0!</v>
      </c>
      <c r="G416" s="71">
        <f t="shared" si="94"/>
        <v>0.63634637719050002</v>
      </c>
      <c r="H416" s="71">
        <f t="shared" si="94"/>
        <v>1.0512878703900039</v>
      </c>
      <c r="I416" s="71">
        <f t="shared" si="94"/>
        <v>0.22140488399099606</v>
      </c>
      <c r="J416" s="75">
        <v>0</v>
      </c>
      <c r="K416" s="75">
        <v>0</v>
      </c>
      <c r="L416" s="6" t="e">
        <f>(SUM(K410:K416))/J415</f>
        <v>#DIV/0!</v>
      </c>
      <c r="M416" s="36" t="e">
        <f t="shared" si="91"/>
        <v>#DIV/0!</v>
      </c>
      <c r="N416" s="6">
        <f t="shared" si="96"/>
        <v>0.38334713342809434</v>
      </c>
      <c r="O416" s="6">
        <f t="shared" si="96"/>
        <v>0.88375935483946089</v>
      </c>
      <c r="P416" s="6">
        <f t="shared" si="96"/>
        <v>-0.1170650879832722</v>
      </c>
      <c r="Q416" s="75">
        <v>0</v>
      </c>
      <c r="R416" s="76">
        <v>0</v>
      </c>
      <c r="S416" s="6" t="e">
        <f t="shared" si="89"/>
        <v>#DIV/0!</v>
      </c>
      <c r="T416" s="36" t="e">
        <f t="shared" si="92"/>
        <v>#DIV/0!</v>
      </c>
      <c r="U416" s="6">
        <f t="shared" si="97"/>
        <v>0.46105014853915682</v>
      </c>
      <c r="V416" s="6">
        <f t="shared" si="97"/>
        <v>0.84756736419379908</v>
      </c>
      <c r="W416" s="6">
        <f t="shared" si="97"/>
        <v>7.4532932884514569E-2</v>
      </c>
      <c r="X416" s="6">
        <f t="shared" si="97"/>
        <v>7.4532932884514569E-2</v>
      </c>
      <c r="Y416" s="6">
        <f t="shared" si="97"/>
        <v>0.38651721565464225</v>
      </c>
    </row>
    <row r="417" spans="1:25" x14ac:dyDescent="0.25">
      <c r="A417" s="7" t="s">
        <v>90</v>
      </c>
      <c r="B417" s="7" t="s">
        <v>165</v>
      </c>
      <c r="C417" s="74">
        <v>0</v>
      </c>
      <c r="D417" s="74">
        <v>0</v>
      </c>
      <c r="E417" s="71" t="e">
        <f t="shared" si="88"/>
        <v>#DIV/0!</v>
      </c>
      <c r="F417" s="65" t="e">
        <f t="shared" si="90"/>
        <v>#DIV/0!</v>
      </c>
      <c r="G417" s="71">
        <f t="shared" si="94"/>
        <v>0.70660866675940681</v>
      </c>
      <c r="H417" s="71">
        <f t="shared" si="94"/>
        <v>1.1341225514190425</v>
      </c>
      <c r="I417" s="71">
        <f t="shared" si="94"/>
        <v>0.27909478209977112</v>
      </c>
      <c r="J417" s="75">
        <v>0</v>
      </c>
      <c r="K417" s="75">
        <v>0</v>
      </c>
      <c r="L417" s="6" t="e">
        <f>(SUM(K410:K417))/J416</f>
        <v>#DIV/0!</v>
      </c>
      <c r="M417" s="36" t="e">
        <f t="shared" si="91"/>
        <v>#DIV/0!</v>
      </c>
      <c r="N417" s="6">
        <f t="shared" si="96"/>
        <v>0.45719521320533213</v>
      </c>
      <c r="O417" s="6">
        <f t="shared" si="96"/>
        <v>0.97356755068321044</v>
      </c>
      <c r="P417" s="6">
        <f t="shared" si="96"/>
        <v>-5.9177124272546122E-2</v>
      </c>
      <c r="Q417" s="75">
        <v>0</v>
      </c>
      <c r="R417" s="76">
        <v>0</v>
      </c>
      <c r="S417" s="6" t="e">
        <f t="shared" si="89"/>
        <v>#DIV/0!</v>
      </c>
      <c r="T417" s="36" t="e">
        <f t="shared" si="92"/>
        <v>#DIV/0!</v>
      </c>
      <c r="U417" s="6">
        <f t="shared" si="97"/>
        <v>0.46105014853915682</v>
      </c>
      <c r="V417" s="6">
        <f t="shared" si="97"/>
        <v>0.84756736419379908</v>
      </c>
      <c r="W417" s="6">
        <f t="shared" si="97"/>
        <v>7.4532932884514569E-2</v>
      </c>
      <c r="X417" s="6">
        <f t="shared" si="97"/>
        <v>7.4532932884514569E-2</v>
      </c>
      <c r="Y417" s="6">
        <f t="shared" si="97"/>
        <v>0.38651721565464225</v>
      </c>
    </row>
    <row r="418" spans="1:25" x14ac:dyDescent="0.25">
      <c r="A418" s="7" t="s">
        <v>90</v>
      </c>
      <c r="B418" s="7" t="s">
        <v>166</v>
      </c>
      <c r="C418" s="74">
        <v>0</v>
      </c>
      <c r="D418" s="74">
        <v>0</v>
      </c>
      <c r="E418" s="71" t="e">
        <f t="shared" si="88"/>
        <v>#DIV/0!</v>
      </c>
      <c r="F418" s="65" t="e">
        <f t="shared" si="90"/>
        <v>#DIV/0!</v>
      </c>
      <c r="G418" s="71">
        <f t="shared" si="94"/>
        <v>0.73663014244586189</v>
      </c>
      <c r="H418" s="71">
        <f t="shared" si="94"/>
        <v>1.1737360935948695</v>
      </c>
      <c r="I418" s="71">
        <f t="shared" si="94"/>
        <v>0.29952419129685426</v>
      </c>
      <c r="J418" s="75">
        <v>0</v>
      </c>
      <c r="K418" s="75">
        <v>0</v>
      </c>
      <c r="L418" s="6" t="e">
        <f>(SUM(K410:K418))/J417</f>
        <v>#DIV/0!</v>
      </c>
      <c r="M418" s="36" t="e">
        <f t="shared" si="91"/>
        <v>#DIV/0!</v>
      </c>
      <c r="N418" s="6">
        <f t="shared" si="96"/>
        <v>0.50336729135060976</v>
      </c>
      <c r="O418" s="6">
        <f t="shared" si="96"/>
        <v>1.0150591886201059</v>
      </c>
      <c r="P418" s="6">
        <f t="shared" si="96"/>
        <v>-8.3246059188863963E-3</v>
      </c>
      <c r="Q418" s="75">
        <v>0</v>
      </c>
      <c r="R418" s="76">
        <v>0</v>
      </c>
      <c r="S418" s="6" t="e">
        <f t="shared" si="89"/>
        <v>#DIV/0!</v>
      </c>
      <c r="T418" s="36" t="e">
        <f t="shared" si="92"/>
        <v>#DIV/0!</v>
      </c>
      <c r="U418" s="6">
        <f t="shared" si="97"/>
        <v>0.74232771533595698</v>
      </c>
      <c r="V418" s="6">
        <f t="shared" si="97"/>
        <v>1.1540802341555996</v>
      </c>
      <c r="W418" s="6">
        <f t="shared" si="97"/>
        <v>0.33057519651631434</v>
      </c>
      <c r="X418" s="6">
        <f t="shared" si="97"/>
        <v>0.33057519651631434</v>
      </c>
      <c r="Y418" s="6">
        <f t="shared" si="97"/>
        <v>0.41175251881964264</v>
      </c>
    </row>
    <row r="419" spans="1:25" x14ac:dyDescent="0.25">
      <c r="A419" s="7" t="s">
        <v>90</v>
      </c>
      <c r="B419" s="7" t="s">
        <v>167</v>
      </c>
      <c r="C419" s="74">
        <v>0</v>
      </c>
      <c r="D419" s="74">
        <v>0</v>
      </c>
      <c r="E419" s="71" t="e">
        <f t="shared" si="88"/>
        <v>#DIV/0!</v>
      </c>
      <c r="F419" s="65" t="e">
        <f t="shared" si="90"/>
        <v>#DIV/0!</v>
      </c>
      <c r="G419" s="71">
        <f t="shared" si="94"/>
        <v>0.82061442726694189</v>
      </c>
      <c r="H419" s="71">
        <f t="shared" si="94"/>
        <v>1.2607833515834532</v>
      </c>
      <c r="I419" s="71">
        <f t="shared" si="94"/>
        <v>0.38044550295043061</v>
      </c>
      <c r="J419" s="75">
        <v>0</v>
      </c>
      <c r="K419" s="75">
        <v>0</v>
      </c>
      <c r="L419" s="6" t="e">
        <f>(SUM(K410:K419))/J418</f>
        <v>#DIV/0!</v>
      </c>
      <c r="M419" s="36" t="e">
        <f t="shared" si="91"/>
        <v>#DIV/0!</v>
      </c>
      <c r="N419" s="6">
        <f t="shared" si="96"/>
        <v>0.58006775555216661</v>
      </c>
      <c r="O419" s="6">
        <f t="shared" si="96"/>
        <v>1.099948635873619</v>
      </c>
      <c r="P419" s="6">
        <f t="shared" si="96"/>
        <v>6.0186875230714088E-2</v>
      </c>
      <c r="Q419" s="75">
        <v>0</v>
      </c>
      <c r="R419" s="76">
        <v>0</v>
      </c>
      <c r="S419" s="6" t="e">
        <f t="shared" si="89"/>
        <v>#DIV/0!</v>
      </c>
      <c r="T419" s="36" t="e">
        <f t="shared" si="92"/>
        <v>#DIV/0!</v>
      </c>
      <c r="U419" s="6">
        <f t="shared" si="97"/>
        <v>0.82347447721763523</v>
      </c>
      <c r="V419" s="6">
        <f t="shared" si="97"/>
        <v>1.2398542522675045</v>
      </c>
      <c r="W419" s="6">
        <f t="shared" si="97"/>
        <v>0.40709470216776611</v>
      </c>
      <c r="X419" s="6">
        <f t="shared" si="97"/>
        <v>0.40709470216776611</v>
      </c>
      <c r="Y419" s="6">
        <f t="shared" si="97"/>
        <v>0.41637977504986912</v>
      </c>
    </row>
    <row r="420" spans="1:25" x14ac:dyDescent="0.25">
      <c r="A420" s="7" t="s">
        <v>90</v>
      </c>
      <c r="B420" s="7" t="s">
        <v>168</v>
      </c>
      <c r="C420" s="74">
        <v>0</v>
      </c>
      <c r="D420" s="74">
        <v>0</v>
      </c>
      <c r="E420" s="71" t="e">
        <f t="shared" si="88"/>
        <v>#DIV/0!</v>
      </c>
      <c r="F420" s="65" t="e">
        <f t="shared" si="90"/>
        <v>#DIV/0!</v>
      </c>
      <c r="G420" s="71">
        <f t="shared" si="94"/>
        <v>0.94582556715526966</v>
      </c>
      <c r="H420" s="71">
        <f t="shared" si="94"/>
        <v>1.4311117173682604</v>
      </c>
      <c r="I420" s="71">
        <f t="shared" si="94"/>
        <v>0.46053941694227907</v>
      </c>
      <c r="J420" s="75">
        <v>0</v>
      </c>
      <c r="K420" s="75">
        <v>0</v>
      </c>
      <c r="L420" s="6" t="e">
        <f>(SUM(K410:K420))/J419</f>
        <v>#DIV/0!</v>
      </c>
      <c r="M420" s="36" t="e">
        <f t="shared" si="91"/>
        <v>#DIV/0!</v>
      </c>
      <c r="N420" s="6">
        <f t="shared" si="96"/>
        <v>0.72282137340514951</v>
      </c>
      <c r="O420" s="6">
        <f t="shared" si="96"/>
        <v>1.2463651595014014</v>
      </c>
      <c r="P420" s="6">
        <f t="shared" si="96"/>
        <v>0.19927758730889755</v>
      </c>
      <c r="Q420" s="75">
        <v>0</v>
      </c>
      <c r="R420" s="76">
        <v>0</v>
      </c>
      <c r="S420" s="6" t="e">
        <f t="shared" si="89"/>
        <v>#DIV/0!</v>
      </c>
      <c r="T420" s="36" t="e">
        <f t="shared" si="92"/>
        <v>#DIV/0!</v>
      </c>
      <c r="U420" s="6">
        <f t="shared" si="97"/>
        <v>0.91825333306001944</v>
      </c>
      <c r="V420" s="6">
        <f t="shared" si="97"/>
        <v>1.402047931898428</v>
      </c>
      <c r="W420" s="6">
        <f t="shared" si="97"/>
        <v>0.43445873422161085</v>
      </c>
      <c r="X420" s="6">
        <f t="shared" si="97"/>
        <v>0.43445873422161085</v>
      </c>
      <c r="Y420" s="6">
        <f t="shared" si="97"/>
        <v>0.48379459883840858</v>
      </c>
    </row>
    <row r="421" spans="1:25" x14ac:dyDescent="0.25">
      <c r="A421" s="7" t="s">
        <v>90</v>
      </c>
      <c r="B421" s="7" t="s">
        <v>169</v>
      </c>
      <c r="C421" s="74">
        <v>0</v>
      </c>
      <c r="D421" s="74">
        <v>71</v>
      </c>
      <c r="E421" s="71" t="e">
        <f t="shared" si="88"/>
        <v>#DIV/0!</v>
      </c>
      <c r="F421" s="65" t="e">
        <f t="shared" si="90"/>
        <v>#DIV/0!</v>
      </c>
      <c r="G421" s="71">
        <f t="shared" si="94"/>
        <v>1.0016849877757958</v>
      </c>
      <c r="H421" s="71">
        <f t="shared" si="94"/>
        <v>1.521489991464148</v>
      </c>
      <c r="I421" s="71">
        <f t="shared" si="94"/>
        <v>0.48187998408744359</v>
      </c>
      <c r="J421" s="75">
        <v>0</v>
      </c>
      <c r="K421" s="75">
        <v>0</v>
      </c>
      <c r="L421" s="6" t="e">
        <f>(SUM(K410:K421))/J420</f>
        <v>#DIV/0!</v>
      </c>
      <c r="M421" s="36" t="e">
        <f t="shared" si="91"/>
        <v>#DIV/0!</v>
      </c>
      <c r="N421" s="6">
        <f t="shared" si="96"/>
        <v>0.82421983567812696</v>
      </c>
      <c r="O421" s="6">
        <f t="shared" si="96"/>
        <v>1.3730394926064369</v>
      </c>
      <c r="P421" s="6">
        <f t="shared" si="96"/>
        <v>0.27540017874981693</v>
      </c>
      <c r="Q421" s="75">
        <v>0</v>
      </c>
      <c r="R421" s="76">
        <v>0</v>
      </c>
      <c r="S421" s="6" t="e">
        <f t="shared" si="89"/>
        <v>#DIV/0!</v>
      </c>
      <c r="T421" s="36" t="e">
        <f t="shared" si="92"/>
        <v>#DIV/0!</v>
      </c>
      <c r="U421" s="6">
        <f t="shared" si="97"/>
        <v>0.91825333306001944</v>
      </c>
      <c r="V421" s="6">
        <f t="shared" si="97"/>
        <v>1.402047931898428</v>
      </c>
      <c r="W421" s="6">
        <f t="shared" si="97"/>
        <v>0.43445873422161085</v>
      </c>
      <c r="X421" s="6">
        <f t="shared" si="97"/>
        <v>0.43445873422161085</v>
      </c>
      <c r="Y421" s="6">
        <f t="shared" si="97"/>
        <v>0.48379459883840858</v>
      </c>
    </row>
    <row r="422" spans="1:25" x14ac:dyDescent="0.25">
      <c r="A422" s="7" t="s">
        <v>106</v>
      </c>
      <c r="B422" s="7" t="s">
        <v>158</v>
      </c>
      <c r="C422" s="74">
        <v>0</v>
      </c>
      <c r="D422" s="74">
        <v>0</v>
      </c>
      <c r="E422" s="71" t="e">
        <f t="shared" si="88"/>
        <v>#DIV/0!</v>
      </c>
      <c r="F422" s="65" t="e">
        <f t="shared" si="90"/>
        <v>#DIV/0!</v>
      </c>
      <c r="G422" s="71">
        <f t="shared" si="94"/>
        <v>0.11573204891712785</v>
      </c>
      <c r="H422" s="71">
        <f t="shared" si="94"/>
        <v>0.30218524997148988</v>
      </c>
      <c r="I422" s="71">
        <f t="shared" si="94"/>
        <v>-7.0721152137234206E-2</v>
      </c>
      <c r="J422" s="75">
        <v>0</v>
      </c>
      <c r="K422" s="75">
        <v>0</v>
      </c>
      <c r="L422" s="6" t="e">
        <f>K422/J422</f>
        <v>#DIV/0!</v>
      </c>
      <c r="M422" s="36" t="e">
        <f t="shared" si="91"/>
        <v>#DIV/0!</v>
      </c>
      <c r="N422" s="6">
        <f t="shared" ref="N422:P437" si="98">N410</f>
        <v>0.11129468122233216</v>
      </c>
      <c r="O422" s="6">
        <f t="shared" si="98"/>
        <v>0.54990456699293522</v>
      </c>
      <c r="P422" s="6">
        <f t="shared" si="98"/>
        <v>-0.32731520454827095</v>
      </c>
      <c r="Q422" s="75">
        <v>0</v>
      </c>
      <c r="R422" s="76">
        <v>0</v>
      </c>
      <c r="S422" s="6" t="e">
        <f t="shared" si="89"/>
        <v>#DIV/0!</v>
      </c>
      <c r="T422" s="36" t="e">
        <f t="shared" si="92"/>
        <v>#DIV/0!</v>
      </c>
      <c r="U422" s="6">
        <f t="shared" si="97"/>
        <v>6.5053670194766225E-2</v>
      </c>
      <c r="V422" s="6">
        <f t="shared" si="97"/>
        <v>0.16010348962314203</v>
      </c>
      <c r="W422" s="6">
        <f t="shared" si="97"/>
        <v>-2.9996149233609562E-2</v>
      </c>
      <c r="X422" s="6">
        <f t="shared" si="97"/>
        <v>1.7528760480578331E-2</v>
      </c>
      <c r="Y422" s="6">
        <f t="shared" si="97"/>
        <v>9.5049819428375787E-2</v>
      </c>
    </row>
    <row r="423" spans="1:25" x14ac:dyDescent="0.25">
      <c r="A423" s="7" t="s">
        <v>106</v>
      </c>
      <c r="B423" s="7" t="s">
        <v>159</v>
      </c>
      <c r="C423" s="74">
        <v>0</v>
      </c>
      <c r="D423" s="74">
        <v>0</v>
      </c>
      <c r="E423" s="71" t="e">
        <f t="shared" si="88"/>
        <v>#DIV/0!</v>
      </c>
      <c r="F423" s="65" t="e">
        <f t="shared" si="90"/>
        <v>#DIV/0!</v>
      </c>
      <c r="G423" s="71">
        <f t="shared" si="94"/>
        <v>0.22598075676513599</v>
      </c>
      <c r="H423" s="71">
        <f t="shared" si="94"/>
        <v>0.51894873552035481</v>
      </c>
      <c r="I423" s="71">
        <f t="shared" si="94"/>
        <v>-6.6987221990082807E-2</v>
      </c>
      <c r="J423" s="75">
        <v>0</v>
      </c>
      <c r="K423" s="75">
        <v>0</v>
      </c>
      <c r="L423" s="6" t="e">
        <f>(SUM(K422:K423))/J422</f>
        <v>#DIV/0!</v>
      </c>
      <c r="M423" s="36" t="e">
        <f t="shared" si="91"/>
        <v>#DIV/0!</v>
      </c>
      <c r="N423" s="6">
        <f t="shared" si="98"/>
        <v>0.14992070801509372</v>
      </c>
      <c r="O423" s="6">
        <f t="shared" si="98"/>
        <v>0.58968599072326611</v>
      </c>
      <c r="P423" s="6">
        <f t="shared" si="98"/>
        <v>-0.28984457469307867</v>
      </c>
      <c r="Q423" s="75">
        <v>0</v>
      </c>
      <c r="R423" s="76">
        <v>0</v>
      </c>
      <c r="S423" s="6" t="e">
        <f t="shared" si="89"/>
        <v>#DIV/0!</v>
      </c>
      <c r="T423" s="36" t="e">
        <f t="shared" si="92"/>
        <v>#DIV/0!</v>
      </c>
      <c r="U423" s="6">
        <f t="shared" si="97"/>
        <v>6.5053670194766225E-2</v>
      </c>
      <c r="V423" s="6">
        <f t="shared" si="97"/>
        <v>0.16010348962314203</v>
      </c>
      <c r="W423" s="6">
        <f t="shared" si="97"/>
        <v>-2.9996149233609562E-2</v>
      </c>
      <c r="X423" s="6">
        <f t="shared" si="97"/>
        <v>1.7528760480578331E-2</v>
      </c>
      <c r="Y423" s="6">
        <f t="shared" si="97"/>
        <v>9.5049819428375787E-2</v>
      </c>
    </row>
    <row r="424" spans="1:25" x14ac:dyDescent="0.25">
      <c r="A424" s="7" t="s">
        <v>106</v>
      </c>
      <c r="B424" s="7" t="s">
        <v>160</v>
      </c>
      <c r="C424" s="74">
        <v>0</v>
      </c>
      <c r="D424" s="74">
        <v>0</v>
      </c>
      <c r="E424" s="71" t="e">
        <f t="shared" si="88"/>
        <v>#DIV/0!</v>
      </c>
      <c r="F424" s="65" t="e">
        <f t="shared" si="90"/>
        <v>#DIV/0!</v>
      </c>
      <c r="G424" s="71">
        <f t="shared" si="94"/>
        <v>0.2827891266215985</v>
      </c>
      <c r="H424" s="71">
        <f t="shared" si="94"/>
        <v>0.59134445337262298</v>
      </c>
      <c r="I424" s="71">
        <f t="shared" si="94"/>
        <v>-2.5766200129425987E-2</v>
      </c>
      <c r="J424" s="75">
        <v>0</v>
      </c>
      <c r="K424" s="75">
        <v>0</v>
      </c>
      <c r="L424" s="6" t="e">
        <f>(SUM(K422:K424))/J423</f>
        <v>#DIV/0!</v>
      </c>
      <c r="M424" s="36" t="e">
        <f t="shared" si="91"/>
        <v>#DIV/0!</v>
      </c>
      <c r="N424" s="6">
        <f t="shared" si="98"/>
        <v>0.17723994755342617</v>
      </c>
      <c r="O424" s="6">
        <f t="shared" si="98"/>
        <v>0.61473682715667155</v>
      </c>
      <c r="P424" s="6">
        <f t="shared" si="98"/>
        <v>-0.26025693204981915</v>
      </c>
      <c r="Q424" s="75">
        <v>0</v>
      </c>
      <c r="R424" s="76">
        <v>0</v>
      </c>
      <c r="S424" s="6" t="e">
        <f t="shared" si="89"/>
        <v>#DIV/0!</v>
      </c>
      <c r="T424" s="36" t="e">
        <f t="shared" si="92"/>
        <v>#DIV/0!</v>
      </c>
      <c r="U424" s="6">
        <f t="shared" si="97"/>
        <v>0.18401218302179842</v>
      </c>
      <c r="V424" s="6">
        <f t="shared" si="97"/>
        <v>0.37883088095577799</v>
      </c>
      <c r="W424" s="6">
        <f t="shared" si="97"/>
        <v>-1.0806514912181153E-2</v>
      </c>
      <c r="X424" s="6">
        <f t="shared" si="97"/>
        <v>8.6602834054808633E-2</v>
      </c>
      <c r="Y424" s="6">
        <f t="shared" si="97"/>
        <v>0.19481869793397957</v>
      </c>
    </row>
    <row r="425" spans="1:25" x14ac:dyDescent="0.25">
      <c r="A425" s="7" t="s">
        <v>106</v>
      </c>
      <c r="B425" s="7" t="s">
        <v>161</v>
      </c>
      <c r="C425" s="74">
        <v>0</v>
      </c>
      <c r="D425" s="74">
        <v>0</v>
      </c>
      <c r="E425" s="71" t="e">
        <f t="shared" si="88"/>
        <v>#DIV/0!</v>
      </c>
      <c r="F425" s="65" t="e">
        <f t="shared" si="90"/>
        <v>#DIV/0!</v>
      </c>
      <c r="G425" s="71">
        <f t="shared" si="94"/>
        <v>0.36222496935690102</v>
      </c>
      <c r="H425" s="71">
        <f t="shared" si="94"/>
        <v>0.67917151968337719</v>
      </c>
      <c r="I425" s="71">
        <f t="shared" si="94"/>
        <v>4.5278419030424844E-2</v>
      </c>
      <c r="J425" s="75">
        <v>0</v>
      </c>
      <c r="K425" s="75">
        <v>0</v>
      </c>
      <c r="L425" s="6" t="e">
        <f>(SUM(K422:K425))/J424</f>
        <v>#DIV/0!</v>
      </c>
      <c r="M425" s="36" t="e">
        <f t="shared" si="91"/>
        <v>#DIV/0!</v>
      </c>
      <c r="N425" s="6">
        <f t="shared" si="98"/>
        <v>0.2271654986777647</v>
      </c>
      <c r="O425" s="6">
        <f t="shared" si="98"/>
        <v>0.71582389712396544</v>
      </c>
      <c r="P425" s="6">
        <f t="shared" si="98"/>
        <v>-0.26149289976843598</v>
      </c>
      <c r="Q425" s="75">
        <v>0</v>
      </c>
      <c r="R425" s="76">
        <v>0</v>
      </c>
      <c r="S425" s="6" t="e">
        <f t="shared" si="89"/>
        <v>#DIV/0!</v>
      </c>
      <c r="T425" s="36" t="e">
        <f t="shared" si="92"/>
        <v>#DIV/0!</v>
      </c>
      <c r="U425" s="6">
        <f t="shared" si="97"/>
        <v>0.18401218302179842</v>
      </c>
      <c r="V425" s="6">
        <f t="shared" si="97"/>
        <v>0.37883088095577799</v>
      </c>
      <c r="W425" s="6">
        <f t="shared" si="97"/>
        <v>-1.0806514912181153E-2</v>
      </c>
      <c r="X425" s="6">
        <f t="shared" si="97"/>
        <v>8.6602834054808633E-2</v>
      </c>
      <c r="Y425" s="6">
        <f t="shared" si="97"/>
        <v>0.19481869793397957</v>
      </c>
    </row>
    <row r="426" spans="1:25" x14ac:dyDescent="0.25">
      <c r="A426" s="7" t="s">
        <v>106</v>
      </c>
      <c r="B426" s="7" t="s">
        <v>162</v>
      </c>
      <c r="C426" s="74">
        <v>0</v>
      </c>
      <c r="D426" s="74">
        <v>0</v>
      </c>
      <c r="E426" s="71" t="e">
        <f t="shared" si="88"/>
        <v>#DIV/0!</v>
      </c>
      <c r="F426" s="65" t="e">
        <f t="shared" si="90"/>
        <v>#DIV/0!</v>
      </c>
      <c r="G426" s="71">
        <f t="shared" si="94"/>
        <v>0.44825178806664662</v>
      </c>
      <c r="H426" s="71">
        <f t="shared" si="94"/>
        <v>0.78548221403733831</v>
      </c>
      <c r="I426" s="71">
        <f t="shared" si="94"/>
        <v>0.11102136209595498</v>
      </c>
      <c r="J426" s="75">
        <v>0</v>
      </c>
      <c r="K426" s="75">
        <v>0</v>
      </c>
      <c r="L426" s="6" t="e">
        <f>(SUM(K422:K426))/J425</f>
        <v>#DIV/0!</v>
      </c>
      <c r="M426" s="36" t="e">
        <f t="shared" si="91"/>
        <v>#DIV/0!</v>
      </c>
      <c r="N426" s="6">
        <f t="shared" si="98"/>
        <v>0.27284258705105507</v>
      </c>
      <c r="O426" s="6">
        <f t="shared" si="98"/>
        <v>0.75981161093062477</v>
      </c>
      <c r="P426" s="6">
        <f t="shared" si="98"/>
        <v>-0.21412643682851468</v>
      </c>
      <c r="Q426" s="75">
        <v>0</v>
      </c>
      <c r="R426" s="76">
        <v>0</v>
      </c>
      <c r="S426" s="6" t="e">
        <f t="shared" si="89"/>
        <v>#DIV/0!</v>
      </c>
      <c r="T426" s="36" t="e">
        <f t="shared" si="92"/>
        <v>#DIV/0!</v>
      </c>
      <c r="U426" s="6">
        <f t="shared" si="97"/>
        <v>0.23278475191631845</v>
      </c>
      <c r="V426" s="6">
        <f t="shared" si="97"/>
        <v>0.51017789992422413</v>
      </c>
      <c r="W426" s="6">
        <f t="shared" si="97"/>
        <v>-4.460839609158726E-2</v>
      </c>
      <c r="X426" s="6">
        <f t="shared" si="97"/>
        <v>9.4088177912365595E-2</v>
      </c>
      <c r="Y426" s="6">
        <f t="shared" si="97"/>
        <v>0.27739314800790571</v>
      </c>
    </row>
    <row r="427" spans="1:25" x14ac:dyDescent="0.25">
      <c r="A427" s="7" t="s">
        <v>106</v>
      </c>
      <c r="B427" s="7" t="s">
        <v>163</v>
      </c>
      <c r="C427" s="74">
        <v>0</v>
      </c>
      <c r="D427" s="74">
        <v>0</v>
      </c>
      <c r="E427" s="71" t="e">
        <f t="shared" si="88"/>
        <v>#DIV/0!</v>
      </c>
      <c r="F427" s="65" t="e">
        <f t="shared" si="90"/>
        <v>#DIV/0!</v>
      </c>
      <c r="G427" s="71">
        <f t="shared" si="94"/>
        <v>0.54231176602906361</v>
      </c>
      <c r="H427" s="71">
        <f t="shared" si="94"/>
        <v>0.92735502699565786</v>
      </c>
      <c r="I427" s="71">
        <f t="shared" si="94"/>
        <v>0.15726850506246942</v>
      </c>
      <c r="J427" s="75">
        <v>0</v>
      </c>
      <c r="K427" s="75">
        <v>0</v>
      </c>
      <c r="L427" s="6" t="e">
        <f>(SUM(K422:K427))/J426</f>
        <v>#DIV/0!</v>
      </c>
      <c r="M427" s="36" t="e">
        <f t="shared" si="91"/>
        <v>#DIV/0!</v>
      </c>
      <c r="N427" s="6">
        <f t="shared" si="98"/>
        <v>0.31451673641638933</v>
      </c>
      <c r="O427" s="6">
        <f t="shared" si="98"/>
        <v>0.80702132782766356</v>
      </c>
      <c r="P427" s="6">
        <f t="shared" si="98"/>
        <v>-0.1779878549948849</v>
      </c>
      <c r="Q427" s="75">
        <v>0</v>
      </c>
      <c r="R427" s="76">
        <v>0</v>
      </c>
      <c r="S427" s="6" t="e">
        <f t="shared" si="89"/>
        <v>#DIV/0!</v>
      </c>
      <c r="T427" s="36" t="e">
        <f t="shared" si="92"/>
        <v>#DIV/0!</v>
      </c>
      <c r="U427" s="6">
        <f t="shared" si="97"/>
        <v>0.46105014853915682</v>
      </c>
      <c r="V427" s="6">
        <f t="shared" si="97"/>
        <v>0.84756736419379908</v>
      </c>
      <c r="W427" s="6">
        <f t="shared" si="97"/>
        <v>7.4532932884514569E-2</v>
      </c>
      <c r="X427" s="6">
        <f t="shared" si="97"/>
        <v>7.4532932884514569E-2</v>
      </c>
      <c r="Y427" s="6">
        <f t="shared" si="97"/>
        <v>0.38651721565464225</v>
      </c>
    </row>
    <row r="428" spans="1:25" x14ac:dyDescent="0.25">
      <c r="A428" s="7" t="s">
        <v>106</v>
      </c>
      <c r="B428" s="7" t="s">
        <v>164</v>
      </c>
      <c r="C428" s="74">
        <v>0</v>
      </c>
      <c r="D428" s="74">
        <v>0</v>
      </c>
      <c r="E428" s="71" t="e">
        <f t="shared" si="88"/>
        <v>#DIV/0!</v>
      </c>
      <c r="F428" s="65" t="e">
        <f t="shared" si="90"/>
        <v>#DIV/0!</v>
      </c>
      <c r="G428" s="71">
        <f t="shared" si="94"/>
        <v>0.63634637719050002</v>
      </c>
      <c r="H428" s="71">
        <f t="shared" si="94"/>
        <v>1.0512878703900039</v>
      </c>
      <c r="I428" s="71">
        <f t="shared" si="94"/>
        <v>0.22140488399099606</v>
      </c>
      <c r="J428" s="75">
        <v>0</v>
      </c>
      <c r="K428" s="75">
        <v>0</v>
      </c>
      <c r="L428" s="6" t="e">
        <f>(SUM(K422:K428))/J427</f>
        <v>#DIV/0!</v>
      </c>
      <c r="M428" s="36" t="e">
        <f t="shared" si="91"/>
        <v>#DIV/0!</v>
      </c>
      <c r="N428" s="6">
        <f t="shared" si="98"/>
        <v>0.38334713342809434</v>
      </c>
      <c r="O428" s="6">
        <f t="shared" si="98"/>
        <v>0.88375935483946089</v>
      </c>
      <c r="P428" s="6">
        <f t="shared" si="98"/>
        <v>-0.1170650879832722</v>
      </c>
      <c r="Q428" s="75">
        <v>0</v>
      </c>
      <c r="R428" s="76">
        <v>0</v>
      </c>
      <c r="S428" s="6" t="e">
        <f t="shared" si="89"/>
        <v>#DIV/0!</v>
      </c>
      <c r="T428" s="36" t="e">
        <f t="shared" si="92"/>
        <v>#DIV/0!</v>
      </c>
      <c r="U428" s="6">
        <f t="shared" si="97"/>
        <v>0.46105014853915682</v>
      </c>
      <c r="V428" s="6">
        <f t="shared" si="97"/>
        <v>0.84756736419379908</v>
      </c>
      <c r="W428" s="6">
        <f t="shared" si="97"/>
        <v>7.4532932884514569E-2</v>
      </c>
      <c r="X428" s="6">
        <f t="shared" si="97"/>
        <v>7.4532932884514569E-2</v>
      </c>
      <c r="Y428" s="6">
        <f t="shared" si="97"/>
        <v>0.38651721565464225</v>
      </c>
    </row>
    <row r="429" spans="1:25" x14ac:dyDescent="0.25">
      <c r="A429" s="7" t="s">
        <v>106</v>
      </c>
      <c r="B429" s="7" t="s">
        <v>165</v>
      </c>
      <c r="C429" s="74">
        <v>0</v>
      </c>
      <c r="D429" s="74">
        <v>0</v>
      </c>
      <c r="E429" s="71" t="e">
        <f t="shared" si="88"/>
        <v>#DIV/0!</v>
      </c>
      <c r="F429" s="65" t="e">
        <f t="shared" si="90"/>
        <v>#DIV/0!</v>
      </c>
      <c r="G429" s="71">
        <f t="shared" si="94"/>
        <v>0.70660866675940681</v>
      </c>
      <c r="H429" s="71">
        <f t="shared" si="94"/>
        <v>1.1341225514190425</v>
      </c>
      <c r="I429" s="71">
        <f t="shared" si="94"/>
        <v>0.27909478209977112</v>
      </c>
      <c r="J429" s="75">
        <v>0</v>
      </c>
      <c r="K429" s="75">
        <v>0</v>
      </c>
      <c r="L429" s="6" t="e">
        <f>(SUM(K422:K429))/J428</f>
        <v>#DIV/0!</v>
      </c>
      <c r="M429" s="36" t="e">
        <f t="shared" si="91"/>
        <v>#DIV/0!</v>
      </c>
      <c r="N429" s="6">
        <f t="shared" si="98"/>
        <v>0.45719521320533213</v>
      </c>
      <c r="O429" s="6">
        <f t="shared" si="98"/>
        <v>0.97356755068321044</v>
      </c>
      <c r="P429" s="6">
        <f t="shared" si="98"/>
        <v>-5.9177124272546122E-2</v>
      </c>
      <c r="Q429" s="75">
        <v>0</v>
      </c>
      <c r="R429" s="76">
        <v>0</v>
      </c>
      <c r="S429" s="6" t="e">
        <f t="shared" si="89"/>
        <v>#DIV/0!</v>
      </c>
      <c r="T429" s="36" t="e">
        <f t="shared" si="92"/>
        <v>#DIV/0!</v>
      </c>
      <c r="U429" s="6">
        <f t="shared" si="97"/>
        <v>0.46105014853915682</v>
      </c>
      <c r="V429" s="6">
        <f t="shared" si="97"/>
        <v>0.84756736419379908</v>
      </c>
      <c r="W429" s="6">
        <f t="shared" si="97"/>
        <v>7.4532932884514569E-2</v>
      </c>
      <c r="X429" s="6">
        <f t="shared" si="97"/>
        <v>7.4532932884514569E-2</v>
      </c>
      <c r="Y429" s="6">
        <f t="shared" si="97"/>
        <v>0.38651721565464225</v>
      </c>
    </row>
    <row r="430" spans="1:25" x14ac:dyDescent="0.25">
      <c r="A430" s="7" t="s">
        <v>106</v>
      </c>
      <c r="B430" s="7" t="s">
        <v>166</v>
      </c>
      <c r="C430" s="74">
        <v>0</v>
      </c>
      <c r="D430" s="74">
        <v>0</v>
      </c>
      <c r="E430" s="71" t="e">
        <f t="shared" si="88"/>
        <v>#DIV/0!</v>
      </c>
      <c r="F430" s="65" t="e">
        <f t="shared" si="90"/>
        <v>#DIV/0!</v>
      </c>
      <c r="G430" s="71">
        <f t="shared" si="94"/>
        <v>0.73663014244586189</v>
      </c>
      <c r="H430" s="71">
        <f t="shared" si="94"/>
        <v>1.1737360935948695</v>
      </c>
      <c r="I430" s="71">
        <f t="shared" si="94"/>
        <v>0.29952419129685426</v>
      </c>
      <c r="J430" s="75">
        <v>0</v>
      </c>
      <c r="K430" s="75">
        <v>0</v>
      </c>
      <c r="L430" s="6" t="e">
        <f>(SUM(K422:K430))/J429</f>
        <v>#DIV/0!</v>
      </c>
      <c r="M430" s="36" t="e">
        <f t="shared" si="91"/>
        <v>#DIV/0!</v>
      </c>
      <c r="N430" s="6">
        <f t="shared" si="98"/>
        <v>0.50336729135060976</v>
      </c>
      <c r="O430" s="6">
        <f t="shared" si="98"/>
        <v>1.0150591886201059</v>
      </c>
      <c r="P430" s="6">
        <f t="shared" si="98"/>
        <v>-8.3246059188863963E-3</v>
      </c>
      <c r="Q430" s="75">
        <v>0</v>
      </c>
      <c r="R430" s="76">
        <v>27</v>
      </c>
      <c r="S430" s="6" t="e">
        <f t="shared" si="89"/>
        <v>#DIV/0!</v>
      </c>
      <c r="T430" s="36" t="e">
        <f t="shared" si="92"/>
        <v>#DIV/0!</v>
      </c>
      <c r="U430" s="6">
        <f t="shared" si="97"/>
        <v>0.74232771533595698</v>
      </c>
      <c r="V430" s="6">
        <f t="shared" si="97"/>
        <v>1.1540802341555996</v>
      </c>
      <c r="W430" s="6">
        <f t="shared" si="97"/>
        <v>0.33057519651631434</v>
      </c>
      <c r="X430" s="6">
        <f t="shared" si="97"/>
        <v>0.33057519651631434</v>
      </c>
      <c r="Y430" s="6">
        <f t="shared" si="97"/>
        <v>0.41175251881964264</v>
      </c>
    </row>
    <row r="431" spans="1:25" x14ac:dyDescent="0.25">
      <c r="A431" s="7" t="s">
        <v>106</v>
      </c>
      <c r="B431" s="7" t="s">
        <v>167</v>
      </c>
      <c r="C431" s="74">
        <v>0</v>
      </c>
      <c r="D431" s="74">
        <v>36</v>
      </c>
      <c r="E431" s="71" t="e">
        <f t="shared" si="88"/>
        <v>#DIV/0!</v>
      </c>
      <c r="F431" s="65" t="e">
        <f t="shared" si="90"/>
        <v>#DIV/0!</v>
      </c>
      <c r="G431" s="71">
        <f t="shared" si="94"/>
        <v>0.82061442726694189</v>
      </c>
      <c r="H431" s="71">
        <f t="shared" si="94"/>
        <v>1.2607833515834532</v>
      </c>
      <c r="I431" s="71">
        <f t="shared" si="94"/>
        <v>0.38044550295043061</v>
      </c>
      <c r="J431" s="75">
        <v>0</v>
      </c>
      <c r="K431" s="75">
        <v>1539.76</v>
      </c>
      <c r="L431" s="6" t="e">
        <f>(SUM(K422:K431))/J430</f>
        <v>#DIV/0!</v>
      </c>
      <c r="M431" s="36" t="e">
        <f t="shared" si="91"/>
        <v>#DIV/0!</v>
      </c>
      <c r="N431" s="6">
        <f t="shared" si="98"/>
        <v>0.58006775555216661</v>
      </c>
      <c r="O431" s="6">
        <f t="shared" si="98"/>
        <v>1.099948635873619</v>
      </c>
      <c r="P431" s="6">
        <f t="shared" si="98"/>
        <v>6.0186875230714088E-2</v>
      </c>
      <c r="Q431" s="75">
        <v>0</v>
      </c>
      <c r="R431" s="76">
        <v>55</v>
      </c>
      <c r="S431" s="6" t="e">
        <f t="shared" si="89"/>
        <v>#DIV/0!</v>
      </c>
      <c r="T431" s="36" t="e">
        <f t="shared" si="92"/>
        <v>#DIV/0!</v>
      </c>
      <c r="U431" s="6">
        <f t="shared" ref="U431:Y446" si="99">U419</f>
        <v>0.82347447721763523</v>
      </c>
      <c r="V431" s="6">
        <f t="shared" si="99"/>
        <v>1.2398542522675045</v>
      </c>
      <c r="W431" s="6">
        <f t="shared" si="99"/>
        <v>0.40709470216776611</v>
      </c>
      <c r="X431" s="6">
        <f t="shared" si="99"/>
        <v>0.40709470216776611</v>
      </c>
      <c r="Y431" s="6">
        <f t="shared" si="99"/>
        <v>0.41637977504986912</v>
      </c>
    </row>
    <row r="432" spans="1:25" x14ac:dyDescent="0.25">
      <c r="A432" s="7" t="s">
        <v>106</v>
      </c>
      <c r="B432" s="7" t="s">
        <v>168</v>
      </c>
      <c r="C432" s="74">
        <v>0</v>
      </c>
      <c r="D432" s="74">
        <v>82</v>
      </c>
      <c r="E432" s="71" t="e">
        <f t="shared" si="88"/>
        <v>#DIV/0!</v>
      </c>
      <c r="F432" s="65" t="e">
        <f t="shared" si="90"/>
        <v>#DIV/0!</v>
      </c>
      <c r="G432" s="71">
        <f t="shared" si="94"/>
        <v>0.94582556715526966</v>
      </c>
      <c r="H432" s="71">
        <f t="shared" si="94"/>
        <v>1.4311117173682604</v>
      </c>
      <c r="I432" s="71">
        <f t="shared" si="94"/>
        <v>0.46053941694227907</v>
      </c>
      <c r="J432" s="75">
        <v>0</v>
      </c>
      <c r="K432" s="75">
        <v>1861.1</v>
      </c>
      <c r="L432" s="6" t="e">
        <f>(SUM(K422:K432))/J431</f>
        <v>#DIV/0!</v>
      </c>
      <c r="M432" s="36" t="e">
        <f t="shared" si="91"/>
        <v>#DIV/0!</v>
      </c>
      <c r="N432" s="6">
        <f t="shared" si="98"/>
        <v>0.72282137340514951</v>
      </c>
      <c r="O432" s="6">
        <f t="shared" si="98"/>
        <v>1.2463651595014014</v>
      </c>
      <c r="P432" s="6">
        <f t="shared" si="98"/>
        <v>0.19927758730889755</v>
      </c>
      <c r="Q432" s="75">
        <v>0</v>
      </c>
      <c r="R432" s="76">
        <v>55</v>
      </c>
      <c r="S432" s="6" t="e">
        <f t="shared" si="89"/>
        <v>#DIV/0!</v>
      </c>
      <c r="T432" s="36" t="e">
        <f t="shared" si="92"/>
        <v>#DIV/0!</v>
      </c>
      <c r="U432" s="6">
        <f t="shared" si="99"/>
        <v>0.91825333306001944</v>
      </c>
      <c r="V432" s="6">
        <f t="shared" si="99"/>
        <v>1.402047931898428</v>
      </c>
      <c r="W432" s="6">
        <f t="shared" si="99"/>
        <v>0.43445873422161085</v>
      </c>
      <c r="X432" s="6">
        <f t="shared" si="99"/>
        <v>0.43445873422161085</v>
      </c>
      <c r="Y432" s="6">
        <f t="shared" si="99"/>
        <v>0.48379459883840858</v>
      </c>
    </row>
    <row r="433" spans="1:25" x14ac:dyDescent="0.25">
      <c r="A433" s="7" t="s">
        <v>106</v>
      </c>
      <c r="B433" s="7" t="s">
        <v>169</v>
      </c>
      <c r="C433" s="74">
        <v>0</v>
      </c>
      <c r="D433" s="74">
        <v>82</v>
      </c>
      <c r="E433" s="71" t="e">
        <f t="shared" si="88"/>
        <v>#DIV/0!</v>
      </c>
      <c r="F433" s="65" t="e">
        <f t="shared" si="90"/>
        <v>#DIV/0!</v>
      </c>
      <c r="G433" s="71">
        <f t="shared" si="94"/>
        <v>1.0016849877757958</v>
      </c>
      <c r="H433" s="71">
        <f t="shared" si="94"/>
        <v>1.521489991464148</v>
      </c>
      <c r="I433" s="71">
        <f t="shared" si="94"/>
        <v>0.48187998408744359</v>
      </c>
      <c r="J433" s="75">
        <v>0</v>
      </c>
      <c r="K433" s="75">
        <v>0</v>
      </c>
      <c r="L433" s="6" t="e">
        <f>(SUM(K422:K433))/J432</f>
        <v>#DIV/0!</v>
      </c>
      <c r="M433" s="36" t="e">
        <f t="shared" si="91"/>
        <v>#DIV/0!</v>
      </c>
      <c r="N433" s="6">
        <f t="shared" si="98"/>
        <v>0.82421983567812696</v>
      </c>
      <c r="O433" s="6">
        <f t="shared" si="98"/>
        <v>1.3730394926064369</v>
      </c>
      <c r="P433" s="6">
        <f t="shared" si="98"/>
        <v>0.27540017874981693</v>
      </c>
      <c r="Q433" s="75">
        <v>0</v>
      </c>
      <c r="R433" s="76">
        <v>55</v>
      </c>
      <c r="S433" s="6" t="e">
        <f t="shared" si="89"/>
        <v>#DIV/0!</v>
      </c>
      <c r="T433" s="36" t="e">
        <f t="shared" si="92"/>
        <v>#DIV/0!</v>
      </c>
      <c r="U433" s="6">
        <f t="shared" si="99"/>
        <v>0.91825333306001944</v>
      </c>
      <c r="V433" s="6">
        <f t="shared" si="99"/>
        <v>1.402047931898428</v>
      </c>
      <c r="W433" s="6">
        <f t="shared" si="99"/>
        <v>0.43445873422161085</v>
      </c>
      <c r="X433" s="6">
        <f t="shared" si="99"/>
        <v>0.43445873422161085</v>
      </c>
      <c r="Y433" s="6">
        <f t="shared" si="99"/>
        <v>0.48379459883840858</v>
      </c>
    </row>
    <row r="434" spans="1:25" x14ac:dyDescent="0.25">
      <c r="A434" s="7" t="s">
        <v>110</v>
      </c>
      <c r="B434" s="7" t="s">
        <v>158</v>
      </c>
      <c r="C434" s="74">
        <v>75</v>
      </c>
      <c r="D434" s="74">
        <v>5</v>
      </c>
      <c r="E434" s="71">
        <f t="shared" si="88"/>
        <v>6.6666666666666666E-2</v>
      </c>
      <c r="F434" s="65" t="str">
        <f t="shared" si="90"/>
        <v>Desempenho Médio</v>
      </c>
      <c r="G434" s="71">
        <f t="shared" si="94"/>
        <v>0.11573204891712785</v>
      </c>
      <c r="H434" s="71">
        <f t="shared" si="94"/>
        <v>0.30218524997148988</v>
      </c>
      <c r="I434" s="71">
        <f t="shared" si="94"/>
        <v>-7.0721152137234206E-2</v>
      </c>
      <c r="J434" s="75">
        <v>170000</v>
      </c>
      <c r="K434" s="75">
        <v>5000</v>
      </c>
      <c r="L434" s="6">
        <f>K434/J434</f>
        <v>2.9411764705882353E-2</v>
      </c>
      <c r="M434" s="36" t="str">
        <f t="shared" si="91"/>
        <v>Desempenho Médio</v>
      </c>
      <c r="N434" s="6">
        <f t="shared" si="98"/>
        <v>0.11129468122233216</v>
      </c>
      <c r="O434" s="6">
        <f t="shared" si="98"/>
        <v>0.54990456699293522</v>
      </c>
      <c r="P434" s="6">
        <f t="shared" si="98"/>
        <v>-0.32731520454827095</v>
      </c>
      <c r="Q434" s="75">
        <v>60</v>
      </c>
      <c r="R434" s="76">
        <v>14</v>
      </c>
      <c r="S434" s="6">
        <f t="shared" si="89"/>
        <v>0.23333333333333334</v>
      </c>
      <c r="T434" s="36" t="str">
        <f t="shared" si="92"/>
        <v>Desempenho Ótimo</v>
      </c>
      <c r="U434" s="6">
        <f t="shared" si="99"/>
        <v>6.5053670194766225E-2</v>
      </c>
      <c r="V434" s="6">
        <f t="shared" si="99"/>
        <v>0.16010348962314203</v>
      </c>
      <c r="W434" s="6">
        <f t="shared" si="99"/>
        <v>-2.9996149233609562E-2</v>
      </c>
      <c r="X434" s="6">
        <f t="shared" si="99"/>
        <v>1.7528760480578331E-2</v>
      </c>
      <c r="Y434" s="6">
        <f t="shared" si="99"/>
        <v>9.5049819428375787E-2</v>
      </c>
    </row>
    <row r="435" spans="1:25" x14ac:dyDescent="0.25">
      <c r="A435" s="7" t="s">
        <v>110</v>
      </c>
      <c r="B435" s="7" t="s">
        <v>159</v>
      </c>
      <c r="C435" s="74">
        <v>75</v>
      </c>
      <c r="D435" s="74">
        <v>5</v>
      </c>
      <c r="E435" s="71">
        <f t="shared" si="88"/>
        <v>6.6666666666666666E-2</v>
      </c>
      <c r="F435" s="65" t="str">
        <f t="shared" si="90"/>
        <v>Desempenho Médio</v>
      </c>
      <c r="G435" s="71">
        <f t="shared" si="94"/>
        <v>0.22598075676513599</v>
      </c>
      <c r="H435" s="71">
        <f t="shared" si="94"/>
        <v>0.51894873552035481</v>
      </c>
      <c r="I435" s="71">
        <f t="shared" si="94"/>
        <v>-6.6987221990082807E-2</v>
      </c>
      <c r="J435" s="75">
        <v>170000</v>
      </c>
      <c r="K435" s="75">
        <v>0</v>
      </c>
      <c r="L435" s="6">
        <f>(SUM(K434:K435))/J434</f>
        <v>2.9411764705882353E-2</v>
      </c>
      <c r="M435" s="36" t="str">
        <f t="shared" si="91"/>
        <v>Desempenho Médio</v>
      </c>
      <c r="N435" s="6">
        <f t="shared" si="98"/>
        <v>0.14992070801509372</v>
      </c>
      <c r="O435" s="6">
        <f t="shared" si="98"/>
        <v>0.58968599072326611</v>
      </c>
      <c r="P435" s="6">
        <f t="shared" si="98"/>
        <v>-0.28984457469307867</v>
      </c>
      <c r="Q435" s="75">
        <v>60</v>
      </c>
      <c r="R435" s="76">
        <v>14</v>
      </c>
      <c r="S435" s="6">
        <f t="shared" si="89"/>
        <v>0.23333333333333334</v>
      </c>
      <c r="T435" s="36" t="str">
        <f t="shared" si="92"/>
        <v>Desempenho Ótimo</v>
      </c>
      <c r="U435" s="6">
        <f t="shared" si="99"/>
        <v>6.5053670194766225E-2</v>
      </c>
      <c r="V435" s="6">
        <f t="shared" si="99"/>
        <v>0.16010348962314203</v>
      </c>
      <c r="W435" s="6">
        <f t="shared" si="99"/>
        <v>-2.9996149233609562E-2</v>
      </c>
      <c r="X435" s="6">
        <f t="shared" si="99"/>
        <v>1.7528760480578331E-2</v>
      </c>
      <c r="Y435" s="6">
        <f t="shared" si="99"/>
        <v>9.5049819428375787E-2</v>
      </c>
    </row>
    <row r="436" spans="1:25" x14ac:dyDescent="0.25">
      <c r="A436" s="7" t="s">
        <v>110</v>
      </c>
      <c r="B436" s="7" t="s">
        <v>160</v>
      </c>
      <c r="C436" s="74">
        <v>75</v>
      </c>
      <c r="D436" s="74">
        <v>14</v>
      </c>
      <c r="E436" s="71">
        <f t="shared" si="88"/>
        <v>0.18666666666666668</v>
      </c>
      <c r="F436" s="65" t="str">
        <f t="shared" si="90"/>
        <v>Desempenho Médio</v>
      </c>
      <c r="G436" s="71">
        <f t="shared" si="94"/>
        <v>0.2827891266215985</v>
      </c>
      <c r="H436" s="71">
        <f t="shared" si="94"/>
        <v>0.59134445337262298</v>
      </c>
      <c r="I436" s="71">
        <f t="shared" si="94"/>
        <v>-2.5766200129425987E-2</v>
      </c>
      <c r="J436" s="75">
        <v>170000</v>
      </c>
      <c r="K436" s="75">
        <v>4000</v>
      </c>
      <c r="L436" s="6">
        <f>(SUM(K434:K436))/J435</f>
        <v>5.2941176470588235E-2</v>
      </c>
      <c r="M436" s="36" t="str">
        <f t="shared" si="91"/>
        <v>Desempenho Médio</v>
      </c>
      <c r="N436" s="6">
        <f t="shared" si="98"/>
        <v>0.17723994755342617</v>
      </c>
      <c r="O436" s="6">
        <f t="shared" si="98"/>
        <v>0.61473682715667155</v>
      </c>
      <c r="P436" s="6">
        <f t="shared" si="98"/>
        <v>-0.26025693204981915</v>
      </c>
      <c r="Q436" s="75">
        <v>60</v>
      </c>
      <c r="R436" s="76">
        <v>24</v>
      </c>
      <c r="S436" s="6">
        <f t="shared" si="89"/>
        <v>0.4</v>
      </c>
      <c r="T436" s="36" t="str">
        <f t="shared" si="92"/>
        <v>Desempenho Ótimo</v>
      </c>
      <c r="U436" s="6">
        <f t="shared" si="99"/>
        <v>0.18401218302179842</v>
      </c>
      <c r="V436" s="6">
        <f t="shared" si="99"/>
        <v>0.37883088095577799</v>
      </c>
      <c r="W436" s="6">
        <f t="shared" si="99"/>
        <v>-1.0806514912181153E-2</v>
      </c>
      <c r="X436" s="6">
        <f t="shared" si="99"/>
        <v>8.6602834054808633E-2</v>
      </c>
      <c r="Y436" s="6">
        <f t="shared" si="99"/>
        <v>0.19481869793397957</v>
      </c>
    </row>
    <row r="437" spans="1:25" x14ac:dyDescent="0.25">
      <c r="A437" s="7" t="s">
        <v>110</v>
      </c>
      <c r="B437" s="7" t="s">
        <v>161</v>
      </c>
      <c r="C437" s="74">
        <v>75</v>
      </c>
      <c r="D437" s="74">
        <v>19</v>
      </c>
      <c r="E437" s="71">
        <f t="shared" si="88"/>
        <v>0.25333333333333335</v>
      </c>
      <c r="F437" s="65" t="str">
        <f t="shared" si="90"/>
        <v>Desempenho Médio</v>
      </c>
      <c r="G437" s="71">
        <f t="shared" si="94"/>
        <v>0.36222496935690102</v>
      </c>
      <c r="H437" s="71">
        <f t="shared" si="94"/>
        <v>0.67917151968337719</v>
      </c>
      <c r="I437" s="71">
        <f t="shared" si="94"/>
        <v>4.5278419030424844E-2</v>
      </c>
      <c r="J437" s="75">
        <v>170000</v>
      </c>
      <c r="K437" s="75">
        <v>8820</v>
      </c>
      <c r="L437" s="6">
        <f>(SUM(K434:K437))/J436</f>
        <v>0.1048235294117647</v>
      </c>
      <c r="M437" s="36" t="str">
        <f t="shared" si="91"/>
        <v>Desempenho Médio</v>
      </c>
      <c r="N437" s="6">
        <f t="shared" si="98"/>
        <v>0.2271654986777647</v>
      </c>
      <c r="O437" s="6">
        <f t="shared" si="98"/>
        <v>0.71582389712396544</v>
      </c>
      <c r="P437" s="6">
        <f t="shared" si="98"/>
        <v>-0.26149289976843598</v>
      </c>
      <c r="Q437" s="75">
        <v>60</v>
      </c>
      <c r="R437" s="76">
        <v>24</v>
      </c>
      <c r="S437" s="6">
        <f t="shared" si="89"/>
        <v>0.4</v>
      </c>
      <c r="T437" s="36" t="str">
        <f t="shared" si="92"/>
        <v>Desempenho Ótimo</v>
      </c>
      <c r="U437" s="6">
        <f t="shared" si="99"/>
        <v>0.18401218302179842</v>
      </c>
      <c r="V437" s="6">
        <f t="shared" si="99"/>
        <v>0.37883088095577799</v>
      </c>
      <c r="W437" s="6">
        <f t="shared" si="99"/>
        <v>-1.0806514912181153E-2</v>
      </c>
      <c r="X437" s="6">
        <f t="shared" si="99"/>
        <v>8.6602834054808633E-2</v>
      </c>
      <c r="Y437" s="6">
        <f t="shared" si="99"/>
        <v>0.19481869793397957</v>
      </c>
    </row>
    <row r="438" spans="1:25" x14ac:dyDescent="0.25">
      <c r="A438" s="7" t="s">
        <v>110</v>
      </c>
      <c r="B438" s="7" t="s">
        <v>162</v>
      </c>
      <c r="C438" s="74">
        <v>75</v>
      </c>
      <c r="D438" s="74">
        <v>27</v>
      </c>
      <c r="E438" s="71">
        <f t="shared" si="88"/>
        <v>0.36</v>
      </c>
      <c r="F438" s="65" t="str">
        <f t="shared" si="90"/>
        <v>Desempenho Médio</v>
      </c>
      <c r="G438" s="71">
        <f t="shared" si="94"/>
        <v>0.44825178806664662</v>
      </c>
      <c r="H438" s="71">
        <f t="shared" si="94"/>
        <v>0.78548221403733831</v>
      </c>
      <c r="I438" s="71">
        <f t="shared" si="94"/>
        <v>0.11102136209595498</v>
      </c>
      <c r="J438" s="75">
        <v>170000</v>
      </c>
      <c r="K438" s="75">
        <v>7350</v>
      </c>
      <c r="L438" s="6">
        <f>(SUM(K434:K438))/J437</f>
        <v>0.14805882352941177</v>
      </c>
      <c r="M438" s="36" t="str">
        <f t="shared" si="91"/>
        <v>Desempenho Médio</v>
      </c>
      <c r="N438" s="6">
        <f t="shared" ref="N438:P453" si="100">N426</f>
        <v>0.27284258705105507</v>
      </c>
      <c r="O438" s="6">
        <f t="shared" si="100"/>
        <v>0.75981161093062477</v>
      </c>
      <c r="P438" s="6">
        <f t="shared" si="100"/>
        <v>-0.21412643682851468</v>
      </c>
      <c r="Q438" s="75">
        <v>60</v>
      </c>
      <c r="R438" s="76">
        <v>24</v>
      </c>
      <c r="S438" s="6">
        <f t="shared" si="89"/>
        <v>0.4</v>
      </c>
      <c r="T438" s="36" t="str">
        <f t="shared" si="92"/>
        <v>Desempenho Bom</v>
      </c>
      <c r="U438" s="6">
        <f t="shared" si="99"/>
        <v>0.23278475191631845</v>
      </c>
      <c r="V438" s="6">
        <f t="shared" si="99"/>
        <v>0.51017789992422413</v>
      </c>
      <c r="W438" s="6">
        <f t="shared" si="99"/>
        <v>-4.460839609158726E-2</v>
      </c>
      <c r="X438" s="6">
        <f t="shared" si="99"/>
        <v>9.4088177912365595E-2</v>
      </c>
      <c r="Y438" s="6">
        <f t="shared" si="99"/>
        <v>0.27739314800790571</v>
      </c>
    </row>
    <row r="439" spans="1:25" x14ac:dyDescent="0.25">
      <c r="A439" s="7" t="s">
        <v>110</v>
      </c>
      <c r="B439" s="7" t="s">
        <v>163</v>
      </c>
      <c r="C439" s="74">
        <v>75</v>
      </c>
      <c r="D439" s="74">
        <v>43</v>
      </c>
      <c r="E439" s="71">
        <f t="shared" si="88"/>
        <v>0.57333333333333336</v>
      </c>
      <c r="F439" s="65" t="str">
        <f t="shared" si="90"/>
        <v>Desempenho Bom</v>
      </c>
      <c r="G439" s="71">
        <f t="shared" si="94"/>
        <v>0.54231176602906361</v>
      </c>
      <c r="H439" s="71">
        <f t="shared" si="94"/>
        <v>0.92735502699565786</v>
      </c>
      <c r="I439" s="71">
        <f t="shared" si="94"/>
        <v>0.15726850506246942</v>
      </c>
      <c r="J439" s="75">
        <v>170000</v>
      </c>
      <c r="K439" s="75">
        <v>25884</v>
      </c>
      <c r="L439" s="6">
        <f>(SUM(K434:K439))/J438</f>
        <v>0.30031764705882352</v>
      </c>
      <c r="M439" s="36" t="str">
        <f t="shared" si="91"/>
        <v>Desempenho Médio</v>
      </c>
      <c r="N439" s="6">
        <f t="shared" si="100"/>
        <v>0.31451673641638933</v>
      </c>
      <c r="O439" s="6">
        <f t="shared" si="100"/>
        <v>0.80702132782766356</v>
      </c>
      <c r="P439" s="6">
        <f t="shared" si="100"/>
        <v>-0.1779878549948849</v>
      </c>
      <c r="Q439" s="75">
        <v>60</v>
      </c>
      <c r="R439" s="76">
        <v>59</v>
      </c>
      <c r="S439" s="6">
        <f t="shared" si="89"/>
        <v>0.98333333333333328</v>
      </c>
      <c r="T439" s="36" t="str">
        <f t="shared" si="92"/>
        <v>Desempenho Ótimo</v>
      </c>
      <c r="U439" s="6">
        <f t="shared" si="99"/>
        <v>0.46105014853915682</v>
      </c>
      <c r="V439" s="6">
        <f t="shared" si="99"/>
        <v>0.84756736419379908</v>
      </c>
      <c r="W439" s="6">
        <f t="shared" si="99"/>
        <v>7.4532932884514569E-2</v>
      </c>
      <c r="X439" s="6">
        <f t="shared" si="99"/>
        <v>7.4532932884514569E-2</v>
      </c>
      <c r="Y439" s="6">
        <f t="shared" si="99"/>
        <v>0.38651721565464225</v>
      </c>
    </row>
    <row r="440" spans="1:25" x14ac:dyDescent="0.25">
      <c r="A440" s="7" t="s">
        <v>110</v>
      </c>
      <c r="B440" s="7" t="s">
        <v>164</v>
      </c>
      <c r="C440" s="74">
        <v>75</v>
      </c>
      <c r="D440" s="74">
        <v>49</v>
      </c>
      <c r="E440" s="71">
        <f t="shared" si="88"/>
        <v>0.65333333333333332</v>
      </c>
      <c r="F440" s="65" t="str">
        <f t="shared" si="90"/>
        <v>Desempenho Bom</v>
      </c>
      <c r="G440" s="71">
        <f t="shared" si="94"/>
        <v>0.63634637719050002</v>
      </c>
      <c r="H440" s="71">
        <f t="shared" si="94"/>
        <v>1.0512878703900039</v>
      </c>
      <c r="I440" s="71">
        <f t="shared" si="94"/>
        <v>0.22140488399099606</v>
      </c>
      <c r="J440" s="75">
        <v>170000</v>
      </c>
      <c r="K440" s="75">
        <v>3500</v>
      </c>
      <c r="L440" s="6">
        <f>(SUM(K434:K440))/J439</f>
        <v>0.32090588235294115</v>
      </c>
      <c r="M440" s="36" t="str">
        <f t="shared" si="91"/>
        <v>Desempenho Médio</v>
      </c>
      <c r="N440" s="6">
        <f t="shared" si="100"/>
        <v>0.38334713342809434</v>
      </c>
      <c r="O440" s="6">
        <f t="shared" si="100"/>
        <v>0.88375935483946089</v>
      </c>
      <c r="P440" s="6">
        <f t="shared" si="100"/>
        <v>-0.1170650879832722</v>
      </c>
      <c r="Q440" s="75">
        <v>60</v>
      </c>
      <c r="R440" s="76">
        <v>59</v>
      </c>
      <c r="S440" s="6">
        <f t="shared" si="89"/>
        <v>0.98333333333333328</v>
      </c>
      <c r="T440" s="36" t="str">
        <f t="shared" si="92"/>
        <v>Desempenho Ótimo</v>
      </c>
      <c r="U440" s="6">
        <f t="shared" si="99"/>
        <v>0.46105014853915682</v>
      </c>
      <c r="V440" s="6">
        <f t="shared" si="99"/>
        <v>0.84756736419379908</v>
      </c>
      <c r="W440" s="6">
        <f t="shared" si="99"/>
        <v>7.4532932884514569E-2</v>
      </c>
      <c r="X440" s="6">
        <f t="shared" si="99"/>
        <v>7.4532932884514569E-2</v>
      </c>
      <c r="Y440" s="6">
        <f t="shared" si="99"/>
        <v>0.38651721565464225</v>
      </c>
    </row>
    <row r="441" spans="1:25" x14ac:dyDescent="0.25">
      <c r="A441" s="7" t="s">
        <v>110</v>
      </c>
      <c r="B441" s="7" t="s">
        <v>165</v>
      </c>
      <c r="C441" s="74">
        <v>75</v>
      </c>
      <c r="D441" s="74">
        <v>76</v>
      </c>
      <c r="E441" s="71">
        <f t="shared" si="88"/>
        <v>1.0133333333333334</v>
      </c>
      <c r="F441" s="65" t="str">
        <f t="shared" si="90"/>
        <v>Desempenho Bom</v>
      </c>
      <c r="G441" s="71">
        <f t="shared" si="94"/>
        <v>0.70660866675940681</v>
      </c>
      <c r="H441" s="71">
        <f t="shared" si="94"/>
        <v>1.1341225514190425</v>
      </c>
      <c r="I441" s="71">
        <f t="shared" si="94"/>
        <v>0.27909478209977112</v>
      </c>
      <c r="J441" s="75">
        <v>170000</v>
      </c>
      <c r="K441" s="75">
        <v>71741</v>
      </c>
      <c r="L441" s="6">
        <f>(SUM(K434:K441))/J440</f>
        <v>0.74291176470588238</v>
      </c>
      <c r="M441" s="36" t="str">
        <f t="shared" si="91"/>
        <v>Desempenho Bom</v>
      </c>
      <c r="N441" s="6">
        <f t="shared" si="100"/>
        <v>0.45719521320533213</v>
      </c>
      <c r="O441" s="6">
        <f t="shared" si="100"/>
        <v>0.97356755068321044</v>
      </c>
      <c r="P441" s="6">
        <f t="shared" si="100"/>
        <v>-5.9177124272546122E-2</v>
      </c>
      <c r="Q441" s="75">
        <v>60</v>
      </c>
      <c r="R441" s="76">
        <v>59</v>
      </c>
      <c r="S441" s="6">
        <f t="shared" si="89"/>
        <v>0.98333333333333328</v>
      </c>
      <c r="T441" s="36" t="str">
        <f t="shared" si="92"/>
        <v>Desempenho Ótimo</v>
      </c>
      <c r="U441" s="6">
        <f t="shared" si="99"/>
        <v>0.46105014853915682</v>
      </c>
      <c r="V441" s="6">
        <f t="shared" si="99"/>
        <v>0.84756736419379908</v>
      </c>
      <c r="W441" s="6">
        <f t="shared" si="99"/>
        <v>7.4532932884514569E-2</v>
      </c>
      <c r="X441" s="6">
        <f t="shared" si="99"/>
        <v>7.4532932884514569E-2</v>
      </c>
      <c r="Y441" s="6">
        <f t="shared" si="99"/>
        <v>0.38651721565464225</v>
      </c>
    </row>
    <row r="442" spans="1:25" x14ac:dyDescent="0.25">
      <c r="A442" s="7" t="s">
        <v>110</v>
      </c>
      <c r="B442" s="7" t="s">
        <v>166</v>
      </c>
      <c r="C442" s="74">
        <v>75</v>
      </c>
      <c r="D442" s="74">
        <v>76</v>
      </c>
      <c r="E442" s="71">
        <f t="shared" si="88"/>
        <v>1.0133333333333334</v>
      </c>
      <c r="F442" s="65" t="str">
        <f t="shared" si="90"/>
        <v>Desempenho Bom</v>
      </c>
      <c r="G442" s="71">
        <f t="shared" si="94"/>
        <v>0.73663014244586189</v>
      </c>
      <c r="H442" s="71">
        <f t="shared" si="94"/>
        <v>1.1737360935948695</v>
      </c>
      <c r="I442" s="71">
        <f t="shared" si="94"/>
        <v>0.29952419129685426</v>
      </c>
      <c r="J442" s="75">
        <v>170000</v>
      </c>
      <c r="K442" s="75">
        <v>7000</v>
      </c>
      <c r="L442" s="6">
        <f>(SUM(K434:K442))/J441</f>
        <v>0.78408823529411764</v>
      </c>
      <c r="M442" s="36" t="str">
        <f t="shared" si="91"/>
        <v>Desempenho Bom</v>
      </c>
      <c r="N442" s="6">
        <f t="shared" si="100"/>
        <v>0.50336729135060976</v>
      </c>
      <c r="O442" s="6">
        <f t="shared" si="100"/>
        <v>1.0150591886201059</v>
      </c>
      <c r="P442" s="6">
        <f t="shared" si="100"/>
        <v>-8.3246059188863963E-3</v>
      </c>
      <c r="Q442" s="75">
        <v>60</v>
      </c>
      <c r="R442" s="76">
        <v>76</v>
      </c>
      <c r="S442" s="6">
        <f t="shared" si="89"/>
        <v>1.2666666666666666</v>
      </c>
      <c r="T442" s="36" t="str">
        <f t="shared" si="92"/>
        <v>Desempenho Ótimo</v>
      </c>
      <c r="U442" s="6">
        <f t="shared" si="99"/>
        <v>0.74232771533595698</v>
      </c>
      <c r="V442" s="6">
        <f t="shared" si="99"/>
        <v>1.1540802341555996</v>
      </c>
      <c r="W442" s="6">
        <f t="shared" si="99"/>
        <v>0.33057519651631434</v>
      </c>
      <c r="X442" s="6">
        <f t="shared" si="99"/>
        <v>0.33057519651631434</v>
      </c>
      <c r="Y442" s="6">
        <f t="shared" si="99"/>
        <v>0.41175251881964264</v>
      </c>
    </row>
    <row r="443" spans="1:25" x14ac:dyDescent="0.25">
      <c r="A443" s="7" t="s">
        <v>110</v>
      </c>
      <c r="B443" s="7" t="s">
        <v>167</v>
      </c>
      <c r="C443" s="74">
        <v>75</v>
      </c>
      <c r="D443" s="74">
        <v>78</v>
      </c>
      <c r="E443" s="71">
        <f t="shared" si="88"/>
        <v>1.04</v>
      </c>
      <c r="F443" s="65" t="str">
        <f t="shared" si="90"/>
        <v>Desempenho Bom</v>
      </c>
      <c r="G443" s="71">
        <f t="shared" si="94"/>
        <v>0.82061442726694189</v>
      </c>
      <c r="H443" s="71">
        <f t="shared" si="94"/>
        <v>1.2607833515834532</v>
      </c>
      <c r="I443" s="71">
        <f t="shared" si="94"/>
        <v>0.38044550295043061</v>
      </c>
      <c r="J443" s="75">
        <v>170000</v>
      </c>
      <c r="K443" s="75">
        <v>8372</v>
      </c>
      <c r="L443" s="6">
        <f>(SUM(K434:K443))/J442</f>
        <v>0.83333529411764706</v>
      </c>
      <c r="M443" s="36" t="str">
        <f t="shared" si="91"/>
        <v>Desempenho Bom</v>
      </c>
      <c r="N443" s="6">
        <f t="shared" si="100"/>
        <v>0.58006775555216661</v>
      </c>
      <c r="O443" s="6">
        <f t="shared" si="100"/>
        <v>1.099948635873619</v>
      </c>
      <c r="P443" s="6">
        <f t="shared" si="100"/>
        <v>6.0186875230714088E-2</v>
      </c>
      <c r="Q443" s="75">
        <v>60</v>
      </c>
      <c r="R443" s="76">
        <v>76</v>
      </c>
      <c r="S443" s="6">
        <f t="shared" si="89"/>
        <v>1.2666666666666666</v>
      </c>
      <c r="T443" s="36" t="str">
        <f t="shared" si="92"/>
        <v>Desempenho Ótimo</v>
      </c>
      <c r="U443" s="6">
        <f t="shared" si="99"/>
        <v>0.82347447721763523</v>
      </c>
      <c r="V443" s="6">
        <f t="shared" si="99"/>
        <v>1.2398542522675045</v>
      </c>
      <c r="W443" s="6">
        <f t="shared" si="99"/>
        <v>0.40709470216776611</v>
      </c>
      <c r="X443" s="6">
        <f t="shared" si="99"/>
        <v>0.40709470216776611</v>
      </c>
      <c r="Y443" s="6">
        <f t="shared" si="99"/>
        <v>0.41637977504986912</v>
      </c>
    </row>
    <row r="444" spans="1:25" x14ac:dyDescent="0.25">
      <c r="A444" s="7" t="s">
        <v>110</v>
      </c>
      <c r="B444" s="7" t="s">
        <v>168</v>
      </c>
      <c r="C444" s="74">
        <v>75</v>
      </c>
      <c r="D444" s="74">
        <v>78</v>
      </c>
      <c r="E444" s="71">
        <f t="shared" si="88"/>
        <v>1.04</v>
      </c>
      <c r="F444" s="65" t="str">
        <f t="shared" si="90"/>
        <v>Desempenho Bom</v>
      </c>
      <c r="G444" s="71">
        <f t="shared" si="94"/>
        <v>0.94582556715526966</v>
      </c>
      <c r="H444" s="71">
        <f t="shared" si="94"/>
        <v>1.4311117173682604</v>
      </c>
      <c r="I444" s="71">
        <f t="shared" si="94"/>
        <v>0.46053941694227907</v>
      </c>
      <c r="J444" s="75">
        <v>170000</v>
      </c>
      <c r="K444" s="75">
        <v>0</v>
      </c>
      <c r="L444" s="6">
        <f>(SUM(K434:K444))/J443</f>
        <v>0.83333529411764706</v>
      </c>
      <c r="M444" s="36" t="str">
        <f t="shared" si="91"/>
        <v>Desempenho Bom</v>
      </c>
      <c r="N444" s="6">
        <f t="shared" si="100"/>
        <v>0.72282137340514951</v>
      </c>
      <c r="O444" s="6">
        <f t="shared" si="100"/>
        <v>1.2463651595014014</v>
      </c>
      <c r="P444" s="6">
        <f t="shared" si="100"/>
        <v>0.19927758730889755</v>
      </c>
      <c r="Q444" s="75">
        <v>60</v>
      </c>
      <c r="R444" s="76">
        <v>97</v>
      </c>
      <c r="S444" s="6">
        <f t="shared" si="89"/>
        <v>1.6166666666666667</v>
      </c>
      <c r="T444" s="36" t="str">
        <f t="shared" si="92"/>
        <v>Desempenho Ótimo</v>
      </c>
      <c r="U444" s="6">
        <f t="shared" si="99"/>
        <v>0.91825333306001944</v>
      </c>
      <c r="V444" s="6">
        <f t="shared" si="99"/>
        <v>1.402047931898428</v>
      </c>
      <c r="W444" s="6">
        <f t="shared" si="99"/>
        <v>0.43445873422161085</v>
      </c>
      <c r="X444" s="6">
        <f t="shared" si="99"/>
        <v>0.43445873422161085</v>
      </c>
      <c r="Y444" s="6">
        <f t="shared" si="99"/>
        <v>0.48379459883840858</v>
      </c>
    </row>
    <row r="445" spans="1:25" x14ac:dyDescent="0.25">
      <c r="A445" s="7" t="s">
        <v>110</v>
      </c>
      <c r="B445" s="7" t="s">
        <v>169</v>
      </c>
      <c r="C445" s="74">
        <v>75</v>
      </c>
      <c r="D445" s="74">
        <v>84</v>
      </c>
      <c r="E445" s="71">
        <f t="shared" si="88"/>
        <v>1.1200000000000001</v>
      </c>
      <c r="F445" s="65" t="str">
        <f t="shared" si="90"/>
        <v>Desempenho Bom</v>
      </c>
      <c r="G445" s="71">
        <f t="shared" si="94"/>
        <v>1.0016849877757958</v>
      </c>
      <c r="H445" s="71">
        <f t="shared" si="94"/>
        <v>1.521489991464148</v>
      </c>
      <c r="I445" s="71">
        <f t="shared" si="94"/>
        <v>0.48187998408744359</v>
      </c>
      <c r="J445" s="75">
        <v>170000</v>
      </c>
      <c r="K445" s="75">
        <v>28390.04</v>
      </c>
      <c r="L445" s="6">
        <f>(SUM(K434:K445))/J444</f>
        <v>1.0003355294117648</v>
      </c>
      <c r="M445" s="36" t="str">
        <f t="shared" si="91"/>
        <v>Desempenho Bom</v>
      </c>
      <c r="N445" s="6">
        <f t="shared" si="100"/>
        <v>0.82421983567812696</v>
      </c>
      <c r="O445" s="6">
        <f t="shared" si="100"/>
        <v>1.3730394926064369</v>
      </c>
      <c r="P445" s="6">
        <f t="shared" si="100"/>
        <v>0.27540017874981693</v>
      </c>
      <c r="Q445" s="75">
        <v>60</v>
      </c>
      <c r="R445" s="76">
        <v>97</v>
      </c>
      <c r="S445" s="6">
        <f t="shared" si="89"/>
        <v>1.6166666666666667</v>
      </c>
      <c r="T445" s="36" t="str">
        <f t="shared" si="92"/>
        <v>Desempenho Ótimo</v>
      </c>
      <c r="U445" s="6">
        <f t="shared" si="99"/>
        <v>0.91825333306001944</v>
      </c>
      <c r="V445" s="6">
        <f t="shared" si="99"/>
        <v>1.402047931898428</v>
      </c>
      <c r="W445" s="6">
        <f t="shared" si="99"/>
        <v>0.43445873422161085</v>
      </c>
      <c r="X445" s="6">
        <f t="shared" si="99"/>
        <v>0.43445873422161085</v>
      </c>
      <c r="Y445" s="6">
        <f t="shared" si="99"/>
        <v>0.48379459883840858</v>
      </c>
    </row>
    <row r="446" spans="1:25" x14ac:dyDescent="0.25">
      <c r="A446" s="7" t="s">
        <v>32</v>
      </c>
      <c r="B446" s="7" t="s">
        <v>158</v>
      </c>
      <c r="C446" s="74">
        <v>0</v>
      </c>
      <c r="D446" s="74">
        <v>0</v>
      </c>
      <c r="E446" s="71" t="e">
        <f t="shared" si="88"/>
        <v>#DIV/0!</v>
      </c>
      <c r="F446" s="65" t="e">
        <f t="shared" si="90"/>
        <v>#DIV/0!</v>
      </c>
      <c r="G446" s="71">
        <f t="shared" si="94"/>
        <v>0.11573204891712785</v>
      </c>
      <c r="H446" s="71">
        <f t="shared" si="94"/>
        <v>0.30218524997148988</v>
      </c>
      <c r="I446" s="71">
        <f t="shared" si="94"/>
        <v>-7.0721152137234206E-2</v>
      </c>
      <c r="J446" s="75">
        <v>0</v>
      </c>
      <c r="K446" s="75">
        <v>0</v>
      </c>
      <c r="L446" s="6" t="e">
        <f>K446/J446</f>
        <v>#DIV/0!</v>
      </c>
      <c r="M446" s="36" t="e">
        <f t="shared" si="91"/>
        <v>#DIV/0!</v>
      </c>
      <c r="N446" s="6">
        <f t="shared" si="100"/>
        <v>0.11129468122233216</v>
      </c>
      <c r="O446" s="6">
        <f t="shared" si="100"/>
        <v>0.54990456699293522</v>
      </c>
      <c r="P446" s="6">
        <f t="shared" si="100"/>
        <v>-0.32731520454827095</v>
      </c>
      <c r="Q446" s="75">
        <v>0</v>
      </c>
      <c r="R446" s="76">
        <v>0</v>
      </c>
      <c r="S446" s="6" t="e">
        <f t="shared" si="89"/>
        <v>#DIV/0!</v>
      </c>
      <c r="T446" s="36" t="e">
        <f t="shared" si="92"/>
        <v>#DIV/0!</v>
      </c>
      <c r="U446" s="6">
        <f t="shared" si="99"/>
        <v>6.5053670194766225E-2</v>
      </c>
      <c r="V446" s="6">
        <f t="shared" si="99"/>
        <v>0.16010348962314203</v>
      </c>
      <c r="W446" s="6">
        <f t="shared" si="99"/>
        <v>-2.9996149233609562E-2</v>
      </c>
      <c r="X446" s="6">
        <f t="shared" si="99"/>
        <v>1.7528760480578331E-2</v>
      </c>
      <c r="Y446" s="6">
        <f t="shared" si="99"/>
        <v>9.5049819428375787E-2</v>
      </c>
    </row>
    <row r="447" spans="1:25" x14ac:dyDescent="0.25">
      <c r="A447" s="7" t="s">
        <v>32</v>
      </c>
      <c r="B447" s="7" t="s">
        <v>159</v>
      </c>
      <c r="C447" s="74">
        <v>0</v>
      </c>
      <c r="D447" s="74">
        <v>0</v>
      </c>
      <c r="E447" s="71" t="e">
        <f t="shared" si="88"/>
        <v>#DIV/0!</v>
      </c>
      <c r="F447" s="65" t="e">
        <f t="shared" si="90"/>
        <v>#DIV/0!</v>
      </c>
      <c r="G447" s="71">
        <f t="shared" si="94"/>
        <v>0.22598075676513599</v>
      </c>
      <c r="H447" s="71">
        <f t="shared" si="94"/>
        <v>0.51894873552035481</v>
      </c>
      <c r="I447" s="71">
        <f t="shared" si="94"/>
        <v>-6.6987221990082807E-2</v>
      </c>
      <c r="J447" s="75">
        <v>0</v>
      </c>
      <c r="K447" s="75">
        <v>0</v>
      </c>
      <c r="L447" s="6" t="e">
        <f>(SUM(K446:K447))/J446</f>
        <v>#DIV/0!</v>
      </c>
      <c r="M447" s="36" t="e">
        <f t="shared" si="91"/>
        <v>#DIV/0!</v>
      </c>
      <c r="N447" s="6">
        <f t="shared" si="100"/>
        <v>0.14992070801509372</v>
      </c>
      <c r="O447" s="6">
        <f t="shared" si="100"/>
        <v>0.58968599072326611</v>
      </c>
      <c r="P447" s="6">
        <f t="shared" si="100"/>
        <v>-0.28984457469307867</v>
      </c>
      <c r="Q447" s="75">
        <v>0</v>
      </c>
      <c r="R447" s="76">
        <v>0</v>
      </c>
      <c r="S447" s="6" t="e">
        <f t="shared" si="89"/>
        <v>#DIV/0!</v>
      </c>
      <c r="T447" s="36" t="e">
        <f t="shared" si="92"/>
        <v>#DIV/0!</v>
      </c>
      <c r="U447" s="6">
        <f t="shared" ref="U447:Y462" si="101">U435</f>
        <v>6.5053670194766225E-2</v>
      </c>
      <c r="V447" s="6">
        <f t="shared" si="101"/>
        <v>0.16010348962314203</v>
      </c>
      <c r="W447" s="6">
        <f t="shared" si="101"/>
        <v>-2.9996149233609562E-2</v>
      </c>
      <c r="X447" s="6">
        <f t="shared" si="101"/>
        <v>1.7528760480578331E-2</v>
      </c>
      <c r="Y447" s="6">
        <f t="shared" si="101"/>
        <v>9.5049819428375787E-2</v>
      </c>
    </row>
    <row r="448" spans="1:25" x14ac:dyDescent="0.25">
      <c r="A448" s="7" t="s">
        <v>32</v>
      </c>
      <c r="B448" s="7" t="s">
        <v>160</v>
      </c>
      <c r="C448" s="74">
        <v>0</v>
      </c>
      <c r="D448" s="74">
        <v>67</v>
      </c>
      <c r="E448" s="71" t="e">
        <f t="shared" si="88"/>
        <v>#DIV/0!</v>
      </c>
      <c r="F448" s="65" t="e">
        <f t="shared" si="90"/>
        <v>#DIV/0!</v>
      </c>
      <c r="G448" s="71">
        <f t="shared" si="94"/>
        <v>0.2827891266215985</v>
      </c>
      <c r="H448" s="71">
        <f t="shared" si="94"/>
        <v>0.59134445337262298</v>
      </c>
      <c r="I448" s="71">
        <f t="shared" si="94"/>
        <v>-2.5766200129425987E-2</v>
      </c>
      <c r="J448" s="75">
        <v>0</v>
      </c>
      <c r="K448" s="75">
        <v>0</v>
      </c>
      <c r="L448" s="6" t="e">
        <f>(SUM(K446:K448))/J447</f>
        <v>#DIV/0!</v>
      </c>
      <c r="M448" s="36" t="e">
        <f t="shared" si="91"/>
        <v>#DIV/0!</v>
      </c>
      <c r="N448" s="6">
        <f t="shared" si="100"/>
        <v>0.17723994755342617</v>
      </c>
      <c r="O448" s="6">
        <f t="shared" si="100"/>
        <v>0.61473682715667155</v>
      </c>
      <c r="P448" s="6">
        <f t="shared" si="100"/>
        <v>-0.26025693204981915</v>
      </c>
      <c r="Q448" s="75">
        <v>0</v>
      </c>
      <c r="R448" s="76">
        <v>0</v>
      </c>
      <c r="S448" s="6" t="e">
        <f t="shared" si="89"/>
        <v>#DIV/0!</v>
      </c>
      <c r="T448" s="36" t="e">
        <f t="shared" si="92"/>
        <v>#DIV/0!</v>
      </c>
      <c r="U448" s="6">
        <f t="shared" si="101"/>
        <v>0.18401218302179842</v>
      </c>
      <c r="V448" s="6">
        <f t="shared" si="101"/>
        <v>0.37883088095577799</v>
      </c>
      <c r="W448" s="6">
        <f t="shared" si="101"/>
        <v>-1.0806514912181153E-2</v>
      </c>
      <c r="X448" s="6">
        <f t="shared" si="101"/>
        <v>8.6602834054808633E-2</v>
      </c>
      <c r="Y448" s="6">
        <f t="shared" si="101"/>
        <v>0.19481869793397957</v>
      </c>
    </row>
    <row r="449" spans="1:25" x14ac:dyDescent="0.25">
      <c r="A449" s="7" t="s">
        <v>32</v>
      </c>
      <c r="B449" s="7" t="s">
        <v>161</v>
      </c>
      <c r="C449" s="74">
        <v>0</v>
      </c>
      <c r="D449" s="74">
        <v>67</v>
      </c>
      <c r="E449" s="71" t="e">
        <f t="shared" si="88"/>
        <v>#DIV/0!</v>
      </c>
      <c r="F449" s="65" t="e">
        <f t="shared" si="90"/>
        <v>#DIV/0!</v>
      </c>
      <c r="G449" s="71">
        <f t="shared" si="94"/>
        <v>0.36222496935690102</v>
      </c>
      <c r="H449" s="71">
        <f t="shared" si="94"/>
        <v>0.67917151968337719</v>
      </c>
      <c r="I449" s="71">
        <f t="shared" si="94"/>
        <v>4.5278419030424844E-2</v>
      </c>
      <c r="J449" s="75">
        <v>0</v>
      </c>
      <c r="K449" s="75">
        <v>0</v>
      </c>
      <c r="L449" s="6" t="e">
        <f>(SUM(K446:K449))/J448</f>
        <v>#DIV/0!</v>
      </c>
      <c r="M449" s="36" t="e">
        <f t="shared" si="91"/>
        <v>#DIV/0!</v>
      </c>
      <c r="N449" s="6">
        <f t="shared" si="100"/>
        <v>0.2271654986777647</v>
      </c>
      <c r="O449" s="6">
        <f t="shared" si="100"/>
        <v>0.71582389712396544</v>
      </c>
      <c r="P449" s="6">
        <f t="shared" si="100"/>
        <v>-0.26149289976843598</v>
      </c>
      <c r="Q449" s="75">
        <v>0</v>
      </c>
      <c r="R449" s="76">
        <v>0</v>
      </c>
      <c r="S449" s="6" t="e">
        <f t="shared" si="89"/>
        <v>#DIV/0!</v>
      </c>
      <c r="T449" s="36" t="e">
        <f t="shared" si="92"/>
        <v>#DIV/0!</v>
      </c>
      <c r="U449" s="6">
        <f t="shared" si="101"/>
        <v>0.18401218302179842</v>
      </c>
      <c r="V449" s="6">
        <f t="shared" si="101"/>
        <v>0.37883088095577799</v>
      </c>
      <c r="W449" s="6">
        <f t="shared" si="101"/>
        <v>-1.0806514912181153E-2</v>
      </c>
      <c r="X449" s="6">
        <f t="shared" si="101"/>
        <v>8.6602834054808633E-2</v>
      </c>
      <c r="Y449" s="6">
        <f t="shared" si="101"/>
        <v>0.19481869793397957</v>
      </c>
    </row>
    <row r="450" spans="1:25" x14ac:dyDescent="0.25">
      <c r="A450" s="7" t="s">
        <v>32</v>
      </c>
      <c r="B450" s="7" t="s">
        <v>162</v>
      </c>
      <c r="C450" s="74">
        <v>0</v>
      </c>
      <c r="D450" s="74">
        <v>67</v>
      </c>
      <c r="E450" s="71" t="e">
        <f t="shared" ref="E450:E513" si="102">D450/C450</f>
        <v>#DIV/0!</v>
      </c>
      <c r="F450" s="65" t="e">
        <f t="shared" si="90"/>
        <v>#DIV/0!</v>
      </c>
      <c r="G450" s="71">
        <f t="shared" si="94"/>
        <v>0.44825178806664662</v>
      </c>
      <c r="H450" s="71">
        <f t="shared" si="94"/>
        <v>0.78548221403733831</v>
      </c>
      <c r="I450" s="71">
        <f t="shared" si="94"/>
        <v>0.11102136209595498</v>
      </c>
      <c r="J450" s="75">
        <v>0</v>
      </c>
      <c r="K450" s="75">
        <v>0</v>
      </c>
      <c r="L450" s="6" t="e">
        <f>(SUM(K446:K450))/J449</f>
        <v>#DIV/0!</v>
      </c>
      <c r="M450" s="36" t="e">
        <f t="shared" si="91"/>
        <v>#DIV/0!</v>
      </c>
      <c r="N450" s="6">
        <f t="shared" si="100"/>
        <v>0.27284258705105507</v>
      </c>
      <c r="O450" s="6">
        <f t="shared" si="100"/>
        <v>0.75981161093062477</v>
      </c>
      <c r="P450" s="6">
        <f t="shared" si="100"/>
        <v>-0.21412643682851468</v>
      </c>
      <c r="Q450" s="75">
        <v>0</v>
      </c>
      <c r="R450" s="76">
        <v>25</v>
      </c>
      <c r="S450" s="6" t="e">
        <f t="shared" ref="S450:S513" si="103">R450/Q450</f>
        <v>#DIV/0!</v>
      </c>
      <c r="T450" s="36" t="e">
        <f t="shared" si="92"/>
        <v>#DIV/0!</v>
      </c>
      <c r="U450" s="6">
        <f t="shared" si="101"/>
        <v>0.23278475191631845</v>
      </c>
      <c r="V450" s="6">
        <f t="shared" si="101"/>
        <v>0.51017789992422413</v>
      </c>
      <c r="W450" s="6">
        <f t="shared" si="101"/>
        <v>-4.460839609158726E-2</v>
      </c>
      <c r="X450" s="6">
        <f t="shared" si="101"/>
        <v>9.4088177912365595E-2</v>
      </c>
      <c r="Y450" s="6">
        <f t="shared" si="101"/>
        <v>0.27739314800790571</v>
      </c>
    </row>
    <row r="451" spans="1:25" x14ac:dyDescent="0.25">
      <c r="A451" s="7" t="s">
        <v>32</v>
      </c>
      <c r="B451" s="7" t="s">
        <v>163</v>
      </c>
      <c r="C451" s="74">
        <v>0</v>
      </c>
      <c r="D451" s="74">
        <v>67</v>
      </c>
      <c r="E451" s="71" t="e">
        <f t="shared" si="102"/>
        <v>#DIV/0!</v>
      </c>
      <c r="F451" s="65" t="e">
        <f t="shared" ref="F451:F514" si="104">IF(E451&gt;=H451,"Desempenho Ótimo",(IF(E451&gt;G451,"Desempenho Bom",(IF(E451&gt;I451,"Desempenho Médio",IF(E451&lt;=I451,"Desempenho Deficitário",0))))))</f>
        <v>#DIV/0!</v>
      </c>
      <c r="G451" s="71">
        <f t="shared" si="94"/>
        <v>0.54231176602906361</v>
      </c>
      <c r="H451" s="71">
        <f t="shared" si="94"/>
        <v>0.92735502699565786</v>
      </c>
      <c r="I451" s="71">
        <f t="shared" si="94"/>
        <v>0.15726850506246942</v>
      </c>
      <c r="J451" s="75">
        <v>0</v>
      </c>
      <c r="K451" s="75">
        <v>0</v>
      </c>
      <c r="L451" s="6" t="e">
        <f>(SUM(K446:K451))/J450</f>
        <v>#DIV/0!</v>
      </c>
      <c r="M451" s="36" t="e">
        <f t="shared" ref="M451:M514" si="105">IF(L451&gt;=O451,"Desempenho Ótimo",(IF(L451&gt;N451,"Desempenho Bom",(IF(L451&gt;P451,"Desempenho Médio",IF(L451&lt;=P451,"Desempenho Deficitário",0))))))</f>
        <v>#DIV/0!</v>
      </c>
      <c r="N451" s="6">
        <f t="shared" si="100"/>
        <v>0.31451673641638933</v>
      </c>
      <c r="O451" s="6">
        <f t="shared" si="100"/>
        <v>0.80702132782766356</v>
      </c>
      <c r="P451" s="6">
        <f t="shared" si="100"/>
        <v>-0.1779878549948849</v>
      </c>
      <c r="Q451" s="75">
        <v>0</v>
      </c>
      <c r="R451" s="76">
        <v>33</v>
      </c>
      <c r="S451" s="6" t="e">
        <f t="shared" si="103"/>
        <v>#DIV/0!</v>
      </c>
      <c r="T451" s="36" t="e">
        <f t="shared" ref="T451:T514" si="106">IF(S451&gt;=V451,"Desempenho Ótimo",(IF(S451&gt;U451,"Desempenho Bom",(IF(S451&gt;W451,"Desempenho Médio",IF(S451&lt;=W451,"Desempenho Deficitário",0))))))</f>
        <v>#DIV/0!</v>
      </c>
      <c r="U451" s="6">
        <f t="shared" si="101"/>
        <v>0.46105014853915682</v>
      </c>
      <c r="V451" s="6">
        <f t="shared" si="101"/>
        <v>0.84756736419379908</v>
      </c>
      <c r="W451" s="6">
        <f t="shared" si="101"/>
        <v>7.4532932884514569E-2</v>
      </c>
      <c r="X451" s="6">
        <f t="shared" si="101"/>
        <v>7.4532932884514569E-2</v>
      </c>
      <c r="Y451" s="6">
        <f t="shared" si="101"/>
        <v>0.38651721565464225</v>
      </c>
    </row>
    <row r="452" spans="1:25" x14ac:dyDescent="0.25">
      <c r="A452" s="7" t="s">
        <v>32</v>
      </c>
      <c r="B452" s="7" t="s">
        <v>164</v>
      </c>
      <c r="C452" s="74">
        <v>0</v>
      </c>
      <c r="D452" s="74">
        <v>67</v>
      </c>
      <c r="E452" s="71" t="e">
        <f t="shared" si="102"/>
        <v>#DIV/0!</v>
      </c>
      <c r="F452" s="65" t="e">
        <f t="shared" si="104"/>
        <v>#DIV/0!</v>
      </c>
      <c r="G452" s="71">
        <f t="shared" si="94"/>
        <v>0.63634637719050002</v>
      </c>
      <c r="H452" s="71">
        <f t="shared" si="94"/>
        <v>1.0512878703900039</v>
      </c>
      <c r="I452" s="71">
        <f t="shared" si="94"/>
        <v>0.22140488399099606</v>
      </c>
      <c r="J452" s="75">
        <v>0</v>
      </c>
      <c r="K452" s="75">
        <v>0</v>
      </c>
      <c r="L452" s="6" t="e">
        <f>(SUM(K446:K452))/J451</f>
        <v>#DIV/0!</v>
      </c>
      <c r="M452" s="36" t="e">
        <f t="shared" si="105"/>
        <v>#DIV/0!</v>
      </c>
      <c r="N452" s="6">
        <f t="shared" si="100"/>
        <v>0.38334713342809434</v>
      </c>
      <c r="O452" s="6">
        <f t="shared" si="100"/>
        <v>0.88375935483946089</v>
      </c>
      <c r="P452" s="6">
        <f t="shared" si="100"/>
        <v>-0.1170650879832722</v>
      </c>
      <c r="Q452" s="75">
        <v>0</v>
      </c>
      <c r="R452" s="76">
        <v>33</v>
      </c>
      <c r="S452" s="6" t="e">
        <f t="shared" si="103"/>
        <v>#DIV/0!</v>
      </c>
      <c r="T452" s="36" t="e">
        <f t="shared" si="106"/>
        <v>#DIV/0!</v>
      </c>
      <c r="U452" s="6">
        <f t="shared" si="101"/>
        <v>0.46105014853915682</v>
      </c>
      <c r="V452" s="6">
        <f t="shared" si="101"/>
        <v>0.84756736419379908</v>
      </c>
      <c r="W452" s="6">
        <f t="shared" si="101"/>
        <v>7.4532932884514569E-2</v>
      </c>
      <c r="X452" s="6">
        <f t="shared" si="101"/>
        <v>7.4532932884514569E-2</v>
      </c>
      <c r="Y452" s="6">
        <f t="shared" si="101"/>
        <v>0.38651721565464225</v>
      </c>
    </row>
    <row r="453" spans="1:25" x14ac:dyDescent="0.25">
      <c r="A453" s="7" t="s">
        <v>32</v>
      </c>
      <c r="B453" s="7" t="s">
        <v>165</v>
      </c>
      <c r="C453" s="74">
        <v>0</v>
      </c>
      <c r="D453" s="74">
        <v>67</v>
      </c>
      <c r="E453" s="71" t="e">
        <f t="shared" si="102"/>
        <v>#DIV/0!</v>
      </c>
      <c r="F453" s="65" t="e">
        <f t="shared" si="104"/>
        <v>#DIV/0!</v>
      </c>
      <c r="G453" s="71">
        <f t="shared" si="94"/>
        <v>0.70660866675940681</v>
      </c>
      <c r="H453" s="71">
        <f t="shared" si="94"/>
        <v>1.1341225514190425</v>
      </c>
      <c r="I453" s="71">
        <f t="shared" si="94"/>
        <v>0.27909478209977112</v>
      </c>
      <c r="J453" s="75">
        <v>0</v>
      </c>
      <c r="K453" s="75">
        <v>0</v>
      </c>
      <c r="L453" s="6" t="e">
        <f>(SUM(K446:K453))/J452</f>
        <v>#DIV/0!</v>
      </c>
      <c r="M453" s="36" t="e">
        <f t="shared" si="105"/>
        <v>#DIV/0!</v>
      </c>
      <c r="N453" s="6">
        <f t="shared" si="100"/>
        <v>0.45719521320533213</v>
      </c>
      <c r="O453" s="6">
        <f t="shared" si="100"/>
        <v>0.97356755068321044</v>
      </c>
      <c r="P453" s="6">
        <f t="shared" si="100"/>
        <v>-5.9177124272546122E-2</v>
      </c>
      <c r="Q453" s="75">
        <v>0</v>
      </c>
      <c r="R453" s="76">
        <v>33</v>
      </c>
      <c r="S453" s="6" t="e">
        <f t="shared" si="103"/>
        <v>#DIV/0!</v>
      </c>
      <c r="T453" s="36" t="e">
        <f t="shared" si="106"/>
        <v>#DIV/0!</v>
      </c>
      <c r="U453" s="6">
        <f t="shared" si="101"/>
        <v>0.46105014853915682</v>
      </c>
      <c r="V453" s="6">
        <f t="shared" si="101"/>
        <v>0.84756736419379908</v>
      </c>
      <c r="W453" s="6">
        <f t="shared" si="101"/>
        <v>7.4532932884514569E-2</v>
      </c>
      <c r="X453" s="6">
        <f t="shared" si="101"/>
        <v>7.4532932884514569E-2</v>
      </c>
      <c r="Y453" s="6">
        <f t="shared" si="101"/>
        <v>0.38651721565464225</v>
      </c>
    </row>
    <row r="454" spans="1:25" x14ac:dyDescent="0.25">
      <c r="A454" s="7" t="s">
        <v>32</v>
      </c>
      <c r="B454" s="7" t="s">
        <v>166</v>
      </c>
      <c r="C454" s="74">
        <v>0</v>
      </c>
      <c r="D454" s="74">
        <v>67</v>
      </c>
      <c r="E454" s="71" t="e">
        <f t="shared" si="102"/>
        <v>#DIV/0!</v>
      </c>
      <c r="F454" s="65" t="e">
        <f t="shared" si="104"/>
        <v>#DIV/0!</v>
      </c>
      <c r="G454" s="71">
        <f t="shared" si="94"/>
        <v>0.73663014244586189</v>
      </c>
      <c r="H454" s="71">
        <f t="shared" si="94"/>
        <v>1.1737360935948695</v>
      </c>
      <c r="I454" s="71">
        <f t="shared" si="94"/>
        <v>0.29952419129685426</v>
      </c>
      <c r="J454" s="75">
        <v>0</v>
      </c>
      <c r="K454" s="75">
        <v>0</v>
      </c>
      <c r="L454" s="6" t="e">
        <f>(SUM(K446:K454))/J453</f>
        <v>#DIV/0!</v>
      </c>
      <c r="M454" s="36" t="e">
        <f t="shared" si="105"/>
        <v>#DIV/0!</v>
      </c>
      <c r="N454" s="6">
        <f t="shared" ref="N454:P469" si="107">N442</f>
        <v>0.50336729135060976</v>
      </c>
      <c r="O454" s="6">
        <f t="shared" si="107"/>
        <v>1.0150591886201059</v>
      </c>
      <c r="P454" s="6">
        <f t="shared" si="107"/>
        <v>-8.3246059188863963E-3</v>
      </c>
      <c r="Q454" s="75">
        <v>0</v>
      </c>
      <c r="R454" s="76">
        <v>50</v>
      </c>
      <c r="S454" s="6" t="e">
        <f t="shared" si="103"/>
        <v>#DIV/0!</v>
      </c>
      <c r="T454" s="36" t="e">
        <f t="shared" si="106"/>
        <v>#DIV/0!</v>
      </c>
      <c r="U454" s="6">
        <f t="shared" si="101"/>
        <v>0.74232771533595698</v>
      </c>
      <c r="V454" s="6">
        <f t="shared" si="101"/>
        <v>1.1540802341555996</v>
      </c>
      <c r="W454" s="6">
        <f t="shared" si="101"/>
        <v>0.33057519651631434</v>
      </c>
      <c r="X454" s="6">
        <f t="shared" si="101"/>
        <v>0.33057519651631434</v>
      </c>
      <c r="Y454" s="6">
        <f t="shared" si="101"/>
        <v>0.41175251881964264</v>
      </c>
    </row>
    <row r="455" spans="1:25" x14ac:dyDescent="0.25">
      <c r="A455" s="7" t="s">
        <v>32</v>
      </c>
      <c r="B455" s="7" t="s">
        <v>167</v>
      </c>
      <c r="C455" s="74">
        <v>0</v>
      </c>
      <c r="D455" s="74">
        <v>67</v>
      </c>
      <c r="E455" s="71" t="e">
        <f t="shared" si="102"/>
        <v>#DIV/0!</v>
      </c>
      <c r="F455" s="65" t="e">
        <f t="shared" si="104"/>
        <v>#DIV/0!</v>
      </c>
      <c r="G455" s="71">
        <f t="shared" si="94"/>
        <v>0.82061442726694189</v>
      </c>
      <c r="H455" s="71">
        <f t="shared" si="94"/>
        <v>1.2607833515834532</v>
      </c>
      <c r="I455" s="71">
        <f t="shared" si="94"/>
        <v>0.38044550295043061</v>
      </c>
      <c r="J455" s="75">
        <v>0</v>
      </c>
      <c r="K455" s="75">
        <v>0</v>
      </c>
      <c r="L455" s="6" t="e">
        <f>(SUM(K446:K455))/J454</f>
        <v>#DIV/0!</v>
      </c>
      <c r="M455" s="36" t="e">
        <f t="shared" si="105"/>
        <v>#DIV/0!</v>
      </c>
      <c r="N455" s="6">
        <f t="shared" si="107"/>
        <v>0.58006775555216661</v>
      </c>
      <c r="O455" s="6">
        <f t="shared" si="107"/>
        <v>1.099948635873619</v>
      </c>
      <c r="P455" s="6">
        <f t="shared" si="107"/>
        <v>6.0186875230714088E-2</v>
      </c>
      <c r="Q455" s="75">
        <v>0</v>
      </c>
      <c r="R455" s="76">
        <v>50</v>
      </c>
      <c r="S455" s="6" t="e">
        <f t="shared" si="103"/>
        <v>#DIV/0!</v>
      </c>
      <c r="T455" s="36" t="e">
        <f t="shared" si="106"/>
        <v>#DIV/0!</v>
      </c>
      <c r="U455" s="6">
        <f t="shared" si="101"/>
        <v>0.82347447721763523</v>
      </c>
      <c r="V455" s="6">
        <f t="shared" si="101"/>
        <v>1.2398542522675045</v>
      </c>
      <c r="W455" s="6">
        <f t="shared" si="101"/>
        <v>0.40709470216776611</v>
      </c>
      <c r="X455" s="6">
        <f t="shared" si="101"/>
        <v>0.40709470216776611</v>
      </c>
      <c r="Y455" s="6">
        <f t="shared" si="101"/>
        <v>0.41637977504986912</v>
      </c>
    </row>
    <row r="456" spans="1:25" x14ac:dyDescent="0.25">
      <c r="A456" s="7" t="s">
        <v>32</v>
      </c>
      <c r="B456" s="7" t="s">
        <v>168</v>
      </c>
      <c r="C456" s="74">
        <v>0</v>
      </c>
      <c r="D456" s="74">
        <v>67</v>
      </c>
      <c r="E456" s="71" t="e">
        <f t="shared" si="102"/>
        <v>#DIV/0!</v>
      </c>
      <c r="F456" s="65" t="e">
        <f t="shared" si="104"/>
        <v>#DIV/0!</v>
      </c>
      <c r="G456" s="71">
        <f t="shared" si="94"/>
        <v>0.94582556715526966</v>
      </c>
      <c r="H456" s="71">
        <f t="shared" si="94"/>
        <v>1.4311117173682604</v>
      </c>
      <c r="I456" s="71">
        <f t="shared" si="94"/>
        <v>0.46053941694227907</v>
      </c>
      <c r="J456" s="75">
        <v>0</v>
      </c>
      <c r="K456" s="75">
        <v>0</v>
      </c>
      <c r="L456" s="6" t="e">
        <f>(SUM(K446:K456))/J455</f>
        <v>#DIV/0!</v>
      </c>
      <c r="M456" s="36" t="e">
        <f t="shared" si="105"/>
        <v>#DIV/0!</v>
      </c>
      <c r="N456" s="6">
        <f t="shared" si="107"/>
        <v>0.72282137340514951</v>
      </c>
      <c r="O456" s="6">
        <f t="shared" si="107"/>
        <v>1.2463651595014014</v>
      </c>
      <c r="P456" s="6">
        <f t="shared" si="107"/>
        <v>0.19927758730889755</v>
      </c>
      <c r="Q456" s="75">
        <v>0</v>
      </c>
      <c r="R456" s="76">
        <v>50</v>
      </c>
      <c r="S456" s="6" t="e">
        <f t="shared" si="103"/>
        <v>#DIV/0!</v>
      </c>
      <c r="T456" s="36" t="e">
        <f t="shared" si="106"/>
        <v>#DIV/0!</v>
      </c>
      <c r="U456" s="6">
        <f t="shared" si="101"/>
        <v>0.91825333306001944</v>
      </c>
      <c r="V456" s="6">
        <f t="shared" si="101"/>
        <v>1.402047931898428</v>
      </c>
      <c r="W456" s="6">
        <f t="shared" si="101"/>
        <v>0.43445873422161085</v>
      </c>
      <c r="X456" s="6">
        <f t="shared" si="101"/>
        <v>0.43445873422161085</v>
      </c>
      <c r="Y456" s="6">
        <f t="shared" si="101"/>
        <v>0.48379459883840858</v>
      </c>
    </row>
    <row r="457" spans="1:25" x14ac:dyDescent="0.25">
      <c r="A457" s="7" t="s">
        <v>32</v>
      </c>
      <c r="B457" s="7" t="s">
        <v>169</v>
      </c>
      <c r="C457" s="74">
        <v>0</v>
      </c>
      <c r="D457" s="74">
        <v>100</v>
      </c>
      <c r="E457" s="71" t="e">
        <f t="shared" si="102"/>
        <v>#DIV/0!</v>
      </c>
      <c r="F457" s="65" t="e">
        <f t="shared" si="104"/>
        <v>#DIV/0!</v>
      </c>
      <c r="G457" s="71">
        <f t="shared" si="94"/>
        <v>1.0016849877757958</v>
      </c>
      <c r="H457" s="71">
        <f t="shared" si="94"/>
        <v>1.521489991464148</v>
      </c>
      <c r="I457" s="71">
        <f t="shared" si="94"/>
        <v>0.48187998408744359</v>
      </c>
      <c r="J457" s="75">
        <v>0</v>
      </c>
      <c r="K457" s="75">
        <v>900</v>
      </c>
      <c r="L457" s="6" t="e">
        <f>(SUM(K446:K457))/J456</f>
        <v>#DIV/0!</v>
      </c>
      <c r="M457" s="36" t="e">
        <f t="shared" si="105"/>
        <v>#DIV/0!</v>
      </c>
      <c r="N457" s="6">
        <f t="shared" si="107"/>
        <v>0.82421983567812696</v>
      </c>
      <c r="O457" s="6">
        <f t="shared" si="107"/>
        <v>1.3730394926064369</v>
      </c>
      <c r="P457" s="6">
        <f t="shared" si="107"/>
        <v>0.27540017874981693</v>
      </c>
      <c r="Q457" s="75">
        <v>0</v>
      </c>
      <c r="R457" s="76">
        <v>50</v>
      </c>
      <c r="S457" s="6" t="e">
        <f t="shared" si="103"/>
        <v>#DIV/0!</v>
      </c>
      <c r="T457" s="36" t="e">
        <f t="shared" si="106"/>
        <v>#DIV/0!</v>
      </c>
      <c r="U457" s="6">
        <f t="shared" si="101"/>
        <v>0.91825333306001944</v>
      </c>
      <c r="V457" s="6">
        <f t="shared" si="101"/>
        <v>1.402047931898428</v>
      </c>
      <c r="W457" s="6">
        <f t="shared" si="101"/>
        <v>0.43445873422161085</v>
      </c>
      <c r="X457" s="6">
        <f t="shared" si="101"/>
        <v>0.43445873422161085</v>
      </c>
      <c r="Y457" s="6">
        <f t="shared" si="101"/>
        <v>0.48379459883840858</v>
      </c>
    </row>
    <row r="458" spans="1:25" x14ac:dyDescent="0.25">
      <c r="A458" s="7" t="s">
        <v>150</v>
      </c>
      <c r="B458" s="7" t="s">
        <v>158</v>
      </c>
      <c r="C458" s="74">
        <v>75</v>
      </c>
      <c r="D458" s="74">
        <v>0</v>
      </c>
      <c r="E458" s="71">
        <f t="shared" si="102"/>
        <v>0</v>
      </c>
      <c r="F458" s="65" t="str">
        <f t="shared" si="104"/>
        <v>Desempenho Médio</v>
      </c>
      <c r="G458" s="71">
        <f t="shared" si="94"/>
        <v>0.11573204891712785</v>
      </c>
      <c r="H458" s="71">
        <f t="shared" si="94"/>
        <v>0.30218524997148988</v>
      </c>
      <c r="I458" s="71">
        <f t="shared" si="94"/>
        <v>-7.0721152137234206E-2</v>
      </c>
      <c r="J458" s="75">
        <v>115000</v>
      </c>
      <c r="K458" s="75">
        <v>0</v>
      </c>
      <c r="L458" s="6">
        <f>K458/J458</f>
        <v>0</v>
      </c>
      <c r="M458" s="36" t="str">
        <f t="shared" si="105"/>
        <v>Desempenho Médio</v>
      </c>
      <c r="N458" s="6">
        <f t="shared" si="107"/>
        <v>0.11129468122233216</v>
      </c>
      <c r="O458" s="6">
        <f t="shared" si="107"/>
        <v>0.54990456699293522</v>
      </c>
      <c r="P458" s="6">
        <f t="shared" si="107"/>
        <v>-0.32731520454827095</v>
      </c>
      <c r="Q458" s="75">
        <v>50</v>
      </c>
      <c r="R458" s="76">
        <v>4</v>
      </c>
      <c r="S458" s="6">
        <f t="shared" si="103"/>
        <v>0.08</v>
      </c>
      <c r="T458" s="36" t="str">
        <f t="shared" si="106"/>
        <v>Desempenho Bom</v>
      </c>
      <c r="U458" s="6">
        <f t="shared" si="101"/>
        <v>6.5053670194766225E-2</v>
      </c>
      <c r="V458" s="6">
        <f t="shared" si="101"/>
        <v>0.16010348962314203</v>
      </c>
      <c r="W458" s="6">
        <f t="shared" si="101"/>
        <v>-2.9996149233609562E-2</v>
      </c>
      <c r="X458" s="6">
        <f t="shared" si="101"/>
        <v>1.7528760480578331E-2</v>
      </c>
      <c r="Y458" s="6">
        <f t="shared" si="101"/>
        <v>9.5049819428375787E-2</v>
      </c>
    </row>
    <row r="459" spans="1:25" x14ac:dyDescent="0.25">
      <c r="A459" s="7" t="s">
        <v>150</v>
      </c>
      <c r="B459" s="7" t="s">
        <v>159</v>
      </c>
      <c r="C459" s="74">
        <v>75</v>
      </c>
      <c r="D459" s="74">
        <v>15</v>
      </c>
      <c r="E459" s="71">
        <f t="shared" si="102"/>
        <v>0.2</v>
      </c>
      <c r="F459" s="65" t="str">
        <f t="shared" si="104"/>
        <v>Desempenho Médio</v>
      </c>
      <c r="G459" s="71">
        <f t="shared" si="94"/>
        <v>0.22598075676513599</v>
      </c>
      <c r="H459" s="71">
        <f t="shared" si="94"/>
        <v>0.51894873552035481</v>
      </c>
      <c r="I459" s="71">
        <f t="shared" si="94"/>
        <v>-6.6987221990082807E-2</v>
      </c>
      <c r="J459" s="75">
        <v>115000</v>
      </c>
      <c r="K459" s="75">
        <v>3250</v>
      </c>
      <c r="L459" s="6">
        <f>(SUM(K458:K459))/J458</f>
        <v>2.8260869565217391E-2</v>
      </c>
      <c r="M459" s="36" t="str">
        <f t="shared" si="105"/>
        <v>Desempenho Médio</v>
      </c>
      <c r="N459" s="6">
        <f t="shared" si="107"/>
        <v>0.14992070801509372</v>
      </c>
      <c r="O459" s="6">
        <f t="shared" si="107"/>
        <v>0.58968599072326611</v>
      </c>
      <c r="P459" s="6">
        <f t="shared" si="107"/>
        <v>-0.28984457469307867</v>
      </c>
      <c r="Q459" s="75">
        <v>50</v>
      </c>
      <c r="R459" s="76">
        <v>4</v>
      </c>
      <c r="S459" s="6">
        <f t="shared" si="103"/>
        <v>0.08</v>
      </c>
      <c r="T459" s="36" t="str">
        <f t="shared" si="106"/>
        <v>Desempenho Bom</v>
      </c>
      <c r="U459" s="6">
        <f t="shared" si="101"/>
        <v>6.5053670194766225E-2</v>
      </c>
      <c r="V459" s="6">
        <f t="shared" si="101"/>
        <v>0.16010348962314203</v>
      </c>
      <c r="W459" s="6">
        <f t="shared" si="101"/>
        <v>-2.9996149233609562E-2</v>
      </c>
      <c r="X459" s="6">
        <f t="shared" si="101"/>
        <v>1.7528760480578331E-2</v>
      </c>
      <c r="Y459" s="6">
        <f t="shared" si="101"/>
        <v>9.5049819428375787E-2</v>
      </c>
    </row>
    <row r="460" spans="1:25" x14ac:dyDescent="0.25">
      <c r="A460" s="7" t="s">
        <v>150</v>
      </c>
      <c r="B460" s="7" t="s">
        <v>160</v>
      </c>
      <c r="C460" s="74">
        <v>75</v>
      </c>
      <c r="D460" s="74">
        <v>15</v>
      </c>
      <c r="E460" s="71">
        <f t="shared" si="102"/>
        <v>0.2</v>
      </c>
      <c r="F460" s="65" t="str">
        <f t="shared" si="104"/>
        <v>Desempenho Médio</v>
      </c>
      <c r="G460" s="71">
        <f t="shared" si="94"/>
        <v>0.2827891266215985</v>
      </c>
      <c r="H460" s="71">
        <f t="shared" si="94"/>
        <v>0.59134445337262298</v>
      </c>
      <c r="I460" s="71">
        <f t="shared" si="94"/>
        <v>-2.5766200129425987E-2</v>
      </c>
      <c r="J460" s="75">
        <v>115000</v>
      </c>
      <c r="K460" s="75">
        <v>300</v>
      </c>
      <c r="L460" s="6">
        <f>(SUM(K458:K460))/J459</f>
        <v>3.0869565217391304E-2</v>
      </c>
      <c r="M460" s="36" t="str">
        <f t="shared" si="105"/>
        <v>Desempenho Médio</v>
      </c>
      <c r="N460" s="6">
        <f t="shared" si="107"/>
        <v>0.17723994755342617</v>
      </c>
      <c r="O460" s="6">
        <f t="shared" si="107"/>
        <v>0.61473682715667155</v>
      </c>
      <c r="P460" s="6">
        <f t="shared" si="107"/>
        <v>-0.26025693204981915</v>
      </c>
      <c r="Q460" s="75">
        <v>50</v>
      </c>
      <c r="R460" s="76">
        <v>4</v>
      </c>
      <c r="S460" s="6">
        <f t="shared" si="103"/>
        <v>0.08</v>
      </c>
      <c r="T460" s="36" t="str">
        <f t="shared" si="106"/>
        <v>Desempenho Médio</v>
      </c>
      <c r="U460" s="6">
        <f t="shared" si="101"/>
        <v>0.18401218302179842</v>
      </c>
      <c r="V460" s="6">
        <f t="shared" si="101"/>
        <v>0.37883088095577799</v>
      </c>
      <c r="W460" s="6">
        <f t="shared" si="101"/>
        <v>-1.0806514912181153E-2</v>
      </c>
      <c r="X460" s="6">
        <f t="shared" si="101"/>
        <v>8.6602834054808633E-2</v>
      </c>
      <c r="Y460" s="6">
        <f t="shared" si="101"/>
        <v>0.19481869793397957</v>
      </c>
    </row>
    <row r="461" spans="1:25" x14ac:dyDescent="0.25">
      <c r="A461" s="7" t="s">
        <v>150</v>
      </c>
      <c r="B461" s="7" t="s">
        <v>161</v>
      </c>
      <c r="C461" s="74">
        <v>75</v>
      </c>
      <c r="D461" s="74">
        <v>19</v>
      </c>
      <c r="E461" s="71">
        <f t="shared" si="102"/>
        <v>0.25333333333333335</v>
      </c>
      <c r="F461" s="65" t="str">
        <f t="shared" si="104"/>
        <v>Desempenho Médio</v>
      </c>
      <c r="G461" s="71">
        <f t="shared" si="94"/>
        <v>0.36222496935690102</v>
      </c>
      <c r="H461" s="71">
        <f t="shared" si="94"/>
        <v>0.67917151968337719</v>
      </c>
      <c r="I461" s="71">
        <f t="shared" si="94"/>
        <v>4.5278419030424844E-2</v>
      </c>
      <c r="J461" s="75">
        <v>115000</v>
      </c>
      <c r="K461" s="75">
        <v>200</v>
      </c>
      <c r="L461" s="6">
        <f>(SUM(K458:K461))/J460</f>
        <v>3.2608695652173912E-2</v>
      </c>
      <c r="M461" s="36" t="str">
        <f t="shared" si="105"/>
        <v>Desempenho Médio</v>
      </c>
      <c r="N461" s="6">
        <f t="shared" si="107"/>
        <v>0.2271654986777647</v>
      </c>
      <c r="O461" s="6">
        <f t="shared" si="107"/>
        <v>0.71582389712396544</v>
      </c>
      <c r="P461" s="6">
        <f t="shared" si="107"/>
        <v>-0.26149289976843598</v>
      </c>
      <c r="Q461" s="75">
        <v>50</v>
      </c>
      <c r="R461" s="76">
        <v>4</v>
      </c>
      <c r="S461" s="6">
        <f t="shared" si="103"/>
        <v>0.08</v>
      </c>
      <c r="T461" s="36" t="str">
        <f t="shared" si="106"/>
        <v>Desempenho Médio</v>
      </c>
      <c r="U461" s="6">
        <f t="shared" si="101"/>
        <v>0.18401218302179842</v>
      </c>
      <c r="V461" s="6">
        <f t="shared" si="101"/>
        <v>0.37883088095577799</v>
      </c>
      <c r="W461" s="6">
        <f t="shared" si="101"/>
        <v>-1.0806514912181153E-2</v>
      </c>
      <c r="X461" s="6">
        <f t="shared" si="101"/>
        <v>8.6602834054808633E-2</v>
      </c>
      <c r="Y461" s="6">
        <f t="shared" si="101"/>
        <v>0.19481869793397957</v>
      </c>
    </row>
    <row r="462" spans="1:25" x14ac:dyDescent="0.25">
      <c r="A462" s="7" t="s">
        <v>150</v>
      </c>
      <c r="B462" s="7" t="s">
        <v>162</v>
      </c>
      <c r="C462" s="74">
        <v>75</v>
      </c>
      <c r="D462" s="74">
        <v>23</v>
      </c>
      <c r="E462" s="71">
        <f t="shared" si="102"/>
        <v>0.30666666666666664</v>
      </c>
      <c r="F462" s="65" t="str">
        <f t="shared" si="104"/>
        <v>Desempenho Médio</v>
      </c>
      <c r="G462" s="71">
        <f t="shared" si="94"/>
        <v>0.44825178806664662</v>
      </c>
      <c r="H462" s="71">
        <f t="shared" si="94"/>
        <v>0.78548221403733831</v>
      </c>
      <c r="I462" s="71">
        <f t="shared" si="94"/>
        <v>0.11102136209595498</v>
      </c>
      <c r="J462" s="75">
        <v>115000</v>
      </c>
      <c r="K462" s="75">
        <v>1500</v>
      </c>
      <c r="L462" s="6">
        <f>(SUM(K458:K462))/J461</f>
        <v>4.5652173913043478E-2</v>
      </c>
      <c r="M462" s="36" t="str">
        <f t="shared" si="105"/>
        <v>Desempenho Médio</v>
      </c>
      <c r="N462" s="6">
        <f t="shared" si="107"/>
        <v>0.27284258705105507</v>
      </c>
      <c r="O462" s="6">
        <f t="shared" si="107"/>
        <v>0.75981161093062477</v>
      </c>
      <c r="P462" s="6">
        <f t="shared" si="107"/>
        <v>-0.21412643682851468</v>
      </c>
      <c r="Q462" s="75">
        <v>50</v>
      </c>
      <c r="R462" s="76">
        <v>4</v>
      </c>
      <c r="S462" s="6">
        <f t="shared" si="103"/>
        <v>0.08</v>
      </c>
      <c r="T462" s="36" t="str">
        <f t="shared" si="106"/>
        <v>Desempenho Médio</v>
      </c>
      <c r="U462" s="6">
        <f t="shared" si="101"/>
        <v>0.23278475191631845</v>
      </c>
      <c r="V462" s="6">
        <f t="shared" si="101"/>
        <v>0.51017789992422413</v>
      </c>
      <c r="W462" s="6">
        <f t="shared" si="101"/>
        <v>-4.460839609158726E-2</v>
      </c>
      <c r="X462" s="6">
        <f t="shared" si="101"/>
        <v>9.4088177912365595E-2</v>
      </c>
      <c r="Y462" s="6">
        <f t="shared" si="101"/>
        <v>0.27739314800790571</v>
      </c>
    </row>
    <row r="463" spans="1:25" x14ac:dyDescent="0.25">
      <c r="A463" s="7" t="s">
        <v>150</v>
      </c>
      <c r="B463" s="7" t="s">
        <v>163</v>
      </c>
      <c r="C463" s="74">
        <v>75</v>
      </c>
      <c r="D463" s="74">
        <v>23</v>
      </c>
      <c r="E463" s="71">
        <f t="shared" si="102"/>
        <v>0.30666666666666664</v>
      </c>
      <c r="F463" s="65" t="str">
        <f t="shared" si="104"/>
        <v>Desempenho Médio</v>
      </c>
      <c r="G463" s="71">
        <f t="shared" ref="G463:I526" si="108">G451</f>
        <v>0.54231176602906361</v>
      </c>
      <c r="H463" s="71">
        <f t="shared" si="108"/>
        <v>0.92735502699565786</v>
      </c>
      <c r="I463" s="71">
        <f t="shared" si="108"/>
        <v>0.15726850506246942</v>
      </c>
      <c r="J463" s="75">
        <v>115000</v>
      </c>
      <c r="K463" s="75">
        <v>0</v>
      </c>
      <c r="L463" s="6">
        <f>(SUM(K458:K463))/J462</f>
        <v>4.5652173913043478E-2</v>
      </c>
      <c r="M463" s="36" t="str">
        <f t="shared" si="105"/>
        <v>Desempenho Médio</v>
      </c>
      <c r="N463" s="6">
        <f t="shared" si="107"/>
        <v>0.31451673641638933</v>
      </c>
      <c r="O463" s="6">
        <f t="shared" si="107"/>
        <v>0.80702132782766356</v>
      </c>
      <c r="P463" s="6">
        <f t="shared" si="107"/>
        <v>-0.1779878549948849</v>
      </c>
      <c r="Q463" s="75">
        <v>50</v>
      </c>
      <c r="R463" s="76">
        <v>23</v>
      </c>
      <c r="S463" s="6">
        <f t="shared" si="103"/>
        <v>0.46</v>
      </c>
      <c r="T463" s="36" t="str">
        <f t="shared" si="106"/>
        <v>Desempenho Médio</v>
      </c>
      <c r="U463" s="6">
        <f t="shared" ref="U463:Y478" si="109">U451</f>
        <v>0.46105014853915682</v>
      </c>
      <c r="V463" s="6">
        <f t="shared" si="109"/>
        <v>0.84756736419379908</v>
      </c>
      <c r="W463" s="6">
        <f t="shared" si="109"/>
        <v>7.4532932884514569E-2</v>
      </c>
      <c r="X463" s="6">
        <f t="shared" si="109"/>
        <v>7.4532932884514569E-2</v>
      </c>
      <c r="Y463" s="6">
        <f t="shared" si="109"/>
        <v>0.38651721565464225</v>
      </c>
    </row>
    <row r="464" spans="1:25" x14ac:dyDescent="0.25">
      <c r="A464" s="7" t="s">
        <v>150</v>
      </c>
      <c r="B464" s="7" t="s">
        <v>164</v>
      </c>
      <c r="C464" s="74">
        <v>75</v>
      </c>
      <c r="D464" s="74">
        <v>27</v>
      </c>
      <c r="E464" s="71">
        <f t="shared" si="102"/>
        <v>0.36</v>
      </c>
      <c r="F464" s="65" t="str">
        <f t="shared" si="104"/>
        <v>Desempenho Médio</v>
      </c>
      <c r="G464" s="71">
        <f t="shared" si="108"/>
        <v>0.63634637719050002</v>
      </c>
      <c r="H464" s="71">
        <f t="shared" si="108"/>
        <v>1.0512878703900039</v>
      </c>
      <c r="I464" s="71">
        <f t="shared" si="108"/>
        <v>0.22140488399099606</v>
      </c>
      <c r="J464" s="75">
        <v>115000</v>
      </c>
      <c r="K464" s="75">
        <v>6400</v>
      </c>
      <c r="L464" s="6">
        <f>(SUM(K458:K464))/J463</f>
        <v>0.10130434782608695</v>
      </c>
      <c r="M464" s="36" t="str">
        <f t="shared" si="105"/>
        <v>Desempenho Médio</v>
      </c>
      <c r="N464" s="6">
        <f t="shared" si="107"/>
        <v>0.38334713342809434</v>
      </c>
      <c r="O464" s="6">
        <f t="shared" si="107"/>
        <v>0.88375935483946089</v>
      </c>
      <c r="P464" s="6">
        <f t="shared" si="107"/>
        <v>-0.1170650879832722</v>
      </c>
      <c r="Q464" s="75">
        <v>50</v>
      </c>
      <c r="R464" s="76">
        <v>23</v>
      </c>
      <c r="S464" s="6">
        <f t="shared" si="103"/>
        <v>0.46</v>
      </c>
      <c r="T464" s="36" t="str">
        <f t="shared" si="106"/>
        <v>Desempenho Médio</v>
      </c>
      <c r="U464" s="6">
        <f t="shared" si="109"/>
        <v>0.46105014853915682</v>
      </c>
      <c r="V464" s="6">
        <f t="shared" si="109"/>
        <v>0.84756736419379908</v>
      </c>
      <c r="W464" s="6">
        <f t="shared" si="109"/>
        <v>7.4532932884514569E-2</v>
      </c>
      <c r="X464" s="6">
        <f t="shared" si="109"/>
        <v>7.4532932884514569E-2</v>
      </c>
      <c r="Y464" s="6">
        <f t="shared" si="109"/>
        <v>0.38651721565464225</v>
      </c>
    </row>
    <row r="465" spans="1:25" x14ac:dyDescent="0.25">
      <c r="A465" s="7" t="s">
        <v>150</v>
      </c>
      <c r="B465" s="7" t="s">
        <v>165</v>
      </c>
      <c r="C465" s="74">
        <v>75</v>
      </c>
      <c r="D465" s="74">
        <v>31</v>
      </c>
      <c r="E465" s="71">
        <f t="shared" si="102"/>
        <v>0.41333333333333333</v>
      </c>
      <c r="F465" s="65" t="str">
        <f t="shared" si="104"/>
        <v>Desempenho Médio</v>
      </c>
      <c r="G465" s="71">
        <f t="shared" si="108"/>
        <v>0.70660866675940681</v>
      </c>
      <c r="H465" s="71">
        <f t="shared" si="108"/>
        <v>1.1341225514190425</v>
      </c>
      <c r="I465" s="71">
        <f t="shared" si="108"/>
        <v>0.27909478209977112</v>
      </c>
      <c r="J465" s="75">
        <v>115000</v>
      </c>
      <c r="K465" s="75">
        <v>5100</v>
      </c>
      <c r="L465" s="6">
        <f>(SUM(K458:K465))/J464</f>
        <v>0.14565217391304347</v>
      </c>
      <c r="M465" s="36" t="str">
        <f t="shared" si="105"/>
        <v>Desempenho Médio</v>
      </c>
      <c r="N465" s="6">
        <f t="shared" si="107"/>
        <v>0.45719521320533213</v>
      </c>
      <c r="O465" s="6">
        <f t="shared" si="107"/>
        <v>0.97356755068321044</v>
      </c>
      <c r="P465" s="6">
        <f t="shared" si="107"/>
        <v>-5.9177124272546122E-2</v>
      </c>
      <c r="Q465" s="75">
        <v>50</v>
      </c>
      <c r="R465" s="76">
        <v>23</v>
      </c>
      <c r="S465" s="6">
        <f t="shared" si="103"/>
        <v>0.46</v>
      </c>
      <c r="T465" s="36" t="str">
        <f t="shared" si="106"/>
        <v>Desempenho Médio</v>
      </c>
      <c r="U465" s="6">
        <f t="shared" si="109"/>
        <v>0.46105014853915682</v>
      </c>
      <c r="V465" s="6">
        <f t="shared" si="109"/>
        <v>0.84756736419379908</v>
      </c>
      <c r="W465" s="6">
        <f t="shared" si="109"/>
        <v>7.4532932884514569E-2</v>
      </c>
      <c r="X465" s="6">
        <f t="shared" si="109"/>
        <v>7.4532932884514569E-2</v>
      </c>
      <c r="Y465" s="6">
        <f t="shared" si="109"/>
        <v>0.38651721565464225</v>
      </c>
    </row>
    <row r="466" spans="1:25" x14ac:dyDescent="0.25">
      <c r="A466" s="7" t="s">
        <v>150</v>
      </c>
      <c r="B466" s="7" t="s">
        <v>166</v>
      </c>
      <c r="C466" s="74">
        <v>75</v>
      </c>
      <c r="D466" s="74">
        <v>31</v>
      </c>
      <c r="E466" s="71">
        <f t="shared" si="102"/>
        <v>0.41333333333333333</v>
      </c>
      <c r="F466" s="65" t="str">
        <f t="shared" si="104"/>
        <v>Desempenho Médio</v>
      </c>
      <c r="G466" s="71">
        <f t="shared" si="108"/>
        <v>0.73663014244586189</v>
      </c>
      <c r="H466" s="71">
        <f t="shared" si="108"/>
        <v>1.1737360935948695</v>
      </c>
      <c r="I466" s="71">
        <f t="shared" si="108"/>
        <v>0.29952419129685426</v>
      </c>
      <c r="J466" s="75">
        <v>115000</v>
      </c>
      <c r="K466" s="75">
        <v>0</v>
      </c>
      <c r="L466" s="6">
        <f>(SUM(K458:K466))/J465</f>
        <v>0.14565217391304347</v>
      </c>
      <c r="M466" s="36" t="str">
        <f t="shared" si="105"/>
        <v>Desempenho Médio</v>
      </c>
      <c r="N466" s="6">
        <f t="shared" si="107"/>
        <v>0.50336729135060976</v>
      </c>
      <c r="O466" s="6">
        <f t="shared" si="107"/>
        <v>1.0150591886201059</v>
      </c>
      <c r="P466" s="6">
        <f t="shared" si="107"/>
        <v>-8.3246059188863963E-3</v>
      </c>
      <c r="Q466" s="75">
        <v>50</v>
      </c>
      <c r="R466" s="76">
        <v>65</v>
      </c>
      <c r="S466" s="6">
        <f t="shared" si="103"/>
        <v>1.3</v>
      </c>
      <c r="T466" s="36" t="str">
        <f t="shared" si="106"/>
        <v>Desempenho Ótimo</v>
      </c>
      <c r="U466" s="6">
        <f t="shared" si="109"/>
        <v>0.74232771533595698</v>
      </c>
      <c r="V466" s="6">
        <f t="shared" si="109"/>
        <v>1.1540802341555996</v>
      </c>
      <c r="W466" s="6">
        <f t="shared" si="109"/>
        <v>0.33057519651631434</v>
      </c>
      <c r="X466" s="6">
        <f t="shared" si="109"/>
        <v>0.33057519651631434</v>
      </c>
      <c r="Y466" s="6">
        <f t="shared" si="109"/>
        <v>0.41175251881964264</v>
      </c>
    </row>
    <row r="467" spans="1:25" x14ac:dyDescent="0.25">
      <c r="A467" s="7" t="s">
        <v>150</v>
      </c>
      <c r="B467" s="7" t="s">
        <v>167</v>
      </c>
      <c r="C467" s="74">
        <v>75</v>
      </c>
      <c r="D467" s="74">
        <v>35</v>
      </c>
      <c r="E467" s="71">
        <f t="shared" si="102"/>
        <v>0.46666666666666667</v>
      </c>
      <c r="F467" s="65" t="str">
        <f t="shared" si="104"/>
        <v>Desempenho Médio</v>
      </c>
      <c r="G467" s="71">
        <f t="shared" si="108"/>
        <v>0.82061442726694189</v>
      </c>
      <c r="H467" s="71">
        <f t="shared" si="108"/>
        <v>1.2607833515834532</v>
      </c>
      <c r="I467" s="71">
        <f t="shared" si="108"/>
        <v>0.38044550295043061</v>
      </c>
      <c r="J467" s="75">
        <v>115000</v>
      </c>
      <c r="K467" s="75">
        <v>3300</v>
      </c>
      <c r="L467" s="6">
        <f>(SUM(K458:K467))/J466</f>
        <v>0.17434782608695651</v>
      </c>
      <c r="M467" s="36" t="str">
        <f t="shared" si="105"/>
        <v>Desempenho Médio</v>
      </c>
      <c r="N467" s="6">
        <f t="shared" si="107"/>
        <v>0.58006775555216661</v>
      </c>
      <c r="O467" s="6">
        <f t="shared" si="107"/>
        <v>1.099948635873619</v>
      </c>
      <c r="P467" s="6">
        <f t="shared" si="107"/>
        <v>6.0186875230714088E-2</v>
      </c>
      <c r="Q467" s="75">
        <v>50</v>
      </c>
      <c r="R467" s="76">
        <v>69</v>
      </c>
      <c r="S467" s="6">
        <f t="shared" si="103"/>
        <v>1.38</v>
      </c>
      <c r="T467" s="36" t="str">
        <f t="shared" si="106"/>
        <v>Desempenho Ótimo</v>
      </c>
      <c r="U467" s="6">
        <f t="shared" si="109"/>
        <v>0.82347447721763523</v>
      </c>
      <c r="V467" s="6">
        <f t="shared" si="109"/>
        <v>1.2398542522675045</v>
      </c>
      <c r="W467" s="6">
        <f t="shared" si="109"/>
        <v>0.40709470216776611</v>
      </c>
      <c r="X467" s="6">
        <f t="shared" si="109"/>
        <v>0.40709470216776611</v>
      </c>
      <c r="Y467" s="6">
        <f t="shared" si="109"/>
        <v>0.41637977504986912</v>
      </c>
    </row>
    <row r="468" spans="1:25" x14ac:dyDescent="0.25">
      <c r="A468" s="7" t="s">
        <v>150</v>
      </c>
      <c r="B468" s="7" t="s">
        <v>168</v>
      </c>
      <c r="C468" s="74">
        <v>75</v>
      </c>
      <c r="D468" s="74">
        <v>46</v>
      </c>
      <c r="E468" s="71">
        <f t="shared" si="102"/>
        <v>0.61333333333333329</v>
      </c>
      <c r="F468" s="65" t="str">
        <f t="shared" si="104"/>
        <v>Desempenho Médio</v>
      </c>
      <c r="G468" s="71">
        <f t="shared" si="108"/>
        <v>0.94582556715526966</v>
      </c>
      <c r="H468" s="71">
        <f t="shared" si="108"/>
        <v>1.4311117173682604</v>
      </c>
      <c r="I468" s="71">
        <f t="shared" si="108"/>
        <v>0.46053941694227907</v>
      </c>
      <c r="J468" s="75">
        <v>115000</v>
      </c>
      <c r="K468" s="75">
        <v>3850</v>
      </c>
      <c r="L468" s="6">
        <f>(SUM(K458:K468))/J467</f>
        <v>0.20782608695652174</v>
      </c>
      <c r="M468" s="36" t="str">
        <f t="shared" si="105"/>
        <v>Desempenho Médio</v>
      </c>
      <c r="N468" s="6">
        <f t="shared" si="107"/>
        <v>0.72282137340514951</v>
      </c>
      <c r="O468" s="6">
        <f t="shared" si="107"/>
        <v>1.2463651595014014</v>
      </c>
      <c r="P468" s="6">
        <f t="shared" si="107"/>
        <v>0.19927758730889755</v>
      </c>
      <c r="Q468" s="75">
        <v>50</v>
      </c>
      <c r="R468" s="76">
        <v>69</v>
      </c>
      <c r="S468" s="6">
        <f t="shared" si="103"/>
        <v>1.38</v>
      </c>
      <c r="T468" s="36" t="str">
        <f t="shared" si="106"/>
        <v>Desempenho Bom</v>
      </c>
      <c r="U468" s="6">
        <f t="shared" si="109"/>
        <v>0.91825333306001944</v>
      </c>
      <c r="V468" s="6">
        <f t="shared" si="109"/>
        <v>1.402047931898428</v>
      </c>
      <c r="W468" s="6">
        <f t="shared" si="109"/>
        <v>0.43445873422161085</v>
      </c>
      <c r="X468" s="6">
        <f t="shared" si="109"/>
        <v>0.43445873422161085</v>
      </c>
      <c r="Y468" s="6">
        <f t="shared" si="109"/>
        <v>0.48379459883840858</v>
      </c>
    </row>
    <row r="469" spans="1:25" x14ac:dyDescent="0.25">
      <c r="A469" s="7" t="s">
        <v>150</v>
      </c>
      <c r="B469" s="7" t="s">
        <v>169</v>
      </c>
      <c r="C469" s="74">
        <v>75</v>
      </c>
      <c r="D469" s="74">
        <v>54</v>
      </c>
      <c r="E469" s="71">
        <f t="shared" si="102"/>
        <v>0.72</v>
      </c>
      <c r="F469" s="65" t="str">
        <f t="shared" si="104"/>
        <v>Desempenho Médio</v>
      </c>
      <c r="G469" s="71">
        <f t="shared" si="108"/>
        <v>1.0016849877757958</v>
      </c>
      <c r="H469" s="71">
        <f t="shared" si="108"/>
        <v>1.521489991464148</v>
      </c>
      <c r="I469" s="71">
        <f t="shared" si="108"/>
        <v>0.48187998408744359</v>
      </c>
      <c r="J469" s="75">
        <v>115000</v>
      </c>
      <c r="K469" s="75">
        <v>2700</v>
      </c>
      <c r="L469" s="6">
        <f>(SUM(K458:K469))/J468</f>
        <v>0.23130434782608697</v>
      </c>
      <c r="M469" s="36" t="str">
        <f t="shared" si="105"/>
        <v>Desempenho Deficitário</v>
      </c>
      <c r="N469" s="6">
        <f t="shared" si="107"/>
        <v>0.82421983567812696</v>
      </c>
      <c r="O469" s="6">
        <f t="shared" si="107"/>
        <v>1.3730394926064369</v>
      </c>
      <c r="P469" s="6">
        <f t="shared" si="107"/>
        <v>0.27540017874981693</v>
      </c>
      <c r="Q469" s="75">
        <v>50</v>
      </c>
      <c r="R469" s="76">
        <v>69</v>
      </c>
      <c r="S469" s="6">
        <f t="shared" si="103"/>
        <v>1.38</v>
      </c>
      <c r="T469" s="36" t="str">
        <f t="shared" si="106"/>
        <v>Desempenho Bom</v>
      </c>
      <c r="U469" s="6">
        <f t="shared" si="109"/>
        <v>0.91825333306001944</v>
      </c>
      <c r="V469" s="6">
        <f t="shared" si="109"/>
        <v>1.402047931898428</v>
      </c>
      <c r="W469" s="6">
        <f t="shared" si="109"/>
        <v>0.43445873422161085</v>
      </c>
      <c r="X469" s="6">
        <f t="shared" si="109"/>
        <v>0.43445873422161085</v>
      </c>
      <c r="Y469" s="6">
        <f t="shared" si="109"/>
        <v>0.48379459883840858</v>
      </c>
    </row>
    <row r="470" spans="1:25" x14ac:dyDescent="0.25">
      <c r="A470" s="7" t="s">
        <v>71</v>
      </c>
      <c r="B470" s="7" t="s">
        <v>158</v>
      </c>
      <c r="C470" s="74">
        <v>0</v>
      </c>
      <c r="D470" s="74">
        <v>0</v>
      </c>
      <c r="E470" s="71" t="e">
        <f t="shared" si="102"/>
        <v>#DIV/0!</v>
      </c>
      <c r="F470" s="65" t="e">
        <f t="shared" si="104"/>
        <v>#DIV/0!</v>
      </c>
      <c r="G470" s="71">
        <f t="shared" si="108"/>
        <v>0.11573204891712785</v>
      </c>
      <c r="H470" s="71">
        <f t="shared" si="108"/>
        <v>0.30218524997148988</v>
      </c>
      <c r="I470" s="71">
        <f t="shared" si="108"/>
        <v>-7.0721152137234206E-2</v>
      </c>
      <c r="J470" s="75">
        <v>0</v>
      </c>
      <c r="K470" s="75">
        <v>0</v>
      </c>
      <c r="L470" s="6" t="e">
        <f>K470/J470</f>
        <v>#DIV/0!</v>
      </c>
      <c r="M470" s="36" t="e">
        <f t="shared" si="105"/>
        <v>#DIV/0!</v>
      </c>
      <c r="N470" s="6">
        <f t="shared" ref="N470:P485" si="110">N458</f>
        <v>0.11129468122233216</v>
      </c>
      <c r="O470" s="6">
        <f t="shared" si="110"/>
        <v>0.54990456699293522</v>
      </c>
      <c r="P470" s="6">
        <f t="shared" si="110"/>
        <v>-0.32731520454827095</v>
      </c>
      <c r="Q470" s="75">
        <v>0</v>
      </c>
      <c r="R470" s="76">
        <v>0</v>
      </c>
      <c r="S470" s="6" t="e">
        <f t="shared" si="103"/>
        <v>#DIV/0!</v>
      </c>
      <c r="T470" s="36" t="e">
        <f t="shared" si="106"/>
        <v>#DIV/0!</v>
      </c>
      <c r="U470" s="6">
        <f t="shared" si="109"/>
        <v>6.5053670194766225E-2</v>
      </c>
      <c r="V470" s="6">
        <f t="shared" si="109"/>
        <v>0.16010348962314203</v>
      </c>
      <c r="W470" s="6">
        <f t="shared" si="109"/>
        <v>-2.9996149233609562E-2</v>
      </c>
      <c r="X470" s="6">
        <f t="shared" si="109"/>
        <v>1.7528760480578331E-2</v>
      </c>
      <c r="Y470" s="6">
        <f t="shared" si="109"/>
        <v>9.5049819428375787E-2</v>
      </c>
    </row>
    <row r="471" spans="1:25" x14ac:dyDescent="0.25">
      <c r="A471" s="7" t="s">
        <v>71</v>
      </c>
      <c r="B471" s="7" t="s">
        <v>159</v>
      </c>
      <c r="C471" s="74">
        <v>0</v>
      </c>
      <c r="D471" s="74">
        <v>0</v>
      </c>
      <c r="E471" s="71" t="e">
        <f t="shared" si="102"/>
        <v>#DIV/0!</v>
      </c>
      <c r="F471" s="65" t="e">
        <f t="shared" si="104"/>
        <v>#DIV/0!</v>
      </c>
      <c r="G471" s="71">
        <f t="shared" si="108"/>
        <v>0.22598075676513599</v>
      </c>
      <c r="H471" s="71">
        <f t="shared" si="108"/>
        <v>0.51894873552035481</v>
      </c>
      <c r="I471" s="71">
        <f t="shared" si="108"/>
        <v>-6.6987221990082807E-2</v>
      </c>
      <c r="J471" s="75">
        <v>0</v>
      </c>
      <c r="K471" s="75">
        <v>0</v>
      </c>
      <c r="L471" s="6" t="e">
        <f>(SUM(K470:K471))/J470</f>
        <v>#DIV/0!</v>
      </c>
      <c r="M471" s="36" t="e">
        <f t="shared" si="105"/>
        <v>#DIV/0!</v>
      </c>
      <c r="N471" s="6">
        <f t="shared" si="110"/>
        <v>0.14992070801509372</v>
      </c>
      <c r="O471" s="6">
        <f t="shared" si="110"/>
        <v>0.58968599072326611</v>
      </c>
      <c r="P471" s="6">
        <f t="shared" si="110"/>
        <v>-0.28984457469307867</v>
      </c>
      <c r="Q471" s="75">
        <v>0</v>
      </c>
      <c r="R471" s="76">
        <v>0</v>
      </c>
      <c r="S471" s="6" t="e">
        <f t="shared" si="103"/>
        <v>#DIV/0!</v>
      </c>
      <c r="T471" s="36" t="e">
        <f t="shared" si="106"/>
        <v>#DIV/0!</v>
      </c>
      <c r="U471" s="6">
        <f t="shared" si="109"/>
        <v>6.5053670194766225E-2</v>
      </c>
      <c r="V471" s="6">
        <f t="shared" si="109"/>
        <v>0.16010348962314203</v>
      </c>
      <c r="W471" s="6">
        <f t="shared" si="109"/>
        <v>-2.9996149233609562E-2</v>
      </c>
      <c r="X471" s="6">
        <f t="shared" si="109"/>
        <v>1.7528760480578331E-2</v>
      </c>
      <c r="Y471" s="6">
        <f t="shared" si="109"/>
        <v>9.5049819428375787E-2</v>
      </c>
    </row>
    <row r="472" spans="1:25" x14ac:dyDescent="0.25">
      <c r="A472" s="7" t="s">
        <v>71</v>
      </c>
      <c r="B472" s="7" t="s">
        <v>160</v>
      </c>
      <c r="C472" s="74">
        <v>0</v>
      </c>
      <c r="D472" s="74">
        <v>0</v>
      </c>
      <c r="E472" s="71" t="e">
        <f t="shared" si="102"/>
        <v>#DIV/0!</v>
      </c>
      <c r="F472" s="65" t="e">
        <f t="shared" si="104"/>
        <v>#DIV/0!</v>
      </c>
      <c r="G472" s="71">
        <f t="shared" si="108"/>
        <v>0.2827891266215985</v>
      </c>
      <c r="H472" s="71">
        <f t="shared" si="108"/>
        <v>0.59134445337262298</v>
      </c>
      <c r="I472" s="71">
        <f t="shared" si="108"/>
        <v>-2.5766200129425987E-2</v>
      </c>
      <c r="J472" s="75">
        <v>0</v>
      </c>
      <c r="K472" s="75">
        <v>0</v>
      </c>
      <c r="L472" s="6" t="e">
        <f>(SUM(K470:K472))/J471</f>
        <v>#DIV/0!</v>
      </c>
      <c r="M472" s="36" t="e">
        <f t="shared" si="105"/>
        <v>#DIV/0!</v>
      </c>
      <c r="N472" s="6">
        <f t="shared" si="110"/>
        <v>0.17723994755342617</v>
      </c>
      <c r="O472" s="6">
        <f t="shared" si="110"/>
        <v>0.61473682715667155</v>
      </c>
      <c r="P472" s="6">
        <f t="shared" si="110"/>
        <v>-0.26025693204981915</v>
      </c>
      <c r="Q472" s="75">
        <v>0</v>
      </c>
      <c r="R472" s="76">
        <v>0</v>
      </c>
      <c r="S472" s="6" t="e">
        <f t="shared" si="103"/>
        <v>#DIV/0!</v>
      </c>
      <c r="T472" s="36" t="e">
        <f t="shared" si="106"/>
        <v>#DIV/0!</v>
      </c>
      <c r="U472" s="6">
        <f t="shared" si="109"/>
        <v>0.18401218302179842</v>
      </c>
      <c r="V472" s="6">
        <f t="shared" si="109"/>
        <v>0.37883088095577799</v>
      </c>
      <c r="W472" s="6">
        <f t="shared" si="109"/>
        <v>-1.0806514912181153E-2</v>
      </c>
      <c r="X472" s="6">
        <f t="shared" si="109"/>
        <v>8.6602834054808633E-2</v>
      </c>
      <c r="Y472" s="6">
        <f t="shared" si="109"/>
        <v>0.19481869793397957</v>
      </c>
    </row>
    <row r="473" spans="1:25" x14ac:dyDescent="0.25">
      <c r="A473" s="7" t="s">
        <v>71</v>
      </c>
      <c r="B473" s="7" t="s">
        <v>161</v>
      </c>
      <c r="C473" s="74">
        <v>0</v>
      </c>
      <c r="D473" s="74">
        <v>0</v>
      </c>
      <c r="E473" s="71" t="e">
        <f t="shared" si="102"/>
        <v>#DIV/0!</v>
      </c>
      <c r="F473" s="65" t="e">
        <f t="shared" si="104"/>
        <v>#DIV/0!</v>
      </c>
      <c r="G473" s="71">
        <f t="shared" si="108"/>
        <v>0.36222496935690102</v>
      </c>
      <c r="H473" s="71">
        <f t="shared" si="108"/>
        <v>0.67917151968337719</v>
      </c>
      <c r="I473" s="71">
        <f t="shared" si="108"/>
        <v>4.5278419030424844E-2</v>
      </c>
      <c r="J473" s="75">
        <v>0</v>
      </c>
      <c r="K473" s="75">
        <v>0</v>
      </c>
      <c r="L473" s="6" t="e">
        <f>(SUM(K470:K473))/J472</f>
        <v>#DIV/0!</v>
      </c>
      <c r="M473" s="36" t="e">
        <f t="shared" si="105"/>
        <v>#DIV/0!</v>
      </c>
      <c r="N473" s="6">
        <f t="shared" si="110"/>
        <v>0.2271654986777647</v>
      </c>
      <c r="O473" s="6">
        <f t="shared" si="110"/>
        <v>0.71582389712396544</v>
      </c>
      <c r="P473" s="6">
        <f t="shared" si="110"/>
        <v>-0.26149289976843598</v>
      </c>
      <c r="Q473" s="75">
        <v>0</v>
      </c>
      <c r="R473" s="76">
        <v>0</v>
      </c>
      <c r="S473" s="6" t="e">
        <f t="shared" si="103"/>
        <v>#DIV/0!</v>
      </c>
      <c r="T473" s="36" t="e">
        <f t="shared" si="106"/>
        <v>#DIV/0!</v>
      </c>
      <c r="U473" s="6">
        <f t="shared" si="109"/>
        <v>0.18401218302179842</v>
      </c>
      <c r="V473" s="6">
        <f t="shared" si="109"/>
        <v>0.37883088095577799</v>
      </c>
      <c r="W473" s="6">
        <f t="shared" si="109"/>
        <v>-1.0806514912181153E-2</v>
      </c>
      <c r="X473" s="6">
        <f t="shared" si="109"/>
        <v>8.6602834054808633E-2</v>
      </c>
      <c r="Y473" s="6">
        <f t="shared" si="109"/>
        <v>0.19481869793397957</v>
      </c>
    </row>
    <row r="474" spans="1:25" x14ac:dyDescent="0.25">
      <c r="A474" s="7" t="s">
        <v>71</v>
      </c>
      <c r="B474" s="7" t="s">
        <v>162</v>
      </c>
      <c r="C474" s="74">
        <v>0</v>
      </c>
      <c r="D474" s="74">
        <v>40</v>
      </c>
      <c r="E474" s="71" t="e">
        <f t="shared" si="102"/>
        <v>#DIV/0!</v>
      </c>
      <c r="F474" s="65" t="e">
        <f t="shared" si="104"/>
        <v>#DIV/0!</v>
      </c>
      <c r="G474" s="71">
        <f t="shared" si="108"/>
        <v>0.44825178806664662</v>
      </c>
      <c r="H474" s="71">
        <f t="shared" si="108"/>
        <v>0.78548221403733831</v>
      </c>
      <c r="I474" s="71">
        <f t="shared" si="108"/>
        <v>0.11102136209595498</v>
      </c>
      <c r="J474" s="75">
        <v>0</v>
      </c>
      <c r="K474" s="75">
        <v>0</v>
      </c>
      <c r="L474" s="6" t="e">
        <f>(SUM(K470:K474))/J473</f>
        <v>#DIV/0!</v>
      </c>
      <c r="M474" s="36" t="e">
        <f t="shared" si="105"/>
        <v>#DIV/0!</v>
      </c>
      <c r="N474" s="6">
        <f t="shared" si="110"/>
        <v>0.27284258705105507</v>
      </c>
      <c r="O474" s="6">
        <f t="shared" si="110"/>
        <v>0.75981161093062477</v>
      </c>
      <c r="P474" s="6">
        <f t="shared" si="110"/>
        <v>-0.21412643682851468</v>
      </c>
      <c r="Q474" s="75">
        <v>0</v>
      </c>
      <c r="R474" s="76">
        <v>0</v>
      </c>
      <c r="S474" s="6" t="e">
        <f t="shared" si="103"/>
        <v>#DIV/0!</v>
      </c>
      <c r="T474" s="36" t="e">
        <f t="shared" si="106"/>
        <v>#DIV/0!</v>
      </c>
      <c r="U474" s="6">
        <f t="shared" si="109"/>
        <v>0.23278475191631845</v>
      </c>
      <c r="V474" s="6">
        <f t="shared" si="109"/>
        <v>0.51017789992422413</v>
      </c>
      <c r="W474" s="6">
        <f t="shared" si="109"/>
        <v>-4.460839609158726E-2</v>
      </c>
      <c r="X474" s="6">
        <f t="shared" si="109"/>
        <v>9.4088177912365595E-2</v>
      </c>
      <c r="Y474" s="6">
        <f t="shared" si="109"/>
        <v>0.27739314800790571</v>
      </c>
    </row>
    <row r="475" spans="1:25" x14ac:dyDescent="0.25">
      <c r="A475" s="7" t="s">
        <v>71</v>
      </c>
      <c r="B475" s="7" t="s">
        <v>163</v>
      </c>
      <c r="C475" s="74">
        <v>0</v>
      </c>
      <c r="D475" s="74">
        <v>60</v>
      </c>
      <c r="E475" s="71" t="e">
        <f t="shared" si="102"/>
        <v>#DIV/0!</v>
      </c>
      <c r="F475" s="65" t="e">
        <f t="shared" si="104"/>
        <v>#DIV/0!</v>
      </c>
      <c r="G475" s="71">
        <f t="shared" si="108"/>
        <v>0.54231176602906361</v>
      </c>
      <c r="H475" s="71">
        <f t="shared" si="108"/>
        <v>0.92735502699565786</v>
      </c>
      <c r="I475" s="71">
        <f t="shared" si="108"/>
        <v>0.15726850506246942</v>
      </c>
      <c r="J475" s="75">
        <v>0</v>
      </c>
      <c r="K475" s="75">
        <v>0</v>
      </c>
      <c r="L475" s="6" t="e">
        <f>(SUM(K470:K475))/J474</f>
        <v>#DIV/0!</v>
      </c>
      <c r="M475" s="36" t="e">
        <f t="shared" si="105"/>
        <v>#DIV/0!</v>
      </c>
      <c r="N475" s="6">
        <f t="shared" si="110"/>
        <v>0.31451673641638933</v>
      </c>
      <c r="O475" s="6">
        <f t="shared" si="110"/>
        <v>0.80702132782766356</v>
      </c>
      <c r="P475" s="6">
        <f t="shared" si="110"/>
        <v>-0.1779878549948849</v>
      </c>
      <c r="Q475" s="75">
        <v>0</v>
      </c>
      <c r="R475" s="76">
        <v>0</v>
      </c>
      <c r="S475" s="6" t="e">
        <f t="shared" si="103"/>
        <v>#DIV/0!</v>
      </c>
      <c r="T475" s="36" t="e">
        <f t="shared" si="106"/>
        <v>#DIV/0!</v>
      </c>
      <c r="U475" s="6">
        <f t="shared" si="109"/>
        <v>0.46105014853915682</v>
      </c>
      <c r="V475" s="6">
        <f t="shared" si="109"/>
        <v>0.84756736419379908</v>
      </c>
      <c r="W475" s="6">
        <f t="shared" si="109"/>
        <v>7.4532932884514569E-2</v>
      </c>
      <c r="X475" s="6">
        <f t="shared" si="109"/>
        <v>7.4532932884514569E-2</v>
      </c>
      <c r="Y475" s="6">
        <f t="shared" si="109"/>
        <v>0.38651721565464225</v>
      </c>
    </row>
    <row r="476" spans="1:25" x14ac:dyDescent="0.25">
      <c r="A476" s="7" t="s">
        <v>71</v>
      </c>
      <c r="B476" s="7" t="s">
        <v>164</v>
      </c>
      <c r="C476" s="74">
        <v>0</v>
      </c>
      <c r="D476" s="74">
        <v>60</v>
      </c>
      <c r="E476" s="71" t="e">
        <f t="shared" si="102"/>
        <v>#DIV/0!</v>
      </c>
      <c r="F476" s="65" t="e">
        <f t="shared" si="104"/>
        <v>#DIV/0!</v>
      </c>
      <c r="G476" s="71">
        <f t="shared" si="108"/>
        <v>0.63634637719050002</v>
      </c>
      <c r="H476" s="71">
        <f t="shared" si="108"/>
        <v>1.0512878703900039</v>
      </c>
      <c r="I476" s="71">
        <f t="shared" si="108"/>
        <v>0.22140488399099606</v>
      </c>
      <c r="J476" s="75">
        <v>0</v>
      </c>
      <c r="K476" s="75">
        <v>0</v>
      </c>
      <c r="L476" s="6" t="e">
        <f>(SUM(K470:K476))/J475</f>
        <v>#DIV/0!</v>
      </c>
      <c r="M476" s="36" t="e">
        <f t="shared" si="105"/>
        <v>#DIV/0!</v>
      </c>
      <c r="N476" s="6">
        <f t="shared" si="110"/>
        <v>0.38334713342809434</v>
      </c>
      <c r="O476" s="6">
        <f t="shared" si="110"/>
        <v>0.88375935483946089</v>
      </c>
      <c r="P476" s="6">
        <f t="shared" si="110"/>
        <v>-0.1170650879832722</v>
      </c>
      <c r="Q476" s="75">
        <v>0</v>
      </c>
      <c r="R476" s="76">
        <v>0</v>
      </c>
      <c r="S476" s="6" t="e">
        <f t="shared" si="103"/>
        <v>#DIV/0!</v>
      </c>
      <c r="T476" s="36" t="e">
        <f t="shared" si="106"/>
        <v>#DIV/0!</v>
      </c>
      <c r="U476" s="6">
        <f t="shared" si="109"/>
        <v>0.46105014853915682</v>
      </c>
      <c r="V476" s="6">
        <f t="shared" si="109"/>
        <v>0.84756736419379908</v>
      </c>
      <c r="W476" s="6">
        <f t="shared" si="109"/>
        <v>7.4532932884514569E-2</v>
      </c>
      <c r="X476" s="6">
        <f t="shared" si="109"/>
        <v>7.4532932884514569E-2</v>
      </c>
      <c r="Y476" s="6">
        <f t="shared" si="109"/>
        <v>0.38651721565464225</v>
      </c>
    </row>
    <row r="477" spans="1:25" x14ac:dyDescent="0.25">
      <c r="A477" s="7" t="s">
        <v>71</v>
      </c>
      <c r="B477" s="7" t="s">
        <v>165</v>
      </c>
      <c r="C477" s="74">
        <v>0</v>
      </c>
      <c r="D477" s="74">
        <v>60</v>
      </c>
      <c r="E477" s="71" t="e">
        <f t="shared" si="102"/>
        <v>#DIV/0!</v>
      </c>
      <c r="F477" s="65" t="e">
        <f t="shared" si="104"/>
        <v>#DIV/0!</v>
      </c>
      <c r="G477" s="71">
        <f t="shared" si="108"/>
        <v>0.70660866675940681</v>
      </c>
      <c r="H477" s="71">
        <f t="shared" si="108"/>
        <v>1.1341225514190425</v>
      </c>
      <c r="I477" s="71">
        <f t="shared" si="108"/>
        <v>0.27909478209977112</v>
      </c>
      <c r="J477" s="75">
        <v>0</v>
      </c>
      <c r="K477" s="75">
        <v>0</v>
      </c>
      <c r="L477" s="6" t="e">
        <f>(SUM(K470:K477))/J476</f>
        <v>#DIV/0!</v>
      </c>
      <c r="M477" s="36" t="e">
        <f t="shared" si="105"/>
        <v>#DIV/0!</v>
      </c>
      <c r="N477" s="6">
        <f t="shared" si="110"/>
        <v>0.45719521320533213</v>
      </c>
      <c r="O477" s="6">
        <f t="shared" si="110"/>
        <v>0.97356755068321044</v>
      </c>
      <c r="P477" s="6">
        <f t="shared" si="110"/>
        <v>-5.9177124272546122E-2</v>
      </c>
      <c r="Q477" s="75">
        <v>0</v>
      </c>
      <c r="R477" s="76">
        <v>0</v>
      </c>
      <c r="S477" s="6" t="e">
        <f t="shared" si="103"/>
        <v>#DIV/0!</v>
      </c>
      <c r="T477" s="36" t="e">
        <f t="shared" si="106"/>
        <v>#DIV/0!</v>
      </c>
      <c r="U477" s="6">
        <f t="shared" si="109"/>
        <v>0.46105014853915682</v>
      </c>
      <c r="V477" s="6">
        <f t="shared" si="109"/>
        <v>0.84756736419379908</v>
      </c>
      <c r="W477" s="6">
        <f t="shared" si="109"/>
        <v>7.4532932884514569E-2</v>
      </c>
      <c r="X477" s="6">
        <f t="shared" si="109"/>
        <v>7.4532932884514569E-2</v>
      </c>
      <c r="Y477" s="6">
        <f t="shared" si="109"/>
        <v>0.38651721565464225</v>
      </c>
    </row>
    <row r="478" spans="1:25" x14ac:dyDescent="0.25">
      <c r="A478" s="7" t="s">
        <v>71</v>
      </c>
      <c r="B478" s="7" t="s">
        <v>166</v>
      </c>
      <c r="C478" s="74">
        <v>0</v>
      </c>
      <c r="D478" s="74">
        <v>60</v>
      </c>
      <c r="E478" s="71" t="e">
        <f t="shared" si="102"/>
        <v>#DIV/0!</v>
      </c>
      <c r="F478" s="65" t="e">
        <f t="shared" si="104"/>
        <v>#DIV/0!</v>
      </c>
      <c r="G478" s="71">
        <f t="shared" si="108"/>
        <v>0.73663014244586189</v>
      </c>
      <c r="H478" s="71">
        <f t="shared" si="108"/>
        <v>1.1737360935948695</v>
      </c>
      <c r="I478" s="71">
        <f t="shared" si="108"/>
        <v>0.29952419129685426</v>
      </c>
      <c r="J478" s="75">
        <v>0</v>
      </c>
      <c r="K478" s="75">
        <v>0</v>
      </c>
      <c r="L478" s="6" t="e">
        <f>(SUM(K470:K478))/J477</f>
        <v>#DIV/0!</v>
      </c>
      <c r="M478" s="36" t="e">
        <f t="shared" si="105"/>
        <v>#DIV/0!</v>
      </c>
      <c r="N478" s="6">
        <f t="shared" si="110"/>
        <v>0.50336729135060976</v>
      </c>
      <c r="O478" s="6">
        <f t="shared" si="110"/>
        <v>1.0150591886201059</v>
      </c>
      <c r="P478" s="6">
        <f t="shared" si="110"/>
        <v>-8.3246059188863963E-3</v>
      </c>
      <c r="Q478" s="75">
        <v>0</v>
      </c>
      <c r="R478" s="76">
        <v>10</v>
      </c>
      <c r="S478" s="6" t="e">
        <f t="shared" si="103"/>
        <v>#DIV/0!</v>
      </c>
      <c r="T478" s="36" t="e">
        <f t="shared" si="106"/>
        <v>#DIV/0!</v>
      </c>
      <c r="U478" s="6">
        <f t="shared" si="109"/>
        <v>0.74232771533595698</v>
      </c>
      <c r="V478" s="6">
        <f t="shared" si="109"/>
        <v>1.1540802341555996</v>
      </c>
      <c r="W478" s="6">
        <f t="shared" si="109"/>
        <v>0.33057519651631434</v>
      </c>
      <c r="X478" s="6">
        <f t="shared" si="109"/>
        <v>0.33057519651631434</v>
      </c>
      <c r="Y478" s="6">
        <f t="shared" si="109"/>
        <v>0.41175251881964264</v>
      </c>
    </row>
    <row r="479" spans="1:25" x14ac:dyDescent="0.25">
      <c r="A479" s="7" t="s">
        <v>71</v>
      </c>
      <c r="B479" s="7" t="s">
        <v>167</v>
      </c>
      <c r="C479" s="74">
        <v>0</v>
      </c>
      <c r="D479" s="74">
        <v>60</v>
      </c>
      <c r="E479" s="71" t="e">
        <f t="shared" si="102"/>
        <v>#DIV/0!</v>
      </c>
      <c r="F479" s="65" t="e">
        <f t="shared" si="104"/>
        <v>#DIV/0!</v>
      </c>
      <c r="G479" s="71">
        <f t="shared" si="108"/>
        <v>0.82061442726694189</v>
      </c>
      <c r="H479" s="71">
        <f t="shared" si="108"/>
        <v>1.2607833515834532</v>
      </c>
      <c r="I479" s="71">
        <f t="shared" si="108"/>
        <v>0.38044550295043061</v>
      </c>
      <c r="J479" s="75">
        <v>0</v>
      </c>
      <c r="K479" s="75">
        <v>0</v>
      </c>
      <c r="L479" s="6" t="e">
        <f>(SUM(K470:K479))/J478</f>
        <v>#DIV/0!</v>
      </c>
      <c r="M479" s="36" t="e">
        <f t="shared" si="105"/>
        <v>#DIV/0!</v>
      </c>
      <c r="N479" s="6">
        <f t="shared" si="110"/>
        <v>0.58006775555216661</v>
      </c>
      <c r="O479" s="6">
        <f t="shared" si="110"/>
        <v>1.099948635873619</v>
      </c>
      <c r="P479" s="6">
        <f t="shared" si="110"/>
        <v>6.0186875230714088E-2</v>
      </c>
      <c r="Q479" s="75">
        <v>0</v>
      </c>
      <c r="R479" s="76">
        <v>10</v>
      </c>
      <c r="S479" s="6" t="e">
        <f t="shared" si="103"/>
        <v>#DIV/0!</v>
      </c>
      <c r="T479" s="36" t="e">
        <f t="shared" si="106"/>
        <v>#DIV/0!</v>
      </c>
      <c r="U479" s="6">
        <f t="shared" ref="U479:Y494" si="111">U467</f>
        <v>0.82347447721763523</v>
      </c>
      <c r="V479" s="6">
        <f t="shared" si="111"/>
        <v>1.2398542522675045</v>
      </c>
      <c r="W479" s="6">
        <f t="shared" si="111"/>
        <v>0.40709470216776611</v>
      </c>
      <c r="X479" s="6">
        <f t="shared" si="111"/>
        <v>0.40709470216776611</v>
      </c>
      <c r="Y479" s="6">
        <f t="shared" si="111"/>
        <v>0.41637977504986912</v>
      </c>
    </row>
    <row r="480" spans="1:25" x14ac:dyDescent="0.25">
      <c r="A480" s="7" t="s">
        <v>71</v>
      </c>
      <c r="B480" s="7" t="s">
        <v>168</v>
      </c>
      <c r="C480" s="74">
        <v>0</v>
      </c>
      <c r="D480" s="74">
        <v>60</v>
      </c>
      <c r="E480" s="71" t="e">
        <f t="shared" si="102"/>
        <v>#DIV/0!</v>
      </c>
      <c r="F480" s="65" t="e">
        <f t="shared" si="104"/>
        <v>#DIV/0!</v>
      </c>
      <c r="G480" s="71">
        <f t="shared" si="108"/>
        <v>0.94582556715526966</v>
      </c>
      <c r="H480" s="71">
        <f t="shared" si="108"/>
        <v>1.4311117173682604</v>
      </c>
      <c r="I480" s="71">
        <f t="shared" si="108"/>
        <v>0.46053941694227907</v>
      </c>
      <c r="J480" s="75">
        <v>0</v>
      </c>
      <c r="K480" s="75">
        <v>0</v>
      </c>
      <c r="L480" s="6" t="e">
        <f>(SUM(K470:K480))/J479</f>
        <v>#DIV/0!</v>
      </c>
      <c r="M480" s="36" t="e">
        <f t="shared" si="105"/>
        <v>#DIV/0!</v>
      </c>
      <c r="N480" s="6">
        <f t="shared" si="110"/>
        <v>0.72282137340514951</v>
      </c>
      <c r="O480" s="6">
        <f t="shared" si="110"/>
        <v>1.2463651595014014</v>
      </c>
      <c r="P480" s="6">
        <f t="shared" si="110"/>
        <v>0.19927758730889755</v>
      </c>
      <c r="Q480" s="75">
        <v>0</v>
      </c>
      <c r="R480" s="76">
        <v>10</v>
      </c>
      <c r="S480" s="6" t="e">
        <f t="shared" si="103"/>
        <v>#DIV/0!</v>
      </c>
      <c r="T480" s="36" t="e">
        <f t="shared" si="106"/>
        <v>#DIV/0!</v>
      </c>
      <c r="U480" s="6">
        <f t="shared" si="111"/>
        <v>0.91825333306001944</v>
      </c>
      <c r="V480" s="6">
        <f t="shared" si="111"/>
        <v>1.402047931898428</v>
      </c>
      <c r="W480" s="6">
        <f t="shared" si="111"/>
        <v>0.43445873422161085</v>
      </c>
      <c r="X480" s="6">
        <f t="shared" si="111"/>
        <v>0.43445873422161085</v>
      </c>
      <c r="Y480" s="6">
        <f t="shared" si="111"/>
        <v>0.48379459883840858</v>
      </c>
    </row>
    <row r="481" spans="1:25" x14ac:dyDescent="0.25">
      <c r="A481" s="7" t="s">
        <v>71</v>
      </c>
      <c r="B481" s="7" t="s">
        <v>169</v>
      </c>
      <c r="C481" s="74">
        <v>0</v>
      </c>
      <c r="D481" s="74">
        <v>60</v>
      </c>
      <c r="E481" s="71" t="e">
        <f t="shared" si="102"/>
        <v>#DIV/0!</v>
      </c>
      <c r="F481" s="65" t="e">
        <f t="shared" si="104"/>
        <v>#DIV/0!</v>
      </c>
      <c r="G481" s="71">
        <f t="shared" si="108"/>
        <v>1.0016849877757958</v>
      </c>
      <c r="H481" s="71">
        <f t="shared" si="108"/>
        <v>1.521489991464148</v>
      </c>
      <c r="I481" s="71">
        <f t="shared" si="108"/>
        <v>0.48187998408744359</v>
      </c>
      <c r="J481" s="75">
        <v>0</v>
      </c>
      <c r="K481" s="75">
        <v>0</v>
      </c>
      <c r="L481" s="6" t="e">
        <f>(SUM(K470:K481))/J480</f>
        <v>#DIV/0!</v>
      </c>
      <c r="M481" s="36" t="e">
        <f t="shared" si="105"/>
        <v>#DIV/0!</v>
      </c>
      <c r="N481" s="6">
        <f t="shared" si="110"/>
        <v>0.82421983567812696</v>
      </c>
      <c r="O481" s="6">
        <f t="shared" si="110"/>
        <v>1.3730394926064369</v>
      </c>
      <c r="P481" s="6">
        <f t="shared" si="110"/>
        <v>0.27540017874981693</v>
      </c>
      <c r="Q481" s="75">
        <v>0</v>
      </c>
      <c r="R481" s="76">
        <v>10</v>
      </c>
      <c r="S481" s="6" t="e">
        <f t="shared" si="103"/>
        <v>#DIV/0!</v>
      </c>
      <c r="T481" s="36" t="e">
        <f t="shared" si="106"/>
        <v>#DIV/0!</v>
      </c>
      <c r="U481" s="6">
        <f t="shared" si="111"/>
        <v>0.91825333306001944</v>
      </c>
      <c r="V481" s="6">
        <f t="shared" si="111"/>
        <v>1.402047931898428</v>
      </c>
      <c r="W481" s="6">
        <f t="shared" si="111"/>
        <v>0.43445873422161085</v>
      </c>
      <c r="X481" s="6">
        <f t="shared" si="111"/>
        <v>0.43445873422161085</v>
      </c>
      <c r="Y481" s="6">
        <f t="shared" si="111"/>
        <v>0.48379459883840858</v>
      </c>
    </row>
    <row r="482" spans="1:25" x14ac:dyDescent="0.25">
      <c r="A482" s="7" t="s">
        <v>84</v>
      </c>
      <c r="B482" s="7" t="s">
        <v>158</v>
      </c>
      <c r="C482" s="74">
        <v>75</v>
      </c>
      <c r="D482" s="74">
        <v>0</v>
      </c>
      <c r="E482" s="71">
        <f t="shared" si="102"/>
        <v>0</v>
      </c>
      <c r="F482" s="65" t="str">
        <f t="shared" si="104"/>
        <v>Desempenho Médio</v>
      </c>
      <c r="G482" s="71">
        <f t="shared" si="108"/>
        <v>0.11573204891712785</v>
      </c>
      <c r="H482" s="71">
        <f t="shared" si="108"/>
        <v>0.30218524997148988</v>
      </c>
      <c r="I482" s="71">
        <f t="shared" si="108"/>
        <v>-7.0721152137234206E-2</v>
      </c>
      <c r="J482" s="75">
        <v>8000</v>
      </c>
      <c r="K482" s="75">
        <v>0</v>
      </c>
      <c r="L482" s="6">
        <f>K482/J482</f>
        <v>0</v>
      </c>
      <c r="M482" s="36" t="str">
        <f t="shared" si="105"/>
        <v>Desempenho Médio</v>
      </c>
      <c r="N482" s="6">
        <f t="shared" si="110"/>
        <v>0.11129468122233216</v>
      </c>
      <c r="O482" s="6">
        <f t="shared" si="110"/>
        <v>0.54990456699293522</v>
      </c>
      <c r="P482" s="6">
        <f t="shared" si="110"/>
        <v>-0.32731520454827095</v>
      </c>
      <c r="Q482" s="75">
        <v>33</v>
      </c>
      <c r="R482" s="76">
        <v>0</v>
      </c>
      <c r="S482" s="6">
        <f t="shared" si="103"/>
        <v>0</v>
      </c>
      <c r="T482" s="36" t="str">
        <f t="shared" si="106"/>
        <v>Desempenho Médio</v>
      </c>
      <c r="U482" s="6">
        <f t="shared" si="111"/>
        <v>6.5053670194766225E-2</v>
      </c>
      <c r="V482" s="6">
        <f t="shared" si="111"/>
        <v>0.16010348962314203</v>
      </c>
      <c r="W482" s="6">
        <f t="shared" si="111"/>
        <v>-2.9996149233609562E-2</v>
      </c>
      <c r="X482" s="6">
        <f t="shared" si="111"/>
        <v>1.7528760480578331E-2</v>
      </c>
      <c r="Y482" s="6">
        <f t="shared" si="111"/>
        <v>9.5049819428375787E-2</v>
      </c>
    </row>
    <row r="483" spans="1:25" x14ac:dyDescent="0.25">
      <c r="A483" s="7" t="s">
        <v>84</v>
      </c>
      <c r="B483" s="7" t="s">
        <v>159</v>
      </c>
      <c r="C483" s="74">
        <v>75</v>
      </c>
      <c r="D483" s="74">
        <v>0</v>
      </c>
      <c r="E483" s="71">
        <f t="shared" si="102"/>
        <v>0</v>
      </c>
      <c r="F483" s="65" t="str">
        <f t="shared" si="104"/>
        <v>Desempenho Médio</v>
      </c>
      <c r="G483" s="71">
        <f t="shared" si="108"/>
        <v>0.22598075676513599</v>
      </c>
      <c r="H483" s="71">
        <f t="shared" si="108"/>
        <v>0.51894873552035481</v>
      </c>
      <c r="I483" s="71">
        <f t="shared" si="108"/>
        <v>-6.6987221990082807E-2</v>
      </c>
      <c r="J483" s="75">
        <v>8000</v>
      </c>
      <c r="K483" s="75">
        <v>0</v>
      </c>
      <c r="L483" s="6">
        <f>(SUM(K482:K483))/J482</f>
        <v>0</v>
      </c>
      <c r="M483" s="36" t="str">
        <f t="shared" si="105"/>
        <v>Desempenho Médio</v>
      </c>
      <c r="N483" s="6">
        <f t="shared" si="110"/>
        <v>0.14992070801509372</v>
      </c>
      <c r="O483" s="6">
        <f t="shared" si="110"/>
        <v>0.58968599072326611</v>
      </c>
      <c r="P483" s="6">
        <f t="shared" si="110"/>
        <v>-0.28984457469307867</v>
      </c>
      <c r="Q483" s="75">
        <v>33</v>
      </c>
      <c r="R483" s="76">
        <v>0</v>
      </c>
      <c r="S483" s="6">
        <f t="shared" si="103"/>
        <v>0</v>
      </c>
      <c r="T483" s="36" t="str">
        <f t="shared" si="106"/>
        <v>Desempenho Médio</v>
      </c>
      <c r="U483" s="6">
        <f t="shared" si="111"/>
        <v>6.5053670194766225E-2</v>
      </c>
      <c r="V483" s="6">
        <f t="shared" si="111"/>
        <v>0.16010348962314203</v>
      </c>
      <c r="W483" s="6">
        <f t="shared" si="111"/>
        <v>-2.9996149233609562E-2</v>
      </c>
      <c r="X483" s="6">
        <f t="shared" si="111"/>
        <v>1.7528760480578331E-2</v>
      </c>
      <c r="Y483" s="6">
        <f t="shared" si="111"/>
        <v>9.5049819428375787E-2</v>
      </c>
    </row>
    <row r="484" spans="1:25" x14ac:dyDescent="0.25">
      <c r="A484" s="7" t="s">
        <v>84</v>
      </c>
      <c r="B484" s="7" t="s">
        <v>160</v>
      </c>
      <c r="C484" s="74">
        <v>75</v>
      </c>
      <c r="D484" s="74">
        <v>56</v>
      </c>
      <c r="E484" s="71">
        <f t="shared" si="102"/>
        <v>0.7466666666666667</v>
      </c>
      <c r="F484" s="65" t="str">
        <f t="shared" si="104"/>
        <v>Desempenho Ótimo</v>
      </c>
      <c r="G484" s="71">
        <f t="shared" si="108"/>
        <v>0.2827891266215985</v>
      </c>
      <c r="H484" s="71">
        <f t="shared" si="108"/>
        <v>0.59134445337262298</v>
      </c>
      <c r="I484" s="71">
        <f t="shared" si="108"/>
        <v>-2.5766200129425987E-2</v>
      </c>
      <c r="J484" s="75">
        <v>8000</v>
      </c>
      <c r="K484" s="75">
        <v>1112.4000000000001</v>
      </c>
      <c r="L484" s="6">
        <f>(SUM(K482:K484))/J483</f>
        <v>0.13905000000000001</v>
      </c>
      <c r="M484" s="36" t="str">
        <f t="shared" si="105"/>
        <v>Desempenho Médio</v>
      </c>
      <c r="N484" s="6">
        <f t="shared" si="110"/>
        <v>0.17723994755342617</v>
      </c>
      <c r="O484" s="6">
        <f t="shared" si="110"/>
        <v>0.61473682715667155</v>
      </c>
      <c r="P484" s="6">
        <f t="shared" si="110"/>
        <v>-0.26025693204981915</v>
      </c>
      <c r="Q484" s="75">
        <v>33</v>
      </c>
      <c r="R484" s="76">
        <v>0</v>
      </c>
      <c r="S484" s="6">
        <f t="shared" si="103"/>
        <v>0</v>
      </c>
      <c r="T484" s="36" t="str">
        <f t="shared" si="106"/>
        <v>Desempenho Médio</v>
      </c>
      <c r="U484" s="6">
        <f t="shared" si="111"/>
        <v>0.18401218302179842</v>
      </c>
      <c r="V484" s="6">
        <f t="shared" si="111"/>
        <v>0.37883088095577799</v>
      </c>
      <c r="W484" s="6">
        <f t="shared" si="111"/>
        <v>-1.0806514912181153E-2</v>
      </c>
      <c r="X484" s="6">
        <f t="shared" si="111"/>
        <v>8.6602834054808633E-2</v>
      </c>
      <c r="Y484" s="6">
        <f t="shared" si="111"/>
        <v>0.19481869793397957</v>
      </c>
    </row>
    <row r="485" spans="1:25" x14ac:dyDescent="0.25">
      <c r="A485" s="7" t="s">
        <v>84</v>
      </c>
      <c r="B485" s="7" t="s">
        <v>161</v>
      </c>
      <c r="C485" s="74">
        <v>75</v>
      </c>
      <c r="D485" s="74">
        <v>56</v>
      </c>
      <c r="E485" s="71">
        <f t="shared" si="102"/>
        <v>0.7466666666666667</v>
      </c>
      <c r="F485" s="65" t="str">
        <f t="shared" si="104"/>
        <v>Desempenho Ótimo</v>
      </c>
      <c r="G485" s="71">
        <f t="shared" si="108"/>
        <v>0.36222496935690102</v>
      </c>
      <c r="H485" s="71">
        <f t="shared" si="108"/>
        <v>0.67917151968337719</v>
      </c>
      <c r="I485" s="71">
        <f t="shared" si="108"/>
        <v>4.5278419030424844E-2</v>
      </c>
      <c r="J485" s="75">
        <v>8000</v>
      </c>
      <c r="K485" s="75">
        <v>0</v>
      </c>
      <c r="L485" s="6">
        <f>(SUM(K482:K485))/J484</f>
        <v>0.13905000000000001</v>
      </c>
      <c r="M485" s="36" t="str">
        <f t="shared" si="105"/>
        <v>Desempenho Médio</v>
      </c>
      <c r="N485" s="6">
        <f t="shared" si="110"/>
        <v>0.2271654986777647</v>
      </c>
      <c r="O485" s="6">
        <f t="shared" si="110"/>
        <v>0.71582389712396544</v>
      </c>
      <c r="P485" s="6">
        <f t="shared" si="110"/>
        <v>-0.26149289976843598</v>
      </c>
      <c r="Q485" s="75">
        <v>33</v>
      </c>
      <c r="R485" s="76">
        <v>0</v>
      </c>
      <c r="S485" s="6">
        <f t="shared" si="103"/>
        <v>0</v>
      </c>
      <c r="T485" s="36" t="str">
        <f t="shared" si="106"/>
        <v>Desempenho Médio</v>
      </c>
      <c r="U485" s="6">
        <f t="shared" si="111"/>
        <v>0.18401218302179842</v>
      </c>
      <c r="V485" s="6">
        <f t="shared" si="111"/>
        <v>0.37883088095577799</v>
      </c>
      <c r="W485" s="6">
        <f t="shared" si="111"/>
        <v>-1.0806514912181153E-2</v>
      </c>
      <c r="X485" s="6">
        <f t="shared" si="111"/>
        <v>8.6602834054808633E-2</v>
      </c>
      <c r="Y485" s="6">
        <f t="shared" si="111"/>
        <v>0.19481869793397957</v>
      </c>
    </row>
    <row r="486" spans="1:25" x14ac:dyDescent="0.25">
      <c r="A486" s="7" t="s">
        <v>84</v>
      </c>
      <c r="B486" s="7" t="s">
        <v>162</v>
      </c>
      <c r="C486" s="74">
        <v>75</v>
      </c>
      <c r="D486" s="74">
        <v>56</v>
      </c>
      <c r="E486" s="71">
        <f t="shared" si="102"/>
        <v>0.7466666666666667</v>
      </c>
      <c r="F486" s="65" t="str">
        <f t="shared" si="104"/>
        <v>Desempenho Bom</v>
      </c>
      <c r="G486" s="71">
        <f t="shared" si="108"/>
        <v>0.44825178806664662</v>
      </c>
      <c r="H486" s="71">
        <f t="shared" si="108"/>
        <v>0.78548221403733831</v>
      </c>
      <c r="I486" s="71">
        <f t="shared" si="108"/>
        <v>0.11102136209595498</v>
      </c>
      <c r="J486" s="75">
        <v>8000</v>
      </c>
      <c r="K486" s="75">
        <v>0</v>
      </c>
      <c r="L486" s="6">
        <f>(SUM(K482:K486))/J485</f>
        <v>0.13905000000000001</v>
      </c>
      <c r="M486" s="36" t="str">
        <f t="shared" si="105"/>
        <v>Desempenho Médio</v>
      </c>
      <c r="N486" s="6">
        <f t="shared" ref="N486:P501" si="112">N474</f>
        <v>0.27284258705105507</v>
      </c>
      <c r="O486" s="6">
        <f t="shared" si="112"/>
        <v>0.75981161093062477</v>
      </c>
      <c r="P486" s="6">
        <f t="shared" si="112"/>
        <v>-0.21412643682851468</v>
      </c>
      <c r="Q486" s="75">
        <v>33</v>
      </c>
      <c r="R486" s="76">
        <v>0</v>
      </c>
      <c r="S486" s="6">
        <f t="shared" si="103"/>
        <v>0</v>
      </c>
      <c r="T486" s="36" t="str">
        <f t="shared" si="106"/>
        <v>Desempenho Médio</v>
      </c>
      <c r="U486" s="6">
        <f t="shared" si="111"/>
        <v>0.23278475191631845</v>
      </c>
      <c r="V486" s="6">
        <f t="shared" si="111"/>
        <v>0.51017789992422413</v>
      </c>
      <c r="W486" s="6">
        <f t="shared" si="111"/>
        <v>-4.460839609158726E-2</v>
      </c>
      <c r="X486" s="6">
        <f t="shared" si="111"/>
        <v>9.4088177912365595E-2</v>
      </c>
      <c r="Y486" s="6">
        <f t="shared" si="111"/>
        <v>0.27739314800790571</v>
      </c>
    </row>
    <row r="487" spans="1:25" x14ac:dyDescent="0.25">
      <c r="A487" s="7" t="s">
        <v>84</v>
      </c>
      <c r="B487" s="7" t="s">
        <v>163</v>
      </c>
      <c r="C487" s="74">
        <v>75</v>
      </c>
      <c r="D487" s="74">
        <v>56</v>
      </c>
      <c r="E487" s="71">
        <f t="shared" si="102"/>
        <v>0.7466666666666667</v>
      </c>
      <c r="F487" s="65" t="str">
        <f t="shared" si="104"/>
        <v>Desempenho Bom</v>
      </c>
      <c r="G487" s="71">
        <f t="shared" si="108"/>
        <v>0.54231176602906361</v>
      </c>
      <c r="H487" s="71">
        <f t="shared" si="108"/>
        <v>0.92735502699565786</v>
      </c>
      <c r="I487" s="71">
        <f t="shared" si="108"/>
        <v>0.15726850506246942</v>
      </c>
      <c r="J487" s="75">
        <v>8000</v>
      </c>
      <c r="K487" s="75">
        <v>0</v>
      </c>
      <c r="L487" s="6">
        <f>(SUM(K482:K487))/J486</f>
        <v>0.13905000000000001</v>
      </c>
      <c r="M487" s="36" t="str">
        <f t="shared" si="105"/>
        <v>Desempenho Médio</v>
      </c>
      <c r="N487" s="6">
        <f t="shared" si="112"/>
        <v>0.31451673641638933</v>
      </c>
      <c r="O487" s="6">
        <f t="shared" si="112"/>
        <v>0.80702132782766356</v>
      </c>
      <c r="P487" s="6">
        <f t="shared" si="112"/>
        <v>-0.1779878549948849</v>
      </c>
      <c r="Q487" s="75">
        <v>33</v>
      </c>
      <c r="R487" s="76">
        <v>0</v>
      </c>
      <c r="S487" s="6">
        <f t="shared" si="103"/>
        <v>0</v>
      </c>
      <c r="T487" s="36" t="str">
        <f t="shared" si="106"/>
        <v>Desempenho Deficitário</v>
      </c>
      <c r="U487" s="6">
        <f t="shared" si="111"/>
        <v>0.46105014853915682</v>
      </c>
      <c r="V487" s="6">
        <f t="shared" si="111"/>
        <v>0.84756736419379908</v>
      </c>
      <c r="W487" s="6">
        <f t="shared" si="111"/>
        <v>7.4532932884514569E-2</v>
      </c>
      <c r="X487" s="6">
        <f t="shared" si="111"/>
        <v>7.4532932884514569E-2</v>
      </c>
      <c r="Y487" s="6">
        <f t="shared" si="111"/>
        <v>0.38651721565464225</v>
      </c>
    </row>
    <row r="488" spans="1:25" x14ac:dyDescent="0.25">
      <c r="A488" s="7" t="s">
        <v>84</v>
      </c>
      <c r="B488" s="7" t="s">
        <v>164</v>
      </c>
      <c r="C488" s="74">
        <v>75</v>
      </c>
      <c r="D488" s="74">
        <v>56</v>
      </c>
      <c r="E488" s="71">
        <f t="shared" si="102"/>
        <v>0.7466666666666667</v>
      </c>
      <c r="F488" s="65" t="str">
        <f t="shared" si="104"/>
        <v>Desempenho Bom</v>
      </c>
      <c r="G488" s="71">
        <f t="shared" si="108"/>
        <v>0.63634637719050002</v>
      </c>
      <c r="H488" s="71">
        <f t="shared" si="108"/>
        <v>1.0512878703900039</v>
      </c>
      <c r="I488" s="71">
        <f t="shared" si="108"/>
        <v>0.22140488399099606</v>
      </c>
      <c r="J488" s="75">
        <v>8000</v>
      </c>
      <c r="K488" s="75">
        <v>800</v>
      </c>
      <c r="L488" s="6">
        <f>(SUM(K482:K488))/J487</f>
        <v>0.23905000000000001</v>
      </c>
      <c r="M488" s="36" t="str">
        <f t="shared" si="105"/>
        <v>Desempenho Médio</v>
      </c>
      <c r="N488" s="6">
        <f t="shared" si="112"/>
        <v>0.38334713342809434</v>
      </c>
      <c r="O488" s="6">
        <f t="shared" si="112"/>
        <v>0.88375935483946089</v>
      </c>
      <c r="P488" s="6">
        <f t="shared" si="112"/>
        <v>-0.1170650879832722</v>
      </c>
      <c r="Q488" s="75">
        <v>33</v>
      </c>
      <c r="R488" s="76">
        <v>0</v>
      </c>
      <c r="S488" s="6">
        <f t="shared" si="103"/>
        <v>0</v>
      </c>
      <c r="T488" s="36" t="str">
        <f t="shared" si="106"/>
        <v>Desempenho Deficitário</v>
      </c>
      <c r="U488" s="6">
        <f t="shared" si="111"/>
        <v>0.46105014853915682</v>
      </c>
      <c r="V488" s="6">
        <f t="shared" si="111"/>
        <v>0.84756736419379908</v>
      </c>
      <c r="W488" s="6">
        <f t="shared" si="111"/>
        <v>7.4532932884514569E-2</v>
      </c>
      <c r="X488" s="6">
        <f t="shared" si="111"/>
        <v>7.4532932884514569E-2</v>
      </c>
      <c r="Y488" s="6">
        <f t="shared" si="111"/>
        <v>0.38651721565464225</v>
      </c>
    </row>
    <row r="489" spans="1:25" x14ac:dyDescent="0.25">
      <c r="A489" s="7" t="s">
        <v>84</v>
      </c>
      <c r="B489" s="7" t="s">
        <v>165</v>
      </c>
      <c r="C489" s="74">
        <v>75</v>
      </c>
      <c r="D489" s="74">
        <v>56</v>
      </c>
      <c r="E489" s="71">
        <f t="shared" si="102"/>
        <v>0.7466666666666667</v>
      </c>
      <c r="F489" s="65" t="str">
        <f t="shared" si="104"/>
        <v>Desempenho Bom</v>
      </c>
      <c r="G489" s="71">
        <f t="shared" si="108"/>
        <v>0.70660866675940681</v>
      </c>
      <c r="H489" s="71">
        <f t="shared" si="108"/>
        <v>1.1341225514190425</v>
      </c>
      <c r="I489" s="71">
        <f t="shared" si="108"/>
        <v>0.27909478209977112</v>
      </c>
      <c r="J489" s="75">
        <v>8000</v>
      </c>
      <c r="K489" s="75">
        <v>2120</v>
      </c>
      <c r="L489" s="6">
        <f>(SUM(K482:K489))/J488</f>
        <v>0.50405</v>
      </c>
      <c r="M489" s="36" t="str">
        <f t="shared" si="105"/>
        <v>Desempenho Bom</v>
      </c>
      <c r="N489" s="6">
        <f t="shared" si="112"/>
        <v>0.45719521320533213</v>
      </c>
      <c r="O489" s="6">
        <f t="shared" si="112"/>
        <v>0.97356755068321044</v>
      </c>
      <c r="P489" s="6">
        <f t="shared" si="112"/>
        <v>-5.9177124272546122E-2</v>
      </c>
      <c r="Q489" s="75">
        <v>33</v>
      </c>
      <c r="R489" s="76">
        <v>0</v>
      </c>
      <c r="S489" s="6">
        <f t="shared" si="103"/>
        <v>0</v>
      </c>
      <c r="T489" s="36" t="str">
        <f t="shared" si="106"/>
        <v>Desempenho Deficitário</v>
      </c>
      <c r="U489" s="6">
        <f t="shared" si="111"/>
        <v>0.46105014853915682</v>
      </c>
      <c r="V489" s="6">
        <f t="shared" si="111"/>
        <v>0.84756736419379908</v>
      </c>
      <c r="W489" s="6">
        <f t="shared" si="111"/>
        <v>7.4532932884514569E-2</v>
      </c>
      <c r="X489" s="6">
        <f t="shared" si="111"/>
        <v>7.4532932884514569E-2</v>
      </c>
      <c r="Y489" s="6">
        <f t="shared" si="111"/>
        <v>0.38651721565464225</v>
      </c>
    </row>
    <row r="490" spans="1:25" x14ac:dyDescent="0.25">
      <c r="A490" s="7" t="s">
        <v>84</v>
      </c>
      <c r="B490" s="7" t="s">
        <v>166</v>
      </c>
      <c r="C490" s="74">
        <v>75</v>
      </c>
      <c r="D490" s="74">
        <v>56</v>
      </c>
      <c r="E490" s="71">
        <f t="shared" si="102"/>
        <v>0.7466666666666667</v>
      </c>
      <c r="F490" s="65" t="str">
        <f t="shared" si="104"/>
        <v>Desempenho Bom</v>
      </c>
      <c r="G490" s="71">
        <f t="shared" si="108"/>
        <v>0.73663014244586189</v>
      </c>
      <c r="H490" s="71">
        <f t="shared" si="108"/>
        <v>1.1737360935948695</v>
      </c>
      <c r="I490" s="71">
        <f t="shared" si="108"/>
        <v>0.29952419129685426</v>
      </c>
      <c r="J490" s="75">
        <v>8000</v>
      </c>
      <c r="K490" s="75">
        <v>0</v>
      </c>
      <c r="L490" s="6">
        <f>(SUM(K482:K490))/J489</f>
        <v>0.50405</v>
      </c>
      <c r="M490" s="36" t="str">
        <f t="shared" si="105"/>
        <v>Desempenho Bom</v>
      </c>
      <c r="N490" s="6">
        <f t="shared" si="112"/>
        <v>0.50336729135060976</v>
      </c>
      <c r="O490" s="6">
        <f t="shared" si="112"/>
        <v>1.0150591886201059</v>
      </c>
      <c r="P490" s="6">
        <f t="shared" si="112"/>
        <v>-8.3246059188863963E-3</v>
      </c>
      <c r="Q490" s="75">
        <v>33</v>
      </c>
      <c r="R490" s="76">
        <v>0</v>
      </c>
      <c r="S490" s="6">
        <f t="shared" si="103"/>
        <v>0</v>
      </c>
      <c r="T490" s="36" t="str">
        <f t="shared" si="106"/>
        <v>Desempenho Deficitário</v>
      </c>
      <c r="U490" s="6">
        <f t="shared" si="111"/>
        <v>0.74232771533595698</v>
      </c>
      <c r="V490" s="6">
        <f t="shared" si="111"/>
        <v>1.1540802341555996</v>
      </c>
      <c r="W490" s="6">
        <f t="shared" si="111"/>
        <v>0.33057519651631434</v>
      </c>
      <c r="X490" s="6">
        <f t="shared" si="111"/>
        <v>0.33057519651631434</v>
      </c>
      <c r="Y490" s="6">
        <f t="shared" si="111"/>
        <v>0.41175251881964264</v>
      </c>
    </row>
    <row r="491" spans="1:25" x14ac:dyDescent="0.25">
      <c r="A491" s="7" t="s">
        <v>84</v>
      </c>
      <c r="B491" s="7" t="s">
        <v>167</v>
      </c>
      <c r="C491" s="74">
        <v>75</v>
      </c>
      <c r="D491" s="74">
        <v>56</v>
      </c>
      <c r="E491" s="71">
        <f t="shared" si="102"/>
        <v>0.7466666666666667</v>
      </c>
      <c r="F491" s="65" t="str">
        <f t="shared" si="104"/>
        <v>Desempenho Médio</v>
      </c>
      <c r="G491" s="71">
        <f t="shared" si="108"/>
        <v>0.82061442726694189</v>
      </c>
      <c r="H491" s="71">
        <f t="shared" si="108"/>
        <v>1.2607833515834532</v>
      </c>
      <c r="I491" s="71">
        <f t="shared" si="108"/>
        <v>0.38044550295043061</v>
      </c>
      <c r="J491" s="75">
        <v>8000</v>
      </c>
      <c r="K491" s="75">
        <v>0</v>
      </c>
      <c r="L491" s="6">
        <f>(SUM(K482:K491))/J490</f>
        <v>0.50405</v>
      </c>
      <c r="M491" s="36" t="str">
        <f t="shared" si="105"/>
        <v>Desempenho Médio</v>
      </c>
      <c r="N491" s="6">
        <f t="shared" si="112"/>
        <v>0.58006775555216661</v>
      </c>
      <c r="O491" s="6">
        <f t="shared" si="112"/>
        <v>1.099948635873619</v>
      </c>
      <c r="P491" s="6">
        <f t="shared" si="112"/>
        <v>6.0186875230714088E-2</v>
      </c>
      <c r="Q491" s="75">
        <v>33</v>
      </c>
      <c r="R491" s="76">
        <v>28</v>
      </c>
      <c r="S491" s="6">
        <f t="shared" si="103"/>
        <v>0.84848484848484851</v>
      </c>
      <c r="T491" s="36" t="str">
        <f t="shared" si="106"/>
        <v>Desempenho Bom</v>
      </c>
      <c r="U491" s="6">
        <f t="shared" si="111"/>
        <v>0.82347447721763523</v>
      </c>
      <c r="V491" s="6">
        <f t="shared" si="111"/>
        <v>1.2398542522675045</v>
      </c>
      <c r="W491" s="6">
        <f t="shared" si="111"/>
        <v>0.40709470216776611</v>
      </c>
      <c r="X491" s="6">
        <f t="shared" si="111"/>
        <v>0.40709470216776611</v>
      </c>
      <c r="Y491" s="6">
        <f t="shared" si="111"/>
        <v>0.41637977504986912</v>
      </c>
    </row>
    <row r="492" spans="1:25" x14ac:dyDescent="0.25">
      <c r="A492" s="7" t="s">
        <v>84</v>
      </c>
      <c r="B492" s="7" t="s">
        <v>168</v>
      </c>
      <c r="C492" s="74">
        <v>75</v>
      </c>
      <c r="D492" s="74">
        <v>100</v>
      </c>
      <c r="E492" s="71">
        <f t="shared" si="102"/>
        <v>1.3333333333333333</v>
      </c>
      <c r="F492" s="65" t="str">
        <f t="shared" si="104"/>
        <v>Desempenho Bom</v>
      </c>
      <c r="G492" s="71">
        <f t="shared" si="108"/>
        <v>0.94582556715526966</v>
      </c>
      <c r="H492" s="71">
        <f t="shared" si="108"/>
        <v>1.4311117173682604</v>
      </c>
      <c r="I492" s="71">
        <f t="shared" si="108"/>
        <v>0.46053941694227907</v>
      </c>
      <c r="J492" s="75">
        <v>8000</v>
      </c>
      <c r="K492" s="75">
        <v>4645</v>
      </c>
      <c r="L492" s="6">
        <f>(SUM(K482:K492))/J491</f>
        <v>1.0846750000000001</v>
      </c>
      <c r="M492" s="36" t="str">
        <f t="shared" si="105"/>
        <v>Desempenho Bom</v>
      </c>
      <c r="N492" s="6">
        <f t="shared" si="112"/>
        <v>0.72282137340514951</v>
      </c>
      <c r="O492" s="6">
        <f t="shared" si="112"/>
        <v>1.2463651595014014</v>
      </c>
      <c r="P492" s="6">
        <f t="shared" si="112"/>
        <v>0.19927758730889755</v>
      </c>
      <c r="Q492" s="75">
        <v>33</v>
      </c>
      <c r="R492" s="76">
        <v>28</v>
      </c>
      <c r="S492" s="6">
        <f t="shared" si="103"/>
        <v>0.84848484848484851</v>
      </c>
      <c r="T492" s="36" t="str">
        <f t="shared" si="106"/>
        <v>Desempenho Médio</v>
      </c>
      <c r="U492" s="6">
        <f t="shared" si="111"/>
        <v>0.91825333306001944</v>
      </c>
      <c r="V492" s="6">
        <f t="shared" si="111"/>
        <v>1.402047931898428</v>
      </c>
      <c r="W492" s="6">
        <f t="shared" si="111"/>
        <v>0.43445873422161085</v>
      </c>
      <c r="X492" s="6">
        <f t="shared" si="111"/>
        <v>0.43445873422161085</v>
      </c>
      <c r="Y492" s="6">
        <f t="shared" si="111"/>
        <v>0.48379459883840858</v>
      </c>
    </row>
    <row r="493" spans="1:25" x14ac:dyDescent="0.25">
      <c r="A493" s="7" t="s">
        <v>84</v>
      </c>
      <c r="B493" s="7" t="s">
        <v>169</v>
      </c>
      <c r="C493" s="74">
        <v>75</v>
      </c>
      <c r="D493" s="74">
        <v>100</v>
      </c>
      <c r="E493" s="71">
        <f t="shared" si="102"/>
        <v>1.3333333333333333</v>
      </c>
      <c r="F493" s="65" t="str">
        <f t="shared" si="104"/>
        <v>Desempenho Bom</v>
      </c>
      <c r="G493" s="71">
        <f t="shared" si="108"/>
        <v>1.0016849877757958</v>
      </c>
      <c r="H493" s="71">
        <f t="shared" si="108"/>
        <v>1.521489991464148</v>
      </c>
      <c r="I493" s="71">
        <f t="shared" si="108"/>
        <v>0.48187998408744359</v>
      </c>
      <c r="J493" s="75">
        <v>8000</v>
      </c>
      <c r="K493" s="75">
        <v>0</v>
      </c>
      <c r="L493" s="6">
        <f>(SUM(K482:K493))/J492</f>
        <v>1.0846750000000001</v>
      </c>
      <c r="M493" s="36" t="str">
        <f t="shared" si="105"/>
        <v>Desempenho Bom</v>
      </c>
      <c r="N493" s="6">
        <f t="shared" si="112"/>
        <v>0.82421983567812696</v>
      </c>
      <c r="O493" s="6">
        <f t="shared" si="112"/>
        <v>1.3730394926064369</v>
      </c>
      <c r="P493" s="6">
        <f t="shared" si="112"/>
        <v>0.27540017874981693</v>
      </c>
      <c r="Q493" s="75">
        <v>33</v>
      </c>
      <c r="R493" s="76">
        <v>28</v>
      </c>
      <c r="S493" s="6">
        <f t="shared" si="103"/>
        <v>0.84848484848484851</v>
      </c>
      <c r="T493" s="36" t="str">
        <f t="shared" si="106"/>
        <v>Desempenho Médio</v>
      </c>
      <c r="U493" s="6">
        <f t="shared" si="111"/>
        <v>0.91825333306001944</v>
      </c>
      <c r="V493" s="6">
        <f t="shared" si="111"/>
        <v>1.402047931898428</v>
      </c>
      <c r="W493" s="6">
        <f t="shared" si="111"/>
        <v>0.43445873422161085</v>
      </c>
      <c r="X493" s="6">
        <f t="shared" si="111"/>
        <v>0.43445873422161085</v>
      </c>
      <c r="Y493" s="6">
        <f t="shared" si="111"/>
        <v>0.48379459883840858</v>
      </c>
    </row>
    <row r="494" spans="1:25" x14ac:dyDescent="0.25">
      <c r="A494" s="7" t="s">
        <v>81</v>
      </c>
      <c r="B494" s="7" t="s">
        <v>158</v>
      </c>
      <c r="C494" s="74">
        <v>66</v>
      </c>
      <c r="D494" s="74">
        <v>0</v>
      </c>
      <c r="E494" s="71">
        <f t="shared" si="102"/>
        <v>0</v>
      </c>
      <c r="F494" s="65" t="str">
        <f t="shared" si="104"/>
        <v>Desempenho Médio</v>
      </c>
      <c r="G494" s="71">
        <f t="shared" si="108"/>
        <v>0.11573204891712785</v>
      </c>
      <c r="H494" s="71">
        <f t="shared" si="108"/>
        <v>0.30218524997148988</v>
      </c>
      <c r="I494" s="71">
        <f t="shared" si="108"/>
        <v>-7.0721152137234206E-2</v>
      </c>
      <c r="J494" s="75">
        <v>14700</v>
      </c>
      <c r="K494" s="75">
        <v>0</v>
      </c>
      <c r="L494" s="6">
        <f>K494/J494</f>
        <v>0</v>
      </c>
      <c r="M494" s="36" t="str">
        <f t="shared" si="105"/>
        <v>Desempenho Médio</v>
      </c>
      <c r="N494" s="6">
        <f t="shared" si="112"/>
        <v>0.11129468122233216</v>
      </c>
      <c r="O494" s="6">
        <f t="shared" si="112"/>
        <v>0.54990456699293522</v>
      </c>
      <c r="P494" s="6">
        <f t="shared" si="112"/>
        <v>-0.32731520454827095</v>
      </c>
      <c r="Q494" s="75">
        <v>60</v>
      </c>
      <c r="R494" s="76">
        <v>0</v>
      </c>
      <c r="S494" s="6">
        <f t="shared" si="103"/>
        <v>0</v>
      </c>
      <c r="T494" s="36" t="str">
        <f t="shared" si="106"/>
        <v>Desempenho Médio</v>
      </c>
      <c r="U494" s="6">
        <f t="shared" si="111"/>
        <v>6.5053670194766225E-2</v>
      </c>
      <c r="V494" s="6">
        <f t="shared" si="111"/>
        <v>0.16010348962314203</v>
      </c>
      <c r="W494" s="6">
        <f t="shared" si="111"/>
        <v>-2.9996149233609562E-2</v>
      </c>
      <c r="X494" s="6">
        <f t="shared" si="111"/>
        <v>1.7528760480578331E-2</v>
      </c>
      <c r="Y494" s="6">
        <f t="shared" si="111"/>
        <v>9.5049819428375787E-2</v>
      </c>
    </row>
    <row r="495" spans="1:25" x14ac:dyDescent="0.25">
      <c r="A495" s="7" t="s">
        <v>81</v>
      </c>
      <c r="B495" s="7" t="s">
        <v>159</v>
      </c>
      <c r="C495" s="74">
        <v>66</v>
      </c>
      <c r="D495" s="74">
        <v>0</v>
      </c>
      <c r="E495" s="71">
        <f t="shared" si="102"/>
        <v>0</v>
      </c>
      <c r="F495" s="65" t="str">
        <f t="shared" si="104"/>
        <v>Desempenho Médio</v>
      </c>
      <c r="G495" s="71">
        <f t="shared" si="108"/>
        <v>0.22598075676513599</v>
      </c>
      <c r="H495" s="71">
        <f t="shared" si="108"/>
        <v>0.51894873552035481</v>
      </c>
      <c r="I495" s="71">
        <f t="shared" si="108"/>
        <v>-6.6987221990082807E-2</v>
      </c>
      <c r="J495" s="75">
        <v>14700</v>
      </c>
      <c r="K495" s="75">
        <v>0</v>
      </c>
      <c r="L495" s="6">
        <f>(SUM(K494:K495))/J494</f>
        <v>0</v>
      </c>
      <c r="M495" s="36" t="str">
        <f t="shared" si="105"/>
        <v>Desempenho Médio</v>
      </c>
      <c r="N495" s="6">
        <f t="shared" si="112"/>
        <v>0.14992070801509372</v>
      </c>
      <c r="O495" s="6">
        <f t="shared" si="112"/>
        <v>0.58968599072326611</v>
      </c>
      <c r="P495" s="6">
        <f t="shared" si="112"/>
        <v>-0.28984457469307867</v>
      </c>
      <c r="Q495" s="75">
        <v>60</v>
      </c>
      <c r="R495" s="76">
        <v>0</v>
      </c>
      <c r="S495" s="6">
        <f t="shared" si="103"/>
        <v>0</v>
      </c>
      <c r="T495" s="36" t="str">
        <f t="shared" si="106"/>
        <v>Desempenho Médio</v>
      </c>
      <c r="U495" s="6">
        <f t="shared" ref="U495:Y510" si="113">U483</f>
        <v>6.5053670194766225E-2</v>
      </c>
      <c r="V495" s="6">
        <f t="shared" si="113"/>
        <v>0.16010348962314203</v>
      </c>
      <c r="W495" s="6">
        <f t="shared" si="113"/>
        <v>-2.9996149233609562E-2</v>
      </c>
      <c r="X495" s="6">
        <f t="shared" si="113"/>
        <v>1.7528760480578331E-2</v>
      </c>
      <c r="Y495" s="6">
        <f t="shared" si="113"/>
        <v>9.5049819428375787E-2</v>
      </c>
    </row>
    <row r="496" spans="1:25" x14ac:dyDescent="0.25">
      <c r="A496" s="7" t="s">
        <v>81</v>
      </c>
      <c r="B496" s="7" t="s">
        <v>160</v>
      </c>
      <c r="C496" s="74">
        <v>66</v>
      </c>
      <c r="D496" s="74">
        <v>0</v>
      </c>
      <c r="E496" s="71">
        <f t="shared" si="102"/>
        <v>0</v>
      </c>
      <c r="F496" s="65" t="str">
        <f t="shared" si="104"/>
        <v>Desempenho Médio</v>
      </c>
      <c r="G496" s="71">
        <f t="shared" si="108"/>
        <v>0.2827891266215985</v>
      </c>
      <c r="H496" s="71">
        <f t="shared" si="108"/>
        <v>0.59134445337262298</v>
      </c>
      <c r="I496" s="71">
        <f t="shared" si="108"/>
        <v>-2.5766200129425987E-2</v>
      </c>
      <c r="J496" s="75">
        <v>14700</v>
      </c>
      <c r="K496" s="75">
        <v>0</v>
      </c>
      <c r="L496" s="6">
        <f>(SUM(K494:K496))/J495</f>
        <v>0</v>
      </c>
      <c r="M496" s="36" t="str">
        <f t="shared" si="105"/>
        <v>Desempenho Médio</v>
      </c>
      <c r="N496" s="6">
        <f t="shared" si="112"/>
        <v>0.17723994755342617</v>
      </c>
      <c r="O496" s="6">
        <f t="shared" si="112"/>
        <v>0.61473682715667155</v>
      </c>
      <c r="P496" s="6">
        <f t="shared" si="112"/>
        <v>-0.26025693204981915</v>
      </c>
      <c r="Q496" s="75">
        <v>60</v>
      </c>
      <c r="R496" s="76">
        <v>5</v>
      </c>
      <c r="S496" s="6">
        <f t="shared" si="103"/>
        <v>8.3333333333333329E-2</v>
      </c>
      <c r="T496" s="36" t="str">
        <f t="shared" si="106"/>
        <v>Desempenho Médio</v>
      </c>
      <c r="U496" s="6">
        <f t="shared" si="113"/>
        <v>0.18401218302179842</v>
      </c>
      <c r="V496" s="6">
        <f t="shared" si="113"/>
        <v>0.37883088095577799</v>
      </c>
      <c r="W496" s="6">
        <f t="shared" si="113"/>
        <v>-1.0806514912181153E-2</v>
      </c>
      <c r="X496" s="6">
        <f t="shared" si="113"/>
        <v>8.6602834054808633E-2</v>
      </c>
      <c r="Y496" s="6">
        <f t="shared" si="113"/>
        <v>0.19481869793397957</v>
      </c>
    </row>
    <row r="497" spans="1:25" x14ac:dyDescent="0.25">
      <c r="A497" s="7" t="s">
        <v>81</v>
      </c>
      <c r="B497" s="7" t="s">
        <v>161</v>
      </c>
      <c r="C497" s="74">
        <v>66</v>
      </c>
      <c r="D497" s="74">
        <v>0</v>
      </c>
      <c r="E497" s="71">
        <f t="shared" si="102"/>
        <v>0</v>
      </c>
      <c r="F497" s="65" t="str">
        <f t="shared" si="104"/>
        <v>Desempenho Deficitário</v>
      </c>
      <c r="G497" s="71">
        <f t="shared" si="108"/>
        <v>0.36222496935690102</v>
      </c>
      <c r="H497" s="71">
        <f t="shared" si="108"/>
        <v>0.67917151968337719</v>
      </c>
      <c r="I497" s="71">
        <f t="shared" si="108"/>
        <v>4.5278419030424844E-2</v>
      </c>
      <c r="J497" s="75">
        <v>14700</v>
      </c>
      <c r="K497" s="75">
        <v>0</v>
      </c>
      <c r="L497" s="6">
        <f>(SUM(K494:K497))/J496</f>
        <v>0</v>
      </c>
      <c r="M497" s="36" t="str">
        <f t="shared" si="105"/>
        <v>Desempenho Médio</v>
      </c>
      <c r="N497" s="6">
        <f t="shared" si="112"/>
        <v>0.2271654986777647</v>
      </c>
      <c r="O497" s="6">
        <f t="shared" si="112"/>
        <v>0.71582389712396544</v>
      </c>
      <c r="P497" s="6">
        <f t="shared" si="112"/>
        <v>-0.26149289976843598</v>
      </c>
      <c r="Q497" s="75">
        <v>60</v>
      </c>
      <c r="R497" s="76">
        <v>5</v>
      </c>
      <c r="S497" s="6">
        <f t="shared" si="103"/>
        <v>8.3333333333333329E-2</v>
      </c>
      <c r="T497" s="36" t="str">
        <f t="shared" si="106"/>
        <v>Desempenho Médio</v>
      </c>
      <c r="U497" s="6">
        <f t="shared" si="113"/>
        <v>0.18401218302179842</v>
      </c>
      <c r="V497" s="6">
        <f t="shared" si="113"/>
        <v>0.37883088095577799</v>
      </c>
      <c r="W497" s="6">
        <f t="shared" si="113"/>
        <v>-1.0806514912181153E-2</v>
      </c>
      <c r="X497" s="6">
        <f t="shared" si="113"/>
        <v>8.6602834054808633E-2</v>
      </c>
      <c r="Y497" s="6">
        <f t="shared" si="113"/>
        <v>0.19481869793397957</v>
      </c>
    </row>
    <row r="498" spans="1:25" x14ac:dyDescent="0.25">
      <c r="A498" s="7" t="s">
        <v>81</v>
      </c>
      <c r="B498" s="7" t="s">
        <v>162</v>
      </c>
      <c r="C498" s="74">
        <v>66</v>
      </c>
      <c r="D498" s="74">
        <v>0</v>
      </c>
      <c r="E498" s="71">
        <f t="shared" si="102"/>
        <v>0</v>
      </c>
      <c r="F498" s="65" t="str">
        <f t="shared" si="104"/>
        <v>Desempenho Deficitário</v>
      </c>
      <c r="G498" s="71">
        <f t="shared" si="108"/>
        <v>0.44825178806664662</v>
      </c>
      <c r="H498" s="71">
        <f t="shared" si="108"/>
        <v>0.78548221403733831</v>
      </c>
      <c r="I498" s="71">
        <f t="shared" si="108"/>
        <v>0.11102136209595498</v>
      </c>
      <c r="J498" s="75">
        <v>14700</v>
      </c>
      <c r="K498" s="75">
        <v>0</v>
      </c>
      <c r="L498" s="6">
        <f>(SUM(K494:K498))/J497</f>
        <v>0</v>
      </c>
      <c r="M498" s="36" t="str">
        <f t="shared" si="105"/>
        <v>Desempenho Médio</v>
      </c>
      <c r="N498" s="6">
        <f t="shared" si="112"/>
        <v>0.27284258705105507</v>
      </c>
      <c r="O498" s="6">
        <f t="shared" si="112"/>
        <v>0.75981161093062477</v>
      </c>
      <c r="P498" s="6">
        <f t="shared" si="112"/>
        <v>-0.21412643682851468</v>
      </c>
      <c r="Q498" s="75">
        <v>60</v>
      </c>
      <c r="R498" s="76">
        <v>10</v>
      </c>
      <c r="S498" s="6">
        <f t="shared" si="103"/>
        <v>0.16666666666666666</v>
      </c>
      <c r="T498" s="36" t="str">
        <f t="shared" si="106"/>
        <v>Desempenho Médio</v>
      </c>
      <c r="U498" s="6">
        <f t="shared" si="113"/>
        <v>0.23278475191631845</v>
      </c>
      <c r="V498" s="6">
        <f t="shared" si="113"/>
        <v>0.51017789992422413</v>
      </c>
      <c r="W498" s="6">
        <f t="shared" si="113"/>
        <v>-4.460839609158726E-2</v>
      </c>
      <c r="X498" s="6">
        <f t="shared" si="113"/>
        <v>9.4088177912365595E-2</v>
      </c>
      <c r="Y498" s="6">
        <f t="shared" si="113"/>
        <v>0.27739314800790571</v>
      </c>
    </row>
    <row r="499" spans="1:25" x14ac:dyDescent="0.25">
      <c r="A499" s="7" t="s">
        <v>81</v>
      </c>
      <c r="B499" s="7" t="s">
        <v>163</v>
      </c>
      <c r="C499" s="74">
        <v>66</v>
      </c>
      <c r="D499" s="74">
        <v>0</v>
      </c>
      <c r="E499" s="71">
        <f t="shared" si="102"/>
        <v>0</v>
      </c>
      <c r="F499" s="65" t="str">
        <f t="shared" si="104"/>
        <v>Desempenho Deficitário</v>
      </c>
      <c r="G499" s="71">
        <f t="shared" si="108"/>
        <v>0.54231176602906361</v>
      </c>
      <c r="H499" s="71">
        <f t="shared" si="108"/>
        <v>0.92735502699565786</v>
      </c>
      <c r="I499" s="71">
        <f t="shared" si="108"/>
        <v>0.15726850506246942</v>
      </c>
      <c r="J499" s="75">
        <v>14700</v>
      </c>
      <c r="K499" s="75">
        <v>0</v>
      </c>
      <c r="L499" s="6">
        <f>(SUM(K494:K499))/J498</f>
        <v>0</v>
      </c>
      <c r="M499" s="36" t="str">
        <f t="shared" si="105"/>
        <v>Desempenho Médio</v>
      </c>
      <c r="N499" s="6">
        <f t="shared" si="112"/>
        <v>0.31451673641638933</v>
      </c>
      <c r="O499" s="6">
        <f t="shared" si="112"/>
        <v>0.80702132782766356</v>
      </c>
      <c r="P499" s="6">
        <f t="shared" si="112"/>
        <v>-0.1779878549948849</v>
      </c>
      <c r="Q499" s="75">
        <v>60</v>
      </c>
      <c r="R499" s="76">
        <v>10</v>
      </c>
      <c r="S499" s="6">
        <f t="shared" si="103"/>
        <v>0.16666666666666666</v>
      </c>
      <c r="T499" s="36" t="str">
        <f t="shared" si="106"/>
        <v>Desempenho Médio</v>
      </c>
      <c r="U499" s="6">
        <f t="shared" si="113"/>
        <v>0.46105014853915682</v>
      </c>
      <c r="V499" s="6">
        <f t="shared" si="113"/>
        <v>0.84756736419379908</v>
      </c>
      <c r="W499" s="6">
        <f t="shared" si="113"/>
        <v>7.4532932884514569E-2</v>
      </c>
      <c r="X499" s="6">
        <f t="shared" si="113"/>
        <v>7.4532932884514569E-2</v>
      </c>
      <c r="Y499" s="6">
        <f t="shared" si="113"/>
        <v>0.38651721565464225</v>
      </c>
    </row>
    <row r="500" spans="1:25" x14ac:dyDescent="0.25">
      <c r="A500" s="7" t="s">
        <v>81</v>
      </c>
      <c r="B500" s="7" t="s">
        <v>164</v>
      </c>
      <c r="C500" s="74">
        <v>66</v>
      </c>
      <c r="D500" s="74">
        <v>0</v>
      </c>
      <c r="E500" s="71">
        <f t="shared" si="102"/>
        <v>0</v>
      </c>
      <c r="F500" s="65" t="str">
        <f t="shared" si="104"/>
        <v>Desempenho Deficitário</v>
      </c>
      <c r="G500" s="71">
        <f t="shared" si="108"/>
        <v>0.63634637719050002</v>
      </c>
      <c r="H500" s="71">
        <f t="shared" si="108"/>
        <v>1.0512878703900039</v>
      </c>
      <c r="I500" s="71">
        <f t="shared" si="108"/>
        <v>0.22140488399099606</v>
      </c>
      <c r="J500" s="75">
        <v>14700</v>
      </c>
      <c r="K500" s="75">
        <v>0</v>
      </c>
      <c r="L500" s="6">
        <f>(SUM(K494:K500))/J499</f>
        <v>0</v>
      </c>
      <c r="M500" s="36" t="str">
        <f t="shared" si="105"/>
        <v>Desempenho Médio</v>
      </c>
      <c r="N500" s="6">
        <f t="shared" si="112"/>
        <v>0.38334713342809434</v>
      </c>
      <c r="O500" s="6">
        <f t="shared" si="112"/>
        <v>0.88375935483946089</v>
      </c>
      <c r="P500" s="6">
        <f t="shared" si="112"/>
        <v>-0.1170650879832722</v>
      </c>
      <c r="Q500" s="75">
        <v>60</v>
      </c>
      <c r="R500" s="76">
        <v>10</v>
      </c>
      <c r="S500" s="6">
        <f t="shared" si="103"/>
        <v>0.16666666666666666</v>
      </c>
      <c r="T500" s="36" t="str">
        <f t="shared" si="106"/>
        <v>Desempenho Médio</v>
      </c>
      <c r="U500" s="6">
        <f t="shared" si="113"/>
        <v>0.46105014853915682</v>
      </c>
      <c r="V500" s="6">
        <f t="shared" si="113"/>
        <v>0.84756736419379908</v>
      </c>
      <c r="W500" s="6">
        <f t="shared" si="113"/>
        <v>7.4532932884514569E-2</v>
      </c>
      <c r="X500" s="6">
        <f t="shared" si="113"/>
        <v>7.4532932884514569E-2</v>
      </c>
      <c r="Y500" s="6">
        <f t="shared" si="113"/>
        <v>0.38651721565464225</v>
      </c>
    </row>
    <row r="501" spans="1:25" x14ac:dyDescent="0.25">
      <c r="A501" s="7" t="s">
        <v>81</v>
      </c>
      <c r="B501" s="7" t="s">
        <v>165</v>
      </c>
      <c r="C501" s="74">
        <v>66</v>
      </c>
      <c r="D501" s="74">
        <v>0</v>
      </c>
      <c r="E501" s="71">
        <f t="shared" si="102"/>
        <v>0</v>
      </c>
      <c r="F501" s="65" t="str">
        <f t="shared" si="104"/>
        <v>Desempenho Deficitário</v>
      </c>
      <c r="G501" s="71">
        <f t="shared" si="108"/>
        <v>0.70660866675940681</v>
      </c>
      <c r="H501" s="71">
        <f t="shared" si="108"/>
        <v>1.1341225514190425</v>
      </c>
      <c r="I501" s="71">
        <f t="shared" si="108"/>
        <v>0.27909478209977112</v>
      </c>
      <c r="J501" s="75">
        <v>14700</v>
      </c>
      <c r="K501" s="75">
        <v>0</v>
      </c>
      <c r="L501" s="6">
        <f>(SUM(K494:K501))/J500</f>
        <v>0</v>
      </c>
      <c r="M501" s="36" t="str">
        <f t="shared" si="105"/>
        <v>Desempenho Médio</v>
      </c>
      <c r="N501" s="6">
        <f t="shared" si="112"/>
        <v>0.45719521320533213</v>
      </c>
      <c r="O501" s="6">
        <f t="shared" si="112"/>
        <v>0.97356755068321044</v>
      </c>
      <c r="P501" s="6">
        <f t="shared" si="112"/>
        <v>-5.9177124272546122E-2</v>
      </c>
      <c r="Q501" s="75">
        <v>60</v>
      </c>
      <c r="R501" s="76">
        <v>10</v>
      </c>
      <c r="S501" s="6">
        <f t="shared" si="103"/>
        <v>0.16666666666666666</v>
      </c>
      <c r="T501" s="36" t="str">
        <f t="shared" si="106"/>
        <v>Desempenho Médio</v>
      </c>
      <c r="U501" s="6">
        <f t="shared" si="113"/>
        <v>0.46105014853915682</v>
      </c>
      <c r="V501" s="6">
        <f t="shared" si="113"/>
        <v>0.84756736419379908</v>
      </c>
      <c r="W501" s="6">
        <f t="shared" si="113"/>
        <v>7.4532932884514569E-2</v>
      </c>
      <c r="X501" s="6">
        <f t="shared" si="113"/>
        <v>7.4532932884514569E-2</v>
      </c>
      <c r="Y501" s="6">
        <f t="shared" si="113"/>
        <v>0.38651721565464225</v>
      </c>
    </row>
    <row r="502" spans="1:25" x14ac:dyDescent="0.25">
      <c r="A502" s="7" t="s">
        <v>81</v>
      </c>
      <c r="B502" s="7" t="s">
        <v>166</v>
      </c>
      <c r="C502" s="74">
        <v>66</v>
      </c>
      <c r="D502" s="74">
        <v>0</v>
      </c>
      <c r="E502" s="71">
        <f t="shared" si="102"/>
        <v>0</v>
      </c>
      <c r="F502" s="65" t="str">
        <f t="shared" si="104"/>
        <v>Desempenho Deficitário</v>
      </c>
      <c r="G502" s="71">
        <f t="shared" si="108"/>
        <v>0.73663014244586189</v>
      </c>
      <c r="H502" s="71">
        <f t="shared" si="108"/>
        <v>1.1737360935948695</v>
      </c>
      <c r="I502" s="71">
        <f t="shared" si="108"/>
        <v>0.29952419129685426</v>
      </c>
      <c r="J502" s="75">
        <v>14700</v>
      </c>
      <c r="K502" s="75">
        <v>0</v>
      </c>
      <c r="L502" s="6">
        <f>(SUM(K494:K502))/J501</f>
        <v>0</v>
      </c>
      <c r="M502" s="36" t="str">
        <f t="shared" si="105"/>
        <v>Desempenho Médio</v>
      </c>
      <c r="N502" s="6">
        <f t="shared" ref="N502:P517" si="114">N490</f>
        <v>0.50336729135060976</v>
      </c>
      <c r="O502" s="6">
        <f t="shared" si="114"/>
        <v>1.0150591886201059</v>
      </c>
      <c r="P502" s="6">
        <f t="shared" si="114"/>
        <v>-8.3246059188863963E-3</v>
      </c>
      <c r="Q502" s="75">
        <v>60</v>
      </c>
      <c r="R502" s="76">
        <v>60</v>
      </c>
      <c r="S502" s="6">
        <f t="shared" si="103"/>
        <v>1</v>
      </c>
      <c r="T502" s="36" t="str">
        <f t="shared" si="106"/>
        <v>Desempenho Bom</v>
      </c>
      <c r="U502" s="6">
        <f t="shared" si="113"/>
        <v>0.74232771533595698</v>
      </c>
      <c r="V502" s="6">
        <f t="shared" si="113"/>
        <v>1.1540802341555996</v>
      </c>
      <c r="W502" s="6">
        <f t="shared" si="113"/>
        <v>0.33057519651631434</v>
      </c>
      <c r="X502" s="6">
        <f t="shared" si="113"/>
        <v>0.33057519651631434</v>
      </c>
      <c r="Y502" s="6">
        <f t="shared" si="113"/>
        <v>0.41175251881964264</v>
      </c>
    </row>
    <row r="503" spans="1:25" x14ac:dyDescent="0.25">
      <c r="A503" s="7" t="s">
        <v>81</v>
      </c>
      <c r="B503" s="7" t="s">
        <v>167</v>
      </c>
      <c r="C503" s="74">
        <v>66</v>
      </c>
      <c r="D503" s="74">
        <v>30</v>
      </c>
      <c r="E503" s="71">
        <f t="shared" si="102"/>
        <v>0.45454545454545453</v>
      </c>
      <c r="F503" s="65" t="str">
        <f t="shared" si="104"/>
        <v>Desempenho Médio</v>
      </c>
      <c r="G503" s="71">
        <f t="shared" si="108"/>
        <v>0.82061442726694189</v>
      </c>
      <c r="H503" s="71">
        <f t="shared" si="108"/>
        <v>1.2607833515834532</v>
      </c>
      <c r="I503" s="71">
        <f t="shared" si="108"/>
        <v>0.38044550295043061</v>
      </c>
      <c r="J503" s="75">
        <v>14700</v>
      </c>
      <c r="K503" s="75">
        <v>540</v>
      </c>
      <c r="L503" s="6">
        <f>(SUM(K494:K503))/J502</f>
        <v>3.6734693877551024E-2</v>
      </c>
      <c r="M503" s="36" t="str">
        <f t="shared" si="105"/>
        <v>Desempenho Deficitário</v>
      </c>
      <c r="N503" s="6">
        <f t="shared" si="114"/>
        <v>0.58006775555216661</v>
      </c>
      <c r="O503" s="6">
        <f t="shared" si="114"/>
        <v>1.099948635873619</v>
      </c>
      <c r="P503" s="6">
        <f t="shared" si="114"/>
        <v>6.0186875230714088E-2</v>
      </c>
      <c r="Q503" s="75">
        <v>60</v>
      </c>
      <c r="R503" s="76">
        <v>60</v>
      </c>
      <c r="S503" s="6">
        <f t="shared" si="103"/>
        <v>1</v>
      </c>
      <c r="T503" s="36" t="str">
        <f t="shared" si="106"/>
        <v>Desempenho Bom</v>
      </c>
      <c r="U503" s="6">
        <f t="shared" si="113"/>
        <v>0.82347447721763523</v>
      </c>
      <c r="V503" s="6">
        <f t="shared" si="113"/>
        <v>1.2398542522675045</v>
      </c>
      <c r="W503" s="6">
        <f t="shared" si="113"/>
        <v>0.40709470216776611</v>
      </c>
      <c r="X503" s="6">
        <f t="shared" si="113"/>
        <v>0.40709470216776611</v>
      </c>
      <c r="Y503" s="6">
        <f t="shared" si="113"/>
        <v>0.41637977504986912</v>
      </c>
    </row>
    <row r="504" spans="1:25" x14ac:dyDescent="0.25">
      <c r="A504" s="7" t="s">
        <v>81</v>
      </c>
      <c r="B504" s="7" t="s">
        <v>168</v>
      </c>
      <c r="C504" s="74">
        <v>66</v>
      </c>
      <c r="D504" s="74">
        <v>30</v>
      </c>
      <c r="E504" s="71">
        <f t="shared" si="102"/>
        <v>0.45454545454545453</v>
      </c>
      <c r="F504" s="65" t="str">
        <f t="shared" si="104"/>
        <v>Desempenho Deficitário</v>
      </c>
      <c r="G504" s="71">
        <f t="shared" si="108"/>
        <v>0.94582556715526966</v>
      </c>
      <c r="H504" s="71">
        <f t="shared" si="108"/>
        <v>1.4311117173682604</v>
      </c>
      <c r="I504" s="71">
        <f t="shared" si="108"/>
        <v>0.46053941694227907</v>
      </c>
      <c r="J504" s="75">
        <v>14700</v>
      </c>
      <c r="K504" s="75">
        <v>0</v>
      </c>
      <c r="L504" s="6">
        <f>(SUM(K494:K504))/J503</f>
        <v>3.6734693877551024E-2</v>
      </c>
      <c r="M504" s="36" t="str">
        <f t="shared" si="105"/>
        <v>Desempenho Deficitário</v>
      </c>
      <c r="N504" s="6">
        <f t="shared" si="114"/>
        <v>0.72282137340514951</v>
      </c>
      <c r="O504" s="6">
        <f t="shared" si="114"/>
        <v>1.2463651595014014</v>
      </c>
      <c r="P504" s="6">
        <f t="shared" si="114"/>
        <v>0.19927758730889755</v>
      </c>
      <c r="Q504" s="75">
        <v>60</v>
      </c>
      <c r="R504" s="76">
        <v>60</v>
      </c>
      <c r="S504" s="6">
        <f t="shared" si="103"/>
        <v>1</v>
      </c>
      <c r="T504" s="36" t="str">
        <f t="shared" si="106"/>
        <v>Desempenho Bom</v>
      </c>
      <c r="U504" s="6">
        <f t="shared" si="113"/>
        <v>0.91825333306001944</v>
      </c>
      <c r="V504" s="6">
        <f t="shared" si="113"/>
        <v>1.402047931898428</v>
      </c>
      <c r="W504" s="6">
        <f t="shared" si="113"/>
        <v>0.43445873422161085</v>
      </c>
      <c r="X504" s="6">
        <f t="shared" si="113"/>
        <v>0.43445873422161085</v>
      </c>
      <c r="Y504" s="6">
        <f t="shared" si="113"/>
        <v>0.48379459883840858</v>
      </c>
    </row>
    <row r="505" spans="1:25" x14ac:dyDescent="0.25">
      <c r="A505" s="7" t="s">
        <v>81</v>
      </c>
      <c r="B505" s="7" t="s">
        <v>169</v>
      </c>
      <c r="C505" s="74">
        <v>66</v>
      </c>
      <c r="D505" s="74">
        <v>30</v>
      </c>
      <c r="E505" s="71">
        <f t="shared" si="102"/>
        <v>0.45454545454545453</v>
      </c>
      <c r="F505" s="65" t="str">
        <f t="shared" si="104"/>
        <v>Desempenho Deficitário</v>
      </c>
      <c r="G505" s="71">
        <f t="shared" si="108"/>
        <v>1.0016849877757958</v>
      </c>
      <c r="H505" s="71">
        <f t="shared" si="108"/>
        <v>1.521489991464148</v>
      </c>
      <c r="I505" s="71">
        <f t="shared" si="108"/>
        <v>0.48187998408744359</v>
      </c>
      <c r="J505" s="75">
        <v>14700</v>
      </c>
      <c r="K505" s="75">
        <v>0</v>
      </c>
      <c r="L505" s="6">
        <f>(SUM(K494:K505))/J504</f>
        <v>3.6734693877551024E-2</v>
      </c>
      <c r="M505" s="36" t="str">
        <f t="shared" si="105"/>
        <v>Desempenho Deficitário</v>
      </c>
      <c r="N505" s="6">
        <f t="shared" si="114"/>
        <v>0.82421983567812696</v>
      </c>
      <c r="O505" s="6">
        <f t="shared" si="114"/>
        <v>1.3730394926064369</v>
      </c>
      <c r="P505" s="6">
        <f t="shared" si="114"/>
        <v>0.27540017874981693</v>
      </c>
      <c r="Q505" s="75">
        <v>60</v>
      </c>
      <c r="R505" s="76">
        <v>60</v>
      </c>
      <c r="S505" s="6">
        <f t="shared" si="103"/>
        <v>1</v>
      </c>
      <c r="T505" s="36" t="str">
        <f t="shared" si="106"/>
        <v>Desempenho Bom</v>
      </c>
      <c r="U505" s="6">
        <f t="shared" si="113"/>
        <v>0.91825333306001944</v>
      </c>
      <c r="V505" s="6">
        <f t="shared" si="113"/>
        <v>1.402047931898428</v>
      </c>
      <c r="W505" s="6">
        <f t="shared" si="113"/>
        <v>0.43445873422161085</v>
      </c>
      <c r="X505" s="6">
        <f t="shared" si="113"/>
        <v>0.43445873422161085</v>
      </c>
      <c r="Y505" s="6">
        <f t="shared" si="113"/>
        <v>0.48379459883840858</v>
      </c>
    </row>
    <row r="506" spans="1:25" x14ac:dyDescent="0.25">
      <c r="A506" s="7" t="s">
        <v>53</v>
      </c>
      <c r="B506" s="7" t="s">
        <v>158</v>
      </c>
      <c r="C506" s="74">
        <v>60</v>
      </c>
      <c r="D506" s="74">
        <v>0</v>
      </c>
      <c r="E506" s="71">
        <f t="shared" si="102"/>
        <v>0</v>
      </c>
      <c r="F506" s="65" t="str">
        <f t="shared" si="104"/>
        <v>Desempenho Médio</v>
      </c>
      <c r="G506" s="71">
        <f t="shared" si="108"/>
        <v>0.11573204891712785</v>
      </c>
      <c r="H506" s="71">
        <f t="shared" si="108"/>
        <v>0.30218524997148988</v>
      </c>
      <c r="I506" s="71">
        <f t="shared" si="108"/>
        <v>-7.0721152137234206E-2</v>
      </c>
      <c r="J506" s="75">
        <v>5000</v>
      </c>
      <c r="K506" s="75">
        <v>0</v>
      </c>
      <c r="L506" s="6">
        <f>K506/J506</f>
        <v>0</v>
      </c>
      <c r="M506" s="36" t="str">
        <f t="shared" si="105"/>
        <v>Desempenho Médio</v>
      </c>
      <c r="N506" s="6">
        <f t="shared" si="114"/>
        <v>0.11129468122233216</v>
      </c>
      <c r="O506" s="6">
        <f t="shared" si="114"/>
        <v>0.54990456699293522</v>
      </c>
      <c r="P506" s="6">
        <f t="shared" si="114"/>
        <v>-0.32731520454827095</v>
      </c>
      <c r="Q506" s="75">
        <v>70</v>
      </c>
      <c r="R506" s="76">
        <v>0</v>
      </c>
      <c r="S506" s="6">
        <f t="shared" si="103"/>
        <v>0</v>
      </c>
      <c r="T506" s="36" t="str">
        <f t="shared" si="106"/>
        <v>Desempenho Médio</v>
      </c>
      <c r="U506" s="6">
        <f t="shared" si="113"/>
        <v>6.5053670194766225E-2</v>
      </c>
      <c r="V506" s="6">
        <f t="shared" si="113"/>
        <v>0.16010348962314203</v>
      </c>
      <c r="W506" s="6">
        <f t="shared" si="113"/>
        <v>-2.9996149233609562E-2</v>
      </c>
      <c r="X506" s="6">
        <f t="shared" si="113"/>
        <v>1.7528760480578331E-2</v>
      </c>
      <c r="Y506" s="6">
        <f t="shared" si="113"/>
        <v>9.5049819428375787E-2</v>
      </c>
    </row>
    <row r="507" spans="1:25" x14ac:dyDescent="0.25">
      <c r="A507" s="7" t="s">
        <v>53</v>
      </c>
      <c r="B507" s="7" t="s">
        <v>159</v>
      </c>
      <c r="C507" s="74">
        <v>60</v>
      </c>
      <c r="D507" s="74">
        <v>0</v>
      </c>
      <c r="E507" s="71">
        <f t="shared" si="102"/>
        <v>0</v>
      </c>
      <c r="F507" s="65" t="str">
        <f t="shared" si="104"/>
        <v>Desempenho Médio</v>
      </c>
      <c r="G507" s="71">
        <f t="shared" si="108"/>
        <v>0.22598075676513599</v>
      </c>
      <c r="H507" s="71">
        <f t="shared" si="108"/>
        <v>0.51894873552035481</v>
      </c>
      <c r="I507" s="71">
        <f t="shared" si="108"/>
        <v>-6.6987221990082807E-2</v>
      </c>
      <c r="J507" s="75">
        <v>5000</v>
      </c>
      <c r="K507" s="75">
        <v>0</v>
      </c>
      <c r="L507" s="6">
        <f>(SUM(K506:K507))/J506</f>
        <v>0</v>
      </c>
      <c r="M507" s="36" t="str">
        <f t="shared" si="105"/>
        <v>Desempenho Médio</v>
      </c>
      <c r="N507" s="6">
        <f t="shared" si="114"/>
        <v>0.14992070801509372</v>
      </c>
      <c r="O507" s="6">
        <f t="shared" si="114"/>
        <v>0.58968599072326611</v>
      </c>
      <c r="P507" s="6">
        <f t="shared" si="114"/>
        <v>-0.28984457469307867</v>
      </c>
      <c r="Q507" s="75">
        <v>70</v>
      </c>
      <c r="R507" s="76">
        <v>0</v>
      </c>
      <c r="S507" s="6">
        <f t="shared" si="103"/>
        <v>0</v>
      </c>
      <c r="T507" s="36" t="str">
        <f t="shared" si="106"/>
        <v>Desempenho Médio</v>
      </c>
      <c r="U507" s="6">
        <f t="shared" si="113"/>
        <v>6.5053670194766225E-2</v>
      </c>
      <c r="V507" s="6">
        <f t="shared" si="113"/>
        <v>0.16010348962314203</v>
      </c>
      <c r="W507" s="6">
        <f t="shared" si="113"/>
        <v>-2.9996149233609562E-2</v>
      </c>
      <c r="X507" s="6">
        <f t="shared" si="113"/>
        <v>1.7528760480578331E-2</v>
      </c>
      <c r="Y507" s="6">
        <f t="shared" si="113"/>
        <v>9.5049819428375787E-2</v>
      </c>
    </row>
    <row r="508" spans="1:25" x14ac:dyDescent="0.25">
      <c r="A508" s="7" t="s">
        <v>53</v>
      </c>
      <c r="B508" s="7" t="s">
        <v>160</v>
      </c>
      <c r="C508" s="74">
        <v>60</v>
      </c>
      <c r="D508" s="74">
        <v>0</v>
      </c>
      <c r="E508" s="71">
        <f t="shared" si="102"/>
        <v>0</v>
      </c>
      <c r="F508" s="65" t="str">
        <f t="shared" si="104"/>
        <v>Desempenho Médio</v>
      </c>
      <c r="G508" s="71">
        <f t="shared" si="108"/>
        <v>0.2827891266215985</v>
      </c>
      <c r="H508" s="71">
        <f t="shared" si="108"/>
        <v>0.59134445337262298</v>
      </c>
      <c r="I508" s="71">
        <f t="shared" si="108"/>
        <v>-2.5766200129425987E-2</v>
      </c>
      <c r="J508" s="75">
        <v>5000</v>
      </c>
      <c r="K508" s="75">
        <v>0</v>
      </c>
      <c r="L508" s="6">
        <f>(SUM(K506:K508))/J507</f>
        <v>0</v>
      </c>
      <c r="M508" s="36" t="str">
        <f t="shared" si="105"/>
        <v>Desempenho Médio</v>
      </c>
      <c r="N508" s="6">
        <f t="shared" si="114"/>
        <v>0.17723994755342617</v>
      </c>
      <c r="O508" s="6">
        <f t="shared" si="114"/>
        <v>0.61473682715667155</v>
      </c>
      <c r="P508" s="6">
        <f t="shared" si="114"/>
        <v>-0.26025693204981915</v>
      </c>
      <c r="Q508" s="75">
        <v>70</v>
      </c>
      <c r="R508" s="76">
        <v>0</v>
      </c>
      <c r="S508" s="6">
        <f t="shared" si="103"/>
        <v>0</v>
      </c>
      <c r="T508" s="36" t="str">
        <f t="shared" si="106"/>
        <v>Desempenho Médio</v>
      </c>
      <c r="U508" s="6">
        <f t="shared" si="113"/>
        <v>0.18401218302179842</v>
      </c>
      <c r="V508" s="6">
        <f t="shared" si="113"/>
        <v>0.37883088095577799</v>
      </c>
      <c r="W508" s="6">
        <f t="shared" si="113"/>
        <v>-1.0806514912181153E-2</v>
      </c>
      <c r="X508" s="6">
        <f t="shared" si="113"/>
        <v>8.6602834054808633E-2</v>
      </c>
      <c r="Y508" s="6">
        <f t="shared" si="113"/>
        <v>0.19481869793397957</v>
      </c>
    </row>
    <row r="509" spans="1:25" x14ac:dyDescent="0.25">
      <c r="A509" s="7" t="s">
        <v>53</v>
      </c>
      <c r="B509" s="7" t="s">
        <v>161</v>
      </c>
      <c r="C509" s="74">
        <v>60</v>
      </c>
      <c r="D509" s="74">
        <v>13</v>
      </c>
      <c r="E509" s="71">
        <f t="shared" si="102"/>
        <v>0.21666666666666667</v>
      </c>
      <c r="F509" s="65" t="str">
        <f t="shared" si="104"/>
        <v>Desempenho Médio</v>
      </c>
      <c r="G509" s="71">
        <f t="shared" si="108"/>
        <v>0.36222496935690102</v>
      </c>
      <c r="H509" s="71">
        <f t="shared" si="108"/>
        <v>0.67917151968337719</v>
      </c>
      <c r="I509" s="71">
        <f t="shared" si="108"/>
        <v>4.5278419030424844E-2</v>
      </c>
      <c r="J509" s="75">
        <v>5000</v>
      </c>
      <c r="K509" s="75">
        <v>250</v>
      </c>
      <c r="L509" s="6">
        <f>(SUM(K506:K509))/J508</f>
        <v>0.05</v>
      </c>
      <c r="M509" s="36" t="str">
        <f t="shared" si="105"/>
        <v>Desempenho Médio</v>
      </c>
      <c r="N509" s="6">
        <f t="shared" si="114"/>
        <v>0.2271654986777647</v>
      </c>
      <c r="O509" s="6">
        <f t="shared" si="114"/>
        <v>0.71582389712396544</v>
      </c>
      <c r="P509" s="6">
        <f t="shared" si="114"/>
        <v>-0.26149289976843598</v>
      </c>
      <c r="Q509" s="75">
        <v>70</v>
      </c>
      <c r="R509" s="76">
        <v>0</v>
      </c>
      <c r="S509" s="6">
        <f t="shared" si="103"/>
        <v>0</v>
      </c>
      <c r="T509" s="36" t="str">
        <f t="shared" si="106"/>
        <v>Desempenho Médio</v>
      </c>
      <c r="U509" s="6">
        <f t="shared" si="113"/>
        <v>0.18401218302179842</v>
      </c>
      <c r="V509" s="6">
        <f t="shared" si="113"/>
        <v>0.37883088095577799</v>
      </c>
      <c r="W509" s="6">
        <f t="shared" si="113"/>
        <v>-1.0806514912181153E-2</v>
      </c>
      <c r="X509" s="6">
        <f t="shared" si="113"/>
        <v>8.6602834054808633E-2</v>
      </c>
      <c r="Y509" s="6">
        <f t="shared" si="113"/>
        <v>0.19481869793397957</v>
      </c>
    </row>
    <row r="510" spans="1:25" x14ac:dyDescent="0.25">
      <c r="A510" s="7" t="s">
        <v>53</v>
      </c>
      <c r="B510" s="7" t="s">
        <v>162</v>
      </c>
      <c r="C510" s="74">
        <v>60</v>
      </c>
      <c r="D510" s="74">
        <v>13</v>
      </c>
      <c r="E510" s="71">
        <f t="shared" si="102"/>
        <v>0.21666666666666667</v>
      </c>
      <c r="F510" s="65" t="str">
        <f t="shared" si="104"/>
        <v>Desempenho Médio</v>
      </c>
      <c r="G510" s="71">
        <f t="shared" si="108"/>
        <v>0.44825178806664662</v>
      </c>
      <c r="H510" s="71">
        <f t="shared" si="108"/>
        <v>0.78548221403733831</v>
      </c>
      <c r="I510" s="71">
        <f t="shared" si="108"/>
        <v>0.11102136209595498</v>
      </c>
      <c r="J510" s="75">
        <v>5000</v>
      </c>
      <c r="K510" s="75">
        <v>0</v>
      </c>
      <c r="L510" s="6">
        <f>(SUM(K506:K510))/J509</f>
        <v>0.05</v>
      </c>
      <c r="M510" s="36" t="str">
        <f t="shared" si="105"/>
        <v>Desempenho Médio</v>
      </c>
      <c r="N510" s="6">
        <f t="shared" si="114"/>
        <v>0.27284258705105507</v>
      </c>
      <c r="O510" s="6">
        <f t="shared" si="114"/>
        <v>0.75981161093062477</v>
      </c>
      <c r="P510" s="6">
        <f t="shared" si="114"/>
        <v>-0.21412643682851468</v>
      </c>
      <c r="Q510" s="75">
        <v>70</v>
      </c>
      <c r="R510" s="76">
        <v>0</v>
      </c>
      <c r="S510" s="6">
        <f t="shared" si="103"/>
        <v>0</v>
      </c>
      <c r="T510" s="36" t="str">
        <f t="shared" si="106"/>
        <v>Desempenho Médio</v>
      </c>
      <c r="U510" s="6">
        <f t="shared" si="113"/>
        <v>0.23278475191631845</v>
      </c>
      <c r="V510" s="6">
        <f t="shared" si="113"/>
        <v>0.51017789992422413</v>
      </c>
      <c r="W510" s="6">
        <f t="shared" si="113"/>
        <v>-4.460839609158726E-2</v>
      </c>
      <c r="X510" s="6">
        <f t="shared" si="113"/>
        <v>9.4088177912365595E-2</v>
      </c>
      <c r="Y510" s="6">
        <f t="shared" si="113"/>
        <v>0.27739314800790571</v>
      </c>
    </row>
    <row r="511" spans="1:25" x14ac:dyDescent="0.25">
      <c r="A511" s="7" t="s">
        <v>53</v>
      </c>
      <c r="B511" s="7" t="s">
        <v>163</v>
      </c>
      <c r="C511" s="74">
        <v>60</v>
      </c>
      <c r="D511" s="74">
        <v>25</v>
      </c>
      <c r="E511" s="71">
        <f t="shared" si="102"/>
        <v>0.41666666666666669</v>
      </c>
      <c r="F511" s="65" t="str">
        <f t="shared" si="104"/>
        <v>Desempenho Médio</v>
      </c>
      <c r="G511" s="71">
        <f t="shared" si="108"/>
        <v>0.54231176602906361</v>
      </c>
      <c r="H511" s="71">
        <f t="shared" si="108"/>
        <v>0.92735502699565786</v>
      </c>
      <c r="I511" s="71">
        <f t="shared" si="108"/>
        <v>0.15726850506246942</v>
      </c>
      <c r="J511" s="75">
        <v>5000</v>
      </c>
      <c r="K511" s="75">
        <v>100</v>
      </c>
      <c r="L511" s="6">
        <f>(SUM(K506:K511))/J510</f>
        <v>7.0000000000000007E-2</v>
      </c>
      <c r="M511" s="36" t="str">
        <f t="shared" si="105"/>
        <v>Desempenho Médio</v>
      </c>
      <c r="N511" s="6">
        <f t="shared" si="114"/>
        <v>0.31451673641638933</v>
      </c>
      <c r="O511" s="6">
        <f t="shared" si="114"/>
        <v>0.80702132782766356</v>
      </c>
      <c r="P511" s="6">
        <f t="shared" si="114"/>
        <v>-0.1779878549948849</v>
      </c>
      <c r="Q511" s="75">
        <v>70</v>
      </c>
      <c r="R511" s="76">
        <v>8</v>
      </c>
      <c r="S511" s="6">
        <f t="shared" si="103"/>
        <v>0.11428571428571428</v>
      </c>
      <c r="T511" s="36" t="str">
        <f t="shared" si="106"/>
        <v>Desempenho Médio</v>
      </c>
      <c r="U511" s="6">
        <f t="shared" ref="U511:Y526" si="115">U499</f>
        <v>0.46105014853915682</v>
      </c>
      <c r="V511" s="6">
        <f t="shared" si="115"/>
        <v>0.84756736419379908</v>
      </c>
      <c r="W511" s="6">
        <f t="shared" si="115"/>
        <v>7.4532932884514569E-2</v>
      </c>
      <c r="X511" s="6">
        <f t="shared" si="115"/>
        <v>7.4532932884514569E-2</v>
      </c>
      <c r="Y511" s="6">
        <f t="shared" si="115"/>
        <v>0.38651721565464225</v>
      </c>
    </row>
    <row r="512" spans="1:25" x14ac:dyDescent="0.25">
      <c r="A512" s="7" t="s">
        <v>53</v>
      </c>
      <c r="B512" s="7" t="s">
        <v>164</v>
      </c>
      <c r="C512" s="74">
        <v>60</v>
      </c>
      <c r="D512" s="74">
        <v>38</v>
      </c>
      <c r="E512" s="71">
        <f t="shared" si="102"/>
        <v>0.6333333333333333</v>
      </c>
      <c r="F512" s="65" t="str">
        <f t="shared" si="104"/>
        <v>Desempenho Médio</v>
      </c>
      <c r="G512" s="71">
        <f t="shared" si="108"/>
        <v>0.63634637719050002</v>
      </c>
      <c r="H512" s="71">
        <f t="shared" si="108"/>
        <v>1.0512878703900039</v>
      </c>
      <c r="I512" s="71">
        <f t="shared" si="108"/>
        <v>0.22140488399099606</v>
      </c>
      <c r="J512" s="75">
        <v>5000</v>
      </c>
      <c r="K512" s="75">
        <v>350</v>
      </c>
      <c r="L512" s="6">
        <f>(SUM(K506:K512))/J511</f>
        <v>0.14000000000000001</v>
      </c>
      <c r="M512" s="36" t="str">
        <f t="shared" si="105"/>
        <v>Desempenho Médio</v>
      </c>
      <c r="N512" s="6">
        <f t="shared" si="114"/>
        <v>0.38334713342809434</v>
      </c>
      <c r="O512" s="6">
        <f t="shared" si="114"/>
        <v>0.88375935483946089</v>
      </c>
      <c r="P512" s="6">
        <f t="shared" si="114"/>
        <v>-0.1170650879832722</v>
      </c>
      <c r="Q512" s="75">
        <v>70</v>
      </c>
      <c r="R512" s="76">
        <v>8</v>
      </c>
      <c r="S512" s="6">
        <f t="shared" si="103"/>
        <v>0.11428571428571428</v>
      </c>
      <c r="T512" s="36" t="str">
        <f t="shared" si="106"/>
        <v>Desempenho Médio</v>
      </c>
      <c r="U512" s="6">
        <f t="shared" si="115"/>
        <v>0.46105014853915682</v>
      </c>
      <c r="V512" s="6">
        <f t="shared" si="115"/>
        <v>0.84756736419379908</v>
      </c>
      <c r="W512" s="6">
        <f t="shared" si="115"/>
        <v>7.4532932884514569E-2</v>
      </c>
      <c r="X512" s="6">
        <f t="shared" si="115"/>
        <v>7.4532932884514569E-2</v>
      </c>
      <c r="Y512" s="6">
        <f t="shared" si="115"/>
        <v>0.38651721565464225</v>
      </c>
    </row>
    <row r="513" spans="1:25" x14ac:dyDescent="0.25">
      <c r="A513" s="7" t="s">
        <v>53</v>
      </c>
      <c r="B513" s="7" t="s">
        <v>165</v>
      </c>
      <c r="C513" s="74">
        <v>60</v>
      </c>
      <c r="D513" s="74">
        <v>38</v>
      </c>
      <c r="E513" s="71">
        <f t="shared" si="102"/>
        <v>0.6333333333333333</v>
      </c>
      <c r="F513" s="65" t="str">
        <f t="shared" si="104"/>
        <v>Desempenho Médio</v>
      </c>
      <c r="G513" s="71">
        <f t="shared" si="108"/>
        <v>0.70660866675940681</v>
      </c>
      <c r="H513" s="71">
        <f t="shared" si="108"/>
        <v>1.1341225514190425</v>
      </c>
      <c r="I513" s="71">
        <f t="shared" si="108"/>
        <v>0.27909478209977112</v>
      </c>
      <c r="J513" s="75">
        <v>5000</v>
      </c>
      <c r="K513" s="75">
        <v>0</v>
      </c>
      <c r="L513" s="6">
        <f>(SUM(K506:K513))/J512</f>
        <v>0.14000000000000001</v>
      </c>
      <c r="M513" s="36" t="str">
        <f t="shared" si="105"/>
        <v>Desempenho Médio</v>
      </c>
      <c r="N513" s="6">
        <f t="shared" si="114"/>
        <v>0.45719521320533213</v>
      </c>
      <c r="O513" s="6">
        <f t="shared" si="114"/>
        <v>0.97356755068321044</v>
      </c>
      <c r="P513" s="6">
        <f t="shared" si="114"/>
        <v>-5.9177124272546122E-2</v>
      </c>
      <c r="Q513" s="75">
        <v>70</v>
      </c>
      <c r="R513" s="76">
        <v>8</v>
      </c>
      <c r="S513" s="6">
        <f t="shared" si="103"/>
        <v>0.11428571428571428</v>
      </c>
      <c r="T513" s="36" t="str">
        <f t="shared" si="106"/>
        <v>Desempenho Médio</v>
      </c>
      <c r="U513" s="6">
        <f t="shared" si="115"/>
        <v>0.46105014853915682</v>
      </c>
      <c r="V513" s="6">
        <f t="shared" si="115"/>
        <v>0.84756736419379908</v>
      </c>
      <c r="W513" s="6">
        <f t="shared" si="115"/>
        <v>7.4532932884514569E-2</v>
      </c>
      <c r="X513" s="6">
        <f t="shared" si="115"/>
        <v>7.4532932884514569E-2</v>
      </c>
      <c r="Y513" s="6">
        <f t="shared" si="115"/>
        <v>0.38651721565464225</v>
      </c>
    </row>
    <row r="514" spans="1:25" x14ac:dyDescent="0.25">
      <c r="A514" s="7" t="s">
        <v>53</v>
      </c>
      <c r="B514" s="7" t="s">
        <v>166</v>
      </c>
      <c r="C514" s="74">
        <v>60</v>
      </c>
      <c r="D514" s="74">
        <v>38</v>
      </c>
      <c r="E514" s="71">
        <f t="shared" ref="E514:E577" si="116">D514/C514</f>
        <v>0.6333333333333333</v>
      </c>
      <c r="F514" s="65" t="str">
        <f t="shared" si="104"/>
        <v>Desempenho Médio</v>
      </c>
      <c r="G514" s="71">
        <f t="shared" si="108"/>
        <v>0.73663014244586189</v>
      </c>
      <c r="H514" s="71">
        <f t="shared" si="108"/>
        <v>1.1737360935948695</v>
      </c>
      <c r="I514" s="71">
        <f t="shared" si="108"/>
        <v>0.29952419129685426</v>
      </c>
      <c r="J514" s="75">
        <v>5000</v>
      </c>
      <c r="K514" s="75">
        <v>0</v>
      </c>
      <c r="L514" s="6">
        <f>(SUM(K506:K514))/J513</f>
        <v>0.14000000000000001</v>
      </c>
      <c r="M514" s="36" t="str">
        <f t="shared" si="105"/>
        <v>Desempenho Médio</v>
      </c>
      <c r="N514" s="6">
        <f t="shared" si="114"/>
        <v>0.50336729135060976</v>
      </c>
      <c r="O514" s="6">
        <f t="shared" si="114"/>
        <v>1.0150591886201059</v>
      </c>
      <c r="P514" s="6">
        <f t="shared" si="114"/>
        <v>-8.3246059188863963E-3</v>
      </c>
      <c r="Q514" s="75">
        <v>70</v>
      </c>
      <c r="R514" s="76">
        <v>33</v>
      </c>
      <c r="S514" s="6">
        <f t="shared" ref="S514:S577" si="117">R514/Q514</f>
        <v>0.47142857142857142</v>
      </c>
      <c r="T514" s="36" t="str">
        <f t="shared" si="106"/>
        <v>Desempenho Médio</v>
      </c>
      <c r="U514" s="6">
        <f t="shared" si="115"/>
        <v>0.74232771533595698</v>
      </c>
      <c r="V514" s="6">
        <f t="shared" si="115"/>
        <v>1.1540802341555996</v>
      </c>
      <c r="W514" s="6">
        <f t="shared" si="115"/>
        <v>0.33057519651631434</v>
      </c>
      <c r="X514" s="6">
        <f t="shared" si="115"/>
        <v>0.33057519651631434</v>
      </c>
      <c r="Y514" s="6">
        <f t="shared" si="115"/>
        <v>0.41175251881964264</v>
      </c>
    </row>
    <row r="515" spans="1:25" x14ac:dyDescent="0.25">
      <c r="A515" s="7" t="s">
        <v>53</v>
      </c>
      <c r="B515" s="7" t="s">
        <v>167</v>
      </c>
      <c r="C515" s="74">
        <v>60</v>
      </c>
      <c r="D515" s="74">
        <v>46</v>
      </c>
      <c r="E515" s="71">
        <f t="shared" si="116"/>
        <v>0.76666666666666672</v>
      </c>
      <c r="F515" s="65" t="str">
        <f t="shared" ref="F515:F578" si="118">IF(E515&gt;=H515,"Desempenho Ótimo",(IF(E515&gt;G515,"Desempenho Bom",(IF(E515&gt;I515,"Desempenho Médio",IF(E515&lt;=I515,"Desempenho Deficitário",0))))))</f>
        <v>Desempenho Médio</v>
      </c>
      <c r="G515" s="71">
        <f t="shared" si="108"/>
        <v>0.82061442726694189</v>
      </c>
      <c r="H515" s="71">
        <f t="shared" si="108"/>
        <v>1.2607833515834532</v>
      </c>
      <c r="I515" s="71">
        <f t="shared" si="108"/>
        <v>0.38044550295043061</v>
      </c>
      <c r="J515" s="75">
        <v>5000</v>
      </c>
      <c r="K515" s="75">
        <v>1196.54</v>
      </c>
      <c r="L515" s="6">
        <f>(SUM(K506:K515))/J514</f>
        <v>0.37930799999999998</v>
      </c>
      <c r="M515" s="36" t="str">
        <f t="shared" ref="M515:M578" si="119">IF(L515&gt;=O515,"Desempenho Ótimo",(IF(L515&gt;N515,"Desempenho Bom",(IF(L515&gt;P515,"Desempenho Médio",IF(L515&lt;=P515,"Desempenho Deficitário",0))))))</f>
        <v>Desempenho Médio</v>
      </c>
      <c r="N515" s="6">
        <f t="shared" si="114"/>
        <v>0.58006775555216661</v>
      </c>
      <c r="O515" s="6">
        <f t="shared" si="114"/>
        <v>1.099948635873619</v>
      </c>
      <c r="P515" s="6">
        <f t="shared" si="114"/>
        <v>6.0186875230714088E-2</v>
      </c>
      <c r="Q515" s="75">
        <v>70</v>
      </c>
      <c r="R515" s="76">
        <v>33</v>
      </c>
      <c r="S515" s="6">
        <f t="shared" si="117"/>
        <v>0.47142857142857142</v>
      </c>
      <c r="T515" s="36" t="str">
        <f t="shared" ref="T515:T578" si="120">IF(S515&gt;=V515,"Desempenho Ótimo",(IF(S515&gt;U515,"Desempenho Bom",(IF(S515&gt;W515,"Desempenho Médio",IF(S515&lt;=W515,"Desempenho Deficitário",0))))))</f>
        <v>Desempenho Médio</v>
      </c>
      <c r="U515" s="6">
        <f t="shared" si="115"/>
        <v>0.82347447721763523</v>
      </c>
      <c r="V515" s="6">
        <f t="shared" si="115"/>
        <v>1.2398542522675045</v>
      </c>
      <c r="W515" s="6">
        <f t="shared" si="115"/>
        <v>0.40709470216776611</v>
      </c>
      <c r="X515" s="6">
        <f t="shared" si="115"/>
        <v>0.40709470216776611</v>
      </c>
      <c r="Y515" s="6">
        <f t="shared" si="115"/>
        <v>0.41637977504986912</v>
      </c>
    </row>
    <row r="516" spans="1:25" x14ac:dyDescent="0.25">
      <c r="A516" s="7" t="s">
        <v>53</v>
      </c>
      <c r="B516" s="7" t="s">
        <v>168</v>
      </c>
      <c r="C516" s="74">
        <v>60</v>
      </c>
      <c r="D516" s="74">
        <v>63</v>
      </c>
      <c r="E516" s="71">
        <f t="shared" si="116"/>
        <v>1.05</v>
      </c>
      <c r="F516" s="65" t="str">
        <f t="shared" si="118"/>
        <v>Desempenho Bom</v>
      </c>
      <c r="G516" s="71">
        <f t="shared" si="108"/>
        <v>0.94582556715526966</v>
      </c>
      <c r="H516" s="71">
        <f t="shared" si="108"/>
        <v>1.4311117173682604</v>
      </c>
      <c r="I516" s="71">
        <f t="shared" si="108"/>
        <v>0.46053941694227907</v>
      </c>
      <c r="J516" s="75">
        <v>5000</v>
      </c>
      <c r="K516" s="75">
        <v>2838.5</v>
      </c>
      <c r="L516" s="6">
        <f>(SUM(K506:K516))/J515</f>
        <v>0.94700799999999996</v>
      </c>
      <c r="M516" s="36" t="str">
        <f t="shared" si="119"/>
        <v>Desempenho Bom</v>
      </c>
      <c r="N516" s="6">
        <f t="shared" si="114"/>
        <v>0.72282137340514951</v>
      </c>
      <c r="O516" s="6">
        <f t="shared" si="114"/>
        <v>1.2463651595014014</v>
      </c>
      <c r="P516" s="6">
        <f t="shared" si="114"/>
        <v>0.19927758730889755</v>
      </c>
      <c r="Q516" s="75">
        <v>70</v>
      </c>
      <c r="R516" s="76">
        <v>33</v>
      </c>
      <c r="S516" s="6">
        <f t="shared" si="117"/>
        <v>0.47142857142857142</v>
      </c>
      <c r="T516" s="36" t="str">
        <f t="shared" si="120"/>
        <v>Desempenho Médio</v>
      </c>
      <c r="U516" s="6">
        <f t="shared" si="115"/>
        <v>0.91825333306001944</v>
      </c>
      <c r="V516" s="6">
        <f t="shared" si="115"/>
        <v>1.402047931898428</v>
      </c>
      <c r="W516" s="6">
        <f t="shared" si="115"/>
        <v>0.43445873422161085</v>
      </c>
      <c r="X516" s="6">
        <f t="shared" si="115"/>
        <v>0.43445873422161085</v>
      </c>
      <c r="Y516" s="6">
        <f t="shared" si="115"/>
        <v>0.48379459883840858</v>
      </c>
    </row>
    <row r="517" spans="1:25" x14ac:dyDescent="0.25">
      <c r="A517" s="7" t="s">
        <v>53</v>
      </c>
      <c r="B517" s="7" t="s">
        <v>169</v>
      </c>
      <c r="C517" s="74">
        <v>60</v>
      </c>
      <c r="D517" s="74">
        <v>63</v>
      </c>
      <c r="E517" s="71">
        <f t="shared" si="116"/>
        <v>1.05</v>
      </c>
      <c r="F517" s="65" t="str">
        <f t="shared" si="118"/>
        <v>Desempenho Bom</v>
      </c>
      <c r="G517" s="71">
        <f t="shared" si="108"/>
        <v>1.0016849877757958</v>
      </c>
      <c r="H517" s="71">
        <f t="shared" si="108"/>
        <v>1.521489991464148</v>
      </c>
      <c r="I517" s="71">
        <f t="shared" si="108"/>
        <v>0.48187998408744359</v>
      </c>
      <c r="J517" s="75">
        <v>5000</v>
      </c>
      <c r="K517" s="75">
        <v>525</v>
      </c>
      <c r="L517" s="6">
        <f>(SUM(K506:K517))/J516</f>
        <v>1.0520080000000001</v>
      </c>
      <c r="M517" s="36" t="str">
        <f t="shared" si="119"/>
        <v>Desempenho Bom</v>
      </c>
      <c r="N517" s="6">
        <f t="shared" si="114"/>
        <v>0.82421983567812696</v>
      </c>
      <c r="O517" s="6">
        <f t="shared" si="114"/>
        <v>1.3730394926064369</v>
      </c>
      <c r="P517" s="6">
        <f t="shared" si="114"/>
        <v>0.27540017874981693</v>
      </c>
      <c r="Q517" s="75">
        <v>70</v>
      </c>
      <c r="R517" s="76">
        <v>33</v>
      </c>
      <c r="S517" s="6">
        <f t="shared" si="117"/>
        <v>0.47142857142857142</v>
      </c>
      <c r="T517" s="36" t="str">
        <f t="shared" si="120"/>
        <v>Desempenho Médio</v>
      </c>
      <c r="U517" s="6">
        <f t="shared" si="115"/>
        <v>0.91825333306001944</v>
      </c>
      <c r="V517" s="6">
        <f t="shared" si="115"/>
        <v>1.402047931898428</v>
      </c>
      <c r="W517" s="6">
        <f t="shared" si="115"/>
        <v>0.43445873422161085</v>
      </c>
      <c r="X517" s="6">
        <f t="shared" si="115"/>
        <v>0.43445873422161085</v>
      </c>
      <c r="Y517" s="6">
        <f t="shared" si="115"/>
        <v>0.48379459883840858</v>
      </c>
    </row>
    <row r="518" spans="1:25" x14ac:dyDescent="0.25">
      <c r="A518" s="7" t="s">
        <v>109</v>
      </c>
      <c r="B518" s="7" t="s">
        <v>158</v>
      </c>
      <c r="C518" s="74">
        <v>75</v>
      </c>
      <c r="D518" s="74">
        <v>0</v>
      </c>
      <c r="E518" s="71">
        <f t="shared" si="116"/>
        <v>0</v>
      </c>
      <c r="F518" s="65" t="str">
        <f t="shared" si="118"/>
        <v>Desempenho Médio</v>
      </c>
      <c r="G518" s="71">
        <f t="shared" si="108"/>
        <v>0.11573204891712785</v>
      </c>
      <c r="H518" s="71">
        <f t="shared" si="108"/>
        <v>0.30218524997148988</v>
      </c>
      <c r="I518" s="71">
        <f t="shared" si="108"/>
        <v>-7.0721152137234206E-2</v>
      </c>
      <c r="J518" s="75">
        <v>15000</v>
      </c>
      <c r="K518" s="75">
        <v>0</v>
      </c>
      <c r="L518" s="6">
        <f>K518/J518</f>
        <v>0</v>
      </c>
      <c r="M518" s="36" t="str">
        <f t="shared" si="119"/>
        <v>Desempenho Médio</v>
      </c>
      <c r="N518" s="6">
        <f t="shared" ref="N518:P533" si="121">N506</f>
        <v>0.11129468122233216</v>
      </c>
      <c r="O518" s="6">
        <f t="shared" si="121"/>
        <v>0.54990456699293522</v>
      </c>
      <c r="P518" s="6">
        <f t="shared" si="121"/>
        <v>-0.32731520454827095</v>
      </c>
      <c r="Q518" s="75">
        <v>80</v>
      </c>
      <c r="R518" s="76">
        <v>0</v>
      </c>
      <c r="S518" s="6">
        <f t="shared" si="117"/>
        <v>0</v>
      </c>
      <c r="T518" s="36" t="str">
        <f t="shared" si="120"/>
        <v>Desempenho Médio</v>
      </c>
      <c r="U518" s="6">
        <f t="shared" si="115"/>
        <v>6.5053670194766225E-2</v>
      </c>
      <c r="V518" s="6">
        <f t="shared" si="115"/>
        <v>0.16010348962314203</v>
      </c>
      <c r="W518" s="6">
        <f t="shared" si="115"/>
        <v>-2.9996149233609562E-2</v>
      </c>
      <c r="X518" s="6">
        <f t="shared" si="115"/>
        <v>1.7528760480578331E-2</v>
      </c>
      <c r="Y518" s="6">
        <f t="shared" si="115"/>
        <v>9.5049819428375787E-2</v>
      </c>
    </row>
    <row r="519" spans="1:25" x14ac:dyDescent="0.25">
      <c r="A519" s="7" t="s">
        <v>109</v>
      </c>
      <c r="B519" s="7" t="s">
        <v>159</v>
      </c>
      <c r="C519" s="74">
        <v>75</v>
      </c>
      <c r="D519" s="74">
        <v>36</v>
      </c>
      <c r="E519" s="71">
        <f t="shared" si="116"/>
        <v>0.48</v>
      </c>
      <c r="F519" s="65" t="str">
        <f t="shared" si="118"/>
        <v>Desempenho Bom</v>
      </c>
      <c r="G519" s="71">
        <f t="shared" si="108"/>
        <v>0.22598075676513599</v>
      </c>
      <c r="H519" s="71">
        <f t="shared" si="108"/>
        <v>0.51894873552035481</v>
      </c>
      <c r="I519" s="71">
        <f t="shared" si="108"/>
        <v>-6.6987221990082807E-2</v>
      </c>
      <c r="J519" s="75">
        <v>15000</v>
      </c>
      <c r="K519" s="75">
        <v>1535</v>
      </c>
      <c r="L519" s="6">
        <f>(SUM(K518:K519))/J518</f>
        <v>0.10233333333333333</v>
      </c>
      <c r="M519" s="36" t="str">
        <f t="shared" si="119"/>
        <v>Desempenho Médio</v>
      </c>
      <c r="N519" s="6">
        <f t="shared" si="121"/>
        <v>0.14992070801509372</v>
      </c>
      <c r="O519" s="6">
        <f t="shared" si="121"/>
        <v>0.58968599072326611</v>
      </c>
      <c r="P519" s="6">
        <f t="shared" si="121"/>
        <v>-0.28984457469307867</v>
      </c>
      <c r="Q519" s="75">
        <v>80</v>
      </c>
      <c r="R519" s="76">
        <v>0</v>
      </c>
      <c r="S519" s="6">
        <f t="shared" si="117"/>
        <v>0</v>
      </c>
      <c r="T519" s="36" t="str">
        <f t="shared" si="120"/>
        <v>Desempenho Médio</v>
      </c>
      <c r="U519" s="6">
        <f t="shared" si="115"/>
        <v>6.5053670194766225E-2</v>
      </c>
      <c r="V519" s="6">
        <f t="shared" si="115"/>
        <v>0.16010348962314203</v>
      </c>
      <c r="W519" s="6">
        <f t="shared" si="115"/>
        <v>-2.9996149233609562E-2</v>
      </c>
      <c r="X519" s="6">
        <f t="shared" si="115"/>
        <v>1.7528760480578331E-2</v>
      </c>
      <c r="Y519" s="6">
        <f t="shared" si="115"/>
        <v>9.5049819428375787E-2</v>
      </c>
    </row>
    <row r="520" spans="1:25" x14ac:dyDescent="0.25">
      <c r="A520" s="7" t="s">
        <v>109</v>
      </c>
      <c r="B520" s="7" t="s">
        <v>160</v>
      </c>
      <c r="C520" s="74">
        <v>75</v>
      </c>
      <c r="D520" s="74">
        <v>36</v>
      </c>
      <c r="E520" s="71">
        <f t="shared" si="116"/>
        <v>0.48</v>
      </c>
      <c r="F520" s="65" t="str">
        <f t="shared" si="118"/>
        <v>Desempenho Bom</v>
      </c>
      <c r="G520" s="71">
        <f t="shared" si="108"/>
        <v>0.2827891266215985</v>
      </c>
      <c r="H520" s="71">
        <f t="shared" si="108"/>
        <v>0.59134445337262298</v>
      </c>
      <c r="I520" s="71">
        <f t="shared" si="108"/>
        <v>-2.5766200129425987E-2</v>
      </c>
      <c r="J520" s="75">
        <v>15000</v>
      </c>
      <c r="K520" s="75">
        <v>0</v>
      </c>
      <c r="L520" s="6">
        <f>(SUM(K518:K520))/J519</f>
        <v>0.10233333333333333</v>
      </c>
      <c r="M520" s="36" t="str">
        <f t="shared" si="119"/>
        <v>Desempenho Médio</v>
      </c>
      <c r="N520" s="6">
        <f t="shared" si="121"/>
        <v>0.17723994755342617</v>
      </c>
      <c r="O520" s="6">
        <f t="shared" si="121"/>
        <v>0.61473682715667155</v>
      </c>
      <c r="P520" s="6">
        <f t="shared" si="121"/>
        <v>-0.26025693204981915</v>
      </c>
      <c r="Q520" s="75">
        <v>80</v>
      </c>
      <c r="R520" s="76">
        <v>0</v>
      </c>
      <c r="S520" s="6">
        <f t="shared" si="117"/>
        <v>0</v>
      </c>
      <c r="T520" s="36" t="str">
        <f t="shared" si="120"/>
        <v>Desempenho Médio</v>
      </c>
      <c r="U520" s="6">
        <f t="shared" si="115"/>
        <v>0.18401218302179842</v>
      </c>
      <c r="V520" s="6">
        <f t="shared" si="115"/>
        <v>0.37883088095577799</v>
      </c>
      <c r="W520" s="6">
        <f t="shared" si="115"/>
        <v>-1.0806514912181153E-2</v>
      </c>
      <c r="X520" s="6">
        <f t="shared" si="115"/>
        <v>8.6602834054808633E-2</v>
      </c>
      <c r="Y520" s="6">
        <f t="shared" si="115"/>
        <v>0.19481869793397957</v>
      </c>
    </row>
    <row r="521" spans="1:25" x14ac:dyDescent="0.25">
      <c r="A521" s="7" t="s">
        <v>109</v>
      </c>
      <c r="B521" s="7" t="s">
        <v>161</v>
      </c>
      <c r="C521" s="74">
        <v>75</v>
      </c>
      <c r="D521" s="74">
        <v>36</v>
      </c>
      <c r="E521" s="71">
        <f t="shared" si="116"/>
        <v>0.48</v>
      </c>
      <c r="F521" s="65" t="str">
        <f t="shared" si="118"/>
        <v>Desempenho Bom</v>
      </c>
      <c r="G521" s="71">
        <f t="shared" si="108"/>
        <v>0.36222496935690102</v>
      </c>
      <c r="H521" s="71">
        <f t="shared" si="108"/>
        <v>0.67917151968337719</v>
      </c>
      <c r="I521" s="71">
        <f t="shared" si="108"/>
        <v>4.5278419030424844E-2</v>
      </c>
      <c r="J521" s="75">
        <v>15000</v>
      </c>
      <c r="K521" s="75">
        <v>100</v>
      </c>
      <c r="L521" s="6">
        <f>(SUM(K518:K521))/J520</f>
        <v>0.109</v>
      </c>
      <c r="M521" s="36" t="str">
        <f t="shared" si="119"/>
        <v>Desempenho Médio</v>
      </c>
      <c r="N521" s="6">
        <f t="shared" si="121"/>
        <v>0.2271654986777647</v>
      </c>
      <c r="O521" s="6">
        <f t="shared" si="121"/>
        <v>0.71582389712396544</v>
      </c>
      <c r="P521" s="6">
        <f t="shared" si="121"/>
        <v>-0.26149289976843598</v>
      </c>
      <c r="Q521" s="75">
        <v>80</v>
      </c>
      <c r="R521" s="76">
        <v>0</v>
      </c>
      <c r="S521" s="6">
        <f t="shared" si="117"/>
        <v>0</v>
      </c>
      <c r="T521" s="36" t="str">
        <f t="shared" si="120"/>
        <v>Desempenho Médio</v>
      </c>
      <c r="U521" s="6">
        <f t="shared" si="115"/>
        <v>0.18401218302179842</v>
      </c>
      <c r="V521" s="6">
        <f t="shared" si="115"/>
        <v>0.37883088095577799</v>
      </c>
      <c r="W521" s="6">
        <f t="shared" si="115"/>
        <v>-1.0806514912181153E-2</v>
      </c>
      <c r="X521" s="6">
        <f t="shared" si="115"/>
        <v>8.6602834054808633E-2</v>
      </c>
      <c r="Y521" s="6">
        <f t="shared" si="115"/>
        <v>0.19481869793397957</v>
      </c>
    </row>
    <row r="522" spans="1:25" x14ac:dyDescent="0.25">
      <c r="A522" s="7" t="s">
        <v>109</v>
      </c>
      <c r="B522" s="7" t="s">
        <v>162</v>
      </c>
      <c r="C522" s="74">
        <v>75</v>
      </c>
      <c r="D522" s="74">
        <v>55</v>
      </c>
      <c r="E522" s="71">
        <f t="shared" si="116"/>
        <v>0.73333333333333328</v>
      </c>
      <c r="F522" s="65" t="str">
        <f t="shared" si="118"/>
        <v>Desempenho Bom</v>
      </c>
      <c r="G522" s="71">
        <f t="shared" si="108"/>
        <v>0.44825178806664662</v>
      </c>
      <c r="H522" s="71">
        <f t="shared" si="108"/>
        <v>0.78548221403733831</v>
      </c>
      <c r="I522" s="71">
        <f t="shared" si="108"/>
        <v>0.11102136209595498</v>
      </c>
      <c r="J522" s="75">
        <v>15000</v>
      </c>
      <c r="K522" s="75">
        <v>1200</v>
      </c>
      <c r="L522" s="6">
        <f>(SUM(K518:K522))/J521</f>
        <v>0.189</v>
      </c>
      <c r="M522" s="36" t="str">
        <f t="shared" si="119"/>
        <v>Desempenho Médio</v>
      </c>
      <c r="N522" s="6">
        <f t="shared" si="121"/>
        <v>0.27284258705105507</v>
      </c>
      <c r="O522" s="6">
        <f t="shared" si="121"/>
        <v>0.75981161093062477</v>
      </c>
      <c r="P522" s="6">
        <f t="shared" si="121"/>
        <v>-0.21412643682851468</v>
      </c>
      <c r="Q522" s="75">
        <v>80</v>
      </c>
      <c r="R522" s="76">
        <v>0</v>
      </c>
      <c r="S522" s="6">
        <f t="shared" si="117"/>
        <v>0</v>
      </c>
      <c r="T522" s="36" t="str">
        <f t="shared" si="120"/>
        <v>Desempenho Médio</v>
      </c>
      <c r="U522" s="6">
        <f t="shared" si="115"/>
        <v>0.23278475191631845</v>
      </c>
      <c r="V522" s="6">
        <f t="shared" si="115"/>
        <v>0.51017789992422413</v>
      </c>
      <c r="W522" s="6">
        <f t="shared" si="115"/>
        <v>-4.460839609158726E-2</v>
      </c>
      <c r="X522" s="6">
        <f t="shared" si="115"/>
        <v>9.4088177912365595E-2</v>
      </c>
      <c r="Y522" s="6">
        <f t="shared" si="115"/>
        <v>0.27739314800790571</v>
      </c>
    </row>
    <row r="523" spans="1:25" x14ac:dyDescent="0.25">
      <c r="A523" s="7" t="s">
        <v>109</v>
      </c>
      <c r="B523" s="7" t="s">
        <v>163</v>
      </c>
      <c r="C523" s="74">
        <v>75</v>
      </c>
      <c r="D523" s="74">
        <v>73</v>
      </c>
      <c r="E523" s="71">
        <f t="shared" si="116"/>
        <v>0.97333333333333338</v>
      </c>
      <c r="F523" s="65" t="str">
        <f t="shared" si="118"/>
        <v>Desempenho Ótimo</v>
      </c>
      <c r="G523" s="71">
        <f t="shared" si="108"/>
        <v>0.54231176602906361</v>
      </c>
      <c r="H523" s="71">
        <f t="shared" si="108"/>
        <v>0.92735502699565786</v>
      </c>
      <c r="I523" s="71">
        <f t="shared" si="108"/>
        <v>0.15726850506246942</v>
      </c>
      <c r="J523" s="75">
        <v>15000</v>
      </c>
      <c r="K523" s="75">
        <v>850</v>
      </c>
      <c r="L523" s="6">
        <f>(SUM(K518:K523))/J522</f>
        <v>0.24566666666666667</v>
      </c>
      <c r="M523" s="36" t="str">
        <f t="shared" si="119"/>
        <v>Desempenho Médio</v>
      </c>
      <c r="N523" s="6">
        <f t="shared" si="121"/>
        <v>0.31451673641638933</v>
      </c>
      <c r="O523" s="6">
        <f t="shared" si="121"/>
        <v>0.80702132782766356</v>
      </c>
      <c r="P523" s="6">
        <f t="shared" si="121"/>
        <v>-0.1779878549948849</v>
      </c>
      <c r="Q523" s="75">
        <v>80</v>
      </c>
      <c r="R523" s="76">
        <v>73</v>
      </c>
      <c r="S523" s="6">
        <f t="shared" si="117"/>
        <v>0.91249999999999998</v>
      </c>
      <c r="T523" s="36" t="str">
        <f t="shared" si="120"/>
        <v>Desempenho Ótimo</v>
      </c>
      <c r="U523" s="6">
        <f t="shared" si="115"/>
        <v>0.46105014853915682</v>
      </c>
      <c r="V523" s="6">
        <f t="shared" si="115"/>
        <v>0.84756736419379908</v>
      </c>
      <c r="W523" s="6">
        <f t="shared" si="115"/>
        <v>7.4532932884514569E-2</v>
      </c>
      <c r="X523" s="6">
        <f t="shared" si="115"/>
        <v>7.4532932884514569E-2</v>
      </c>
      <c r="Y523" s="6">
        <f t="shared" si="115"/>
        <v>0.38651721565464225</v>
      </c>
    </row>
    <row r="524" spans="1:25" x14ac:dyDescent="0.25">
      <c r="A524" s="7" t="s">
        <v>109</v>
      </c>
      <c r="B524" s="7" t="s">
        <v>164</v>
      </c>
      <c r="C524" s="74">
        <v>75</v>
      </c>
      <c r="D524" s="74">
        <v>82</v>
      </c>
      <c r="E524" s="71">
        <f t="shared" si="116"/>
        <v>1.0933333333333333</v>
      </c>
      <c r="F524" s="65" t="str">
        <f t="shared" si="118"/>
        <v>Desempenho Ótimo</v>
      </c>
      <c r="G524" s="71">
        <f t="shared" si="108"/>
        <v>0.63634637719050002</v>
      </c>
      <c r="H524" s="71">
        <f t="shared" si="108"/>
        <v>1.0512878703900039</v>
      </c>
      <c r="I524" s="71">
        <f t="shared" si="108"/>
        <v>0.22140488399099606</v>
      </c>
      <c r="J524" s="75">
        <v>15000</v>
      </c>
      <c r="K524" s="75">
        <v>1160.0999999999999</v>
      </c>
      <c r="L524" s="6">
        <f>(SUM(K518:K524))/J523</f>
        <v>0.32300666666666666</v>
      </c>
      <c r="M524" s="36" t="str">
        <f t="shared" si="119"/>
        <v>Desempenho Médio</v>
      </c>
      <c r="N524" s="6">
        <f t="shared" si="121"/>
        <v>0.38334713342809434</v>
      </c>
      <c r="O524" s="6">
        <f t="shared" si="121"/>
        <v>0.88375935483946089</v>
      </c>
      <c r="P524" s="6">
        <f t="shared" si="121"/>
        <v>-0.1170650879832722</v>
      </c>
      <c r="Q524" s="75">
        <v>80</v>
      </c>
      <c r="R524" s="76">
        <v>73</v>
      </c>
      <c r="S524" s="6">
        <f t="shared" si="117"/>
        <v>0.91249999999999998</v>
      </c>
      <c r="T524" s="36" t="str">
        <f t="shared" si="120"/>
        <v>Desempenho Ótimo</v>
      </c>
      <c r="U524" s="6">
        <f t="shared" si="115"/>
        <v>0.46105014853915682</v>
      </c>
      <c r="V524" s="6">
        <f t="shared" si="115"/>
        <v>0.84756736419379908</v>
      </c>
      <c r="W524" s="6">
        <f t="shared" si="115"/>
        <v>7.4532932884514569E-2</v>
      </c>
      <c r="X524" s="6">
        <f t="shared" si="115"/>
        <v>7.4532932884514569E-2</v>
      </c>
      <c r="Y524" s="6">
        <f t="shared" si="115"/>
        <v>0.38651721565464225</v>
      </c>
    </row>
    <row r="525" spans="1:25" x14ac:dyDescent="0.25">
      <c r="A525" s="7" t="s">
        <v>109</v>
      </c>
      <c r="B525" s="7" t="s">
        <v>165</v>
      </c>
      <c r="C525" s="74">
        <v>75</v>
      </c>
      <c r="D525" s="74">
        <v>91</v>
      </c>
      <c r="E525" s="71">
        <f t="shared" si="116"/>
        <v>1.2133333333333334</v>
      </c>
      <c r="F525" s="65" t="str">
        <f t="shared" si="118"/>
        <v>Desempenho Ótimo</v>
      </c>
      <c r="G525" s="71">
        <f t="shared" si="108"/>
        <v>0.70660866675940681</v>
      </c>
      <c r="H525" s="71">
        <f t="shared" si="108"/>
        <v>1.1341225514190425</v>
      </c>
      <c r="I525" s="71">
        <f t="shared" si="108"/>
        <v>0.27909478209977112</v>
      </c>
      <c r="J525" s="75">
        <v>15000</v>
      </c>
      <c r="K525" s="75">
        <v>885</v>
      </c>
      <c r="L525" s="6">
        <f>(SUM(K518:K525))/J524</f>
        <v>0.38200666666666672</v>
      </c>
      <c r="M525" s="36" t="str">
        <f t="shared" si="119"/>
        <v>Desempenho Médio</v>
      </c>
      <c r="N525" s="6">
        <f t="shared" si="121"/>
        <v>0.45719521320533213</v>
      </c>
      <c r="O525" s="6">
        <f t="shared" si="121"/>
        <v>0.97356755068321044</v>
      </c>
      <c r="P525" s="6">
        <f t="shared" si="121"/>
        <v>-5.9177124272546122E-2</v>
      </c>
      <c r="Q525" s="75">
        <v>80</v>
      </c>
      <c r="R525" s="76">
        <v>73</v>
      </c>
      <c r="S525" s="6">
        <f t="shared" si="117"/>
        <v>0.91249999999999998</v>
      </c>
      <c r="T525" s="36" t="str">
        <f t="shared" si="120"/>
        <v>Desempenho Ótimo</v>
      </c>
      <c r="U525" s="6">
        <f t="shared" si="115"/>
        <v>0.46105014853915682</v>
      </c>
      <c r="V525" s="6">
        <f t="shared" si="115"/>
        <v>0.84756736419379908</v>
      </c>
      <c r="W525" s="6">
        <f t="shared" si="115"/>
        <v>7.4532932884514569E-2</v>
      </c>
      <c r="X525" s="6">
        <f t="shared" si="115"/>
        <v>7.4532932884514569E-2</v>
      </c>
      <c r="Y525" s="6">
        <f t="shared" si="115"/>
        <v>0.38651721565464225</v>
      </c>
    </row>
    <row r="526" spans="1:25" x14ac:dyDescent="0.25">
      <c r="A526" s="7" t="s">
        <v>109</v>
      </c>
      <c r="B526" s="7" t="s">
        <v>166</v>
      </c>
      <c r="C526" s="74">
        <v>75</v>
      </c>
      <c r="D526" s="74">
        <v>100</v>
      </c>
      <c r="E526" s="71">
        <f t="shared" si="116"/>
        <v>1.3333333333333333</v>
      </c>
      <c r="F526" s="65" t="str">
        <f t="shared" si="118"/>
        <v>Desempenho Ótimo</v>
      </c>
      <c r="G526" s="71">
        <f t="shared" si="108"/>
        <v>0.73663014244586189</v>
      </c>
      <c r="H526" s="71">
        <f t="shared" si="108"/>
        <v>1.1737360935948695</v>
      </c>
      <c r="I526" s="71">
        <f t="shared" si="108"/>
        <v>0.29952419129685426</v>
      </c>
      <c r="J526" s="75">
        <v>15000</v>
      </c>
      <c r="K526" s="75">
        <v>3280</v>
      </c>
      <c r="L526" s="6">
        <f>(SUM(K518:K526))/J525</f>
        <v>0.60067333333333339</v>
      </c>
      <c r="M526" s="36" t="str">
        <f t="shared" si="119"/>
        <v>Desempenho Bom</v>
      </c>
      <c r="N526" s="6">
        <f t="shared" si="121"/>
        <v>0.50336729135060976</v>
      </c>
      <c r="O526" s="6">
        <f t="shared" si="121"/>
        <v>1.0150591886201059</v>
      </c>
      <c r="P526" s="6">
        <f t="shared" si="121"/>
        <v>-8.3246059188863963E-3</v>
      </c>
      <c r="Q526" s="75">
        <v>80</v>
      </c>
      <c r="R526" s="76">
        <v>82</v>
      </c>
      <c r="S526" s="6">
        <f t="shared" si="117"/>
        <v>1.0249999999999999</v>
      </c>
      <c r="T526" s="36" t="str">
        <f t="shared" si="120"/>
        <v>Desempenho Bom</v>
      </c>
      <c r="U526" s="6">
        <f t="shared" si="115"/>
        <v>0.74232771533595698</v>
      </c>
      <c r="V526" s="6">
        <f t="shared" si="115"/>
        <v>1.1540802341555996</v>
      </c>
      <c r="W526" s="6">
        <f t="shared" si="115"/>
        <v>0.33057519651631434</v>
      </c>
      <c r="X526" s="6">
        <f t="shared" si="115"/>
        <v>0.33057519651631434</v>
      </c>
      <c r="Y526" s="6">
        <f t="shared" si="115"/>
        <v>0.41175251881964264</v>
      </c>
    </row>
    <row r="527" spans="1:25" x14ac:dyDescent="0.25">
      <c r="A527" s="7" t="s">
        <v>109</v>
      </c>
      <c r="B527" s="7" t="s">
        <v>167</v>
      </c>
      <c r="C527" s="74">
        <v>75</v>
      </c>
      <c r="D527" s="74">
        <v>100</v>
      </c>
      <c r="E527" s="71">
        <f t="shared" si="116"/>
        <v>1.3333333333333333</v>
      </c>
      <c r="F527" s="65" t="str">
        <f t="shared" si="118"/>
        <v>Desempenho Ótimo</v>
      </c>
      <c r="G527" s="71">
        <f t="shared" ref="G527:I590" si="122">G515</f>
        <v>0.82061442726694189</v>
      </c>
      <c r="H527" s="71">
        <f t="shared" si="122"/>
        <v>1.2607833515834532</v>
      </c>
      <c r="I527" s="71">
        <f t="shared" si="122"/>
        <v>0.38044550295043061</v>
      </c>
      <c r="J527" s="75">
        <v>15000</v>
      </c>
      <c r="K527" s="75">
        <v>0</v>
      </c>
      <c r="L527" s="6">
        <f>(SUM(K518:K527))/J526</f>
        <v>0.60067333333333339</v>
      </c>
      <c r="M527" s="36" t="str">
        <f t="shared" si="119"/>
        <v>Desempenho Bom</v>
      </c>
      <c r="N527" s="6">
        <f t="shared" si="121"/>
        <v>0.58006775555216661</v>
      </c>
      <c r="O527" s="6">
        <f t="shared" si="121"/>
        <v>1.099948635873619</v>
      </c>
      <c r="P527" s="6">
        <f t="shared" si="121"/>
        <v>6.0186875230714088E-2</v>
      </c>
      <c r="Q527" s="75">
        <v>80</v>
      </c>
      <c r="R527" s="76">
        <v>82</v>
      </c>
      <c r="S527" s="6">
        <f t="shared" si="117"/>
        <v>1.0249999999999999</v>
      </c>
      <c r="T527" s="36" t="str">
        <f t="shared" si="120"/>
        <v>Desempenho Bom</v>
      </c>
      <c r="U527" s="6">
        <f t="shared" ref="U527:Y542" si="123">U515</f>
        <v>0.82347447721763523</v>
      </c>
      <c r="V527" s="6">
        <f t="shared" si="123"/>
        <v>1.2398542522675045</v>
      </c>
      <c r="W527" s="6">
        <f t="shared" si="123"/>
        <v>0.40709470216776611</v>
      </c>
      <c r="X527" s="6">
        <f t="shared" si="123"/>
        <v>0.40709470216776611</v>
      </c>
      <c r="Y527" s="6">
        <f t="shared" si="123"/>
        <v>0.41637977504986912</v>
      </c>
    </row>
    <row r="528" spans="1:25" x14ac:dyDescent="0.25">
      <c r="A528" s="7" t="s">
        <v>109</v>
      </c>
      <c r="B528" s="7" t="s">
        <v>168</v>
      </c>
      <c r="C528" s="74">
        <v>75</v>
      </c>
      <c r="D528" s="74">
        <v>100</v>
      </c>
      <c r="E528" s="71">
        <f t="shared" si="116"/>
        <v>1.3333333333333333</v>
      </c>
      <c r="F528" s="65" t="str">
        <f t="shared" si="118"/>
        <v>Desempenho Bom</v>
      </c>
      <c r="G528" s="71">
        <f t="shared" si="122"/>
        <v>0.94582556715526966</v>
      </c>
      <c r="H528" s="71">
        <f t="shared" si="122"/>
        <v>1.4311117173682604</v>
      </c>
      <c r="I528" s="71">
        <f t="shared" si="122"/>
        <v>0.46053941694227907</v>
      </c>
      <c r="J528" s="75">
        <v>15000</v>
      </c>
      <c r="K528" s="75">
        <v>1100</v>
      </c>
      <c r="L528" s="6">
        <f>(SUM(K518:K528))/J527</f>
        <v>0.67400666666666664</v>
      </c>
      <c r="M528" s="36" t="str">
        <f t="shared" si="119"/>
        <v>Desempenho Médio</v>
      </c>
      <c r="N528" s="6">
        <f t="shared" si="121"/>
        <v>0.72282137340514951</v>
      </c>
      <c r="O528" s="6">
        <f t="shared" si="121"/>
        <v>1.2463651595014014</v>
      </c>
      <c r="P528" s="6">
        <f t="shared" si="121"/>
        <v>0.19927758730889755</v>
      </c>
      <c r="Q528" s="75">
        <v>80</v>
      </c>
      <c r="R528" s="76">
        <v>82</v>
      </c>
      <c r="S528" s="6">
        <f t="shared" si="117"/>
        <v>1.0249999999999999</v>
      </c>
      <c r="T528" s="36" t="str">
        <f t="shared" si="120"/>
        <v>Desempenho Bom</v>
      </c>
      <c r="U528" s="6">
        <f t="shared" si="123"/>
        <v>0.91825333306001944</v>
      </c>
      <c r="V528" s="6">
        <f t="shared" si="123"/>
        <v>1.402047931898428</v>
      </c>
      <c r="W528" s="6">
        <f t="shared" si="123"/>
        <v>0.43445873422161085</v>
      </c>
      <c r="X528" s="6">
        <f t="shared" si="123"/>
        <v>0.43445873422161085</v>
      </c>
      <c r="Y528" s="6">
        <f t="shared" si="123"/>
        <v>0.48379459883840858</v>
      </c>
    </row>
    <row r="529" spans="1:25" x14ac:dyDescent="0.25">
      <c r="A529" s="7" t="s">
        <v>109</v>
      </c>
      <c r="B529" s="7" t="s">
        <v>169</v>
      </c>
      <c r="C529" s="74">
        <v>75</v>
      </c>
      <c r="D529" s="74">
        <v>100</v>
      </c>
      <c r="E529" s="71">
        <f t="shared" si="116"/>
        <v>1.3333333333333333</v>
      </c>
      <c r="F529" s="65" t="str">
        <f t="shared" si="118"/>
        <v>Desempenho Bom</v>
      </c>
      <c r="G529" s="71">
        <f t="shared" si="122"/>
        <v>1.0016849877757958</v>
      </c>
      <c r="H529" s="71">
        <f t="shared" si="122"/>
        <v>1.521489991464148</v>
      </c>
      <c r="I529" s="71">
        <f t="shared" si="122"/>
        <v>0.48187998408744359</v>
      </c>
      <c r="J529" s="75">
        <v>15000</v>
      </c>
      <c r="K529" s="75">
        <v>6320</v>
      </c>
      <c r="L529" s="6">
        <f>(SUM(K518:K529))/J528</f>
        <v>1.09534</v>
      </c>
      <c r="M529" s="36" t="str">
        <f t="shared" si="119"/>
        <v>Desempenho Bom</v>
      </c>
      <c r="N529" s="6">
        <f t="shared" si="121"/>
        <v>0.82421983567812696</v>
      </c>
      <c r="O529" s="6">
        <f t="shared" si="121"/>
        <v>1.3730394926064369</v>
      </c>
      <c r="P529" s="6">
        <f t="shared" si="121"/>
        <v>0.27540017874981693</v>
      </c>
      <c r="Q529" s="75">
        <v>80</v>
      </c>
      <c r="R529" s="76">
        <v>82</v>
      </c>
      <c r="S529" s="6">
        <f t="shared" si="117"/>
        <v>1.0249999999999999</v>
      </c>
      <c r="T529" s="36" t="str">
        <f t="shared" si="120"/>
        <v>Desempenho Bom</v>
      </c>
      <c r="U529" s="6">
        <f t="shared" si="123"/>
        <v>0.91825333306001944</v>
      </c>
      <c r="V529" s="6">
        <f t="shared" si="123"/>
        <v>1.402047931898428</v>
      </c>
      <c r="W529" s="6">
        <f t="shared" si="123"/>
        <v>0.43445873422161085</v>
      </c>
      <c r="X529" s="6">
        <f t="shared" si="123"/>
        <v>0.43445873422161085</v>
      </c>
      <c r="Y529" s="6">
        <f t="shared" si="123"/>
        <v>0.48379459883840858</v>
      </c>
    </row>
    <row r="530" spans="1:25" x14ac:dyDescent="0.25">
      <c r="A530" s="7" t="s">
        <v>102</v>
      </c>
      <c r="B530" s="7" t="s">
        <v>158</v>
      </c>
      <c r="C530" s="74">
        <v>75</v>
      </c>
      <c r="D530" s="74">
        <v>0</v>
      </c>
      <c r="E530" s="71">
        <f t="shared" si="116"/>
        <v>0</v>
      </c>
      <c r="F530" s="65" t="str">
        <f t="shared" si="118"/>
        <v>Desempenho Médio</v>
      </c>
      <c r="G530" s="71">
        <f t="shared" si="122"/>
        <v>0.11573204891712785</v>
      </c>
      <c r="H530" s="71">
        <f t="shared" si="122"/>
        <v>0.30218524997148988</v>
      </c>
      <c r="I530" s="71">
        <f t="shared" si="122"/>
        <v>-7.0721152137234206E-2</v>
      </c>
      <c r="J530" s="75">
        <v>500000</v>
      </c>
      <c r="K530" s="75">
        <v>37884.69</v>
      </c>
      <c r="L530" s="6">
        <f>K530/J530</f>
        <v>7.5769380000000011E-2</v>
      </c>
      <c r="M530" s="36" t="str">
        <f t="shared" si="119"/>
        <v>Desempenho Médio</v>
      </c>
      <c r="N530" s="6">
        <f t="shared" si="121"/>
        <v>0.11129468122233216</v>
      </c>
      <c r="O530" s="6">
        <f t="shared" si="121"/>
        <v>0.54990456699293522</v>
      </c>
      <c r="P530" s="6">
        <f t="shared" si="121"/>
        <v>-0.32731520454827095</v>
      </c>
      <c r="Q530" s="75">
        <v>80</v>
      </c>
      <c r="R530" s="76">
        <v>0</v>
      </c>
      <c r="S530" s="6">
        <f t="shared" si="117"/>
        <v>0</v>
      </c>
      <c r="T530" s="36" t="str">
        <f t="shared" si="120"/>
        <v>Desempenho Médio</v>
      </c>
      <c r="U530" s="6">
        <f t="shared" si="123"/>
        <v>6.5053670194766225E-2</v>
      </c>
      <c r="V530" s="6">
        <f t="shared" si="123"/>
        <v>0.16010348962314203</v>
      </c>
      <c r="W530" s="6">
        <f t="shared" si="123"/>
        <v>-2.9996149233609562E-2</v>
      </c>
      <c r="X530" s="6">
        <f t="shared" si="123"/>
        <v>1.7528760480578331E-2</v>
      </c>
      <c r="Y530" s="6">
        <f t="shared" si="123"/>
        <v>9.5049819428375787E-2</v>
      </c>
    </row>
    <row r="531" spans="1:25" x14ac:dyDescent="0.25">
      <c r="A531" s="7" t="s">
        <v>102</v>
      </c>
      <c r="B531" s="7" t="s">
        <v>159</v>
      </c>
      <c r="C531" s="74">
        <v>75</v>
      </c>
      <c r="D531" s="74">
        <v>0</v>
      </c>
      <c r="E531" s="71">
        <f t="shared" si="116"/>
        <v>0</v>
      </c>
      <c r="F531" s="65" t="str">
        <f t="shared" si="118"/>
        <v>Desempenho Médio</v>
      </c>
      <c r="G531" s="71">
        <f t="shared" si="122"/>
        <v>0.22598075676513599</v>
      </c>
      <c r="H531" s="71">
        <f t="shared" si="122"/>
        <v>0.51894873552035481</v>
      </c>
      <c r="I531" s="71">
        <f t="shared" si="122"/>
        <v>-6.6987221990082807E-2</v>
      </c>
      <c r="J531" s="75">
        <v>500000</v>
      </c>
      <c r="K531" s="75">
        <v>8685</v>
      </c>
      <c r="L531" s="6">
        <f>(SUM(K530:K531))/J530</f>
        <v>9.3139380000000008E-2</v>
      </c>
      <c r="M531" s="36" t="str">
        <f t="shared" si="119"/>
        <v>Desempenho Médio</v>
      </c>
      <c r="N531" s="6">
        <f t="shared" si="121"/>
        <v>0.14992070801509372</v>
      </c>
      <c r="O531" s="6">
        <f t="shared" si="121"/>
        <v>0.58968599072326611</v>
      </c>
      <c r="P531" s="6">
        <f t="shared" si="121"/>
        <v>-0.28984457469307867</v>
      </c>
      <c r="Q531" s="75">
        <v>80</v>
      </c>
      <c r="R531" s="76">
        <v>0</v>
      </c>
      <c r="S531" s="6">
        <f t="shared" si="117"/>
        <v>0</v>
      </c>
      <c r="T531" s="36" t="str">
        <f t="shared" si="120"/>
        <v>Desempenho Médio</v>
      </c>
      <c r="U531" s="6">
        <f t="shared" si="123"/>
        <v>6.5053670194766225E-2</v>
      </c>
      <c r="V531" s="6">
        <f t="shared" si="123"/>
        <v>0.16010348962314203</v>
      </c>
      <c r="W531" s="6">
        <f t="shared" si="123"/>
        <v>-2.9996149233609562E-2</v>
      </c>
      <c r="X531" s="6">
        <f t="shared" si="123"/>
        <v>1.7528760480578331E-2</v>
      </c>
      <c r="Y531" s="6">
        <f t="shared" si="123"/>
        <v>9.5049819428375787E-2</v>
      </c>
    </row>
    <row r="532" spans="1:25" x14ac:dyDescent="0.25">
      <c r="A532" s="7" t="s">
        <v>102</v>
      </c>
      <c r="B532" s="7" t="s">
        <v>160</v>
      </c>
      <c r="C532" s="74">
        <v>75</v>
      </c>
      <c r="D532" s="74">
        <v>0</v>
      </c>
      <c r="E532" s="71">
        <f t="shared" si="116"/>
        <v>0</v>
      </c>
      <c r="F532" s="65" t="str">
        <f t="shared" si="118"/>
        <v>Desempenho Médio</v>
      </c>
      <c r="G532" s="71">
        <f t="shared" si="122"/>
        <v>0.2827891266215985</v>
      </c>
      <c r="H532" s="71">
        <f t="shared" si="122"/>
        <v>0.59134445337262298</v>
      </c>
      <c r="I532" s="71">
        <f t="shared" si="122"/>
        <v>-2.5766200129425987E-2</v>
      </c>
      <c r="J532" s="75">
        <v>500000</v>
      </c>
      <c r="K532" s="75">
        <v>33589.5</v>
      </c>
      <c r="L532" s="6">
        <f>(SUM(K530:K532))/J531</f>
        <v>0.16031838000000001</v>
      </c>
      <c r="M532" s="36" t="str">
        <f t="shared" si="119"/>
        <v>Desempenho Médio</v>
      </c>
      <c r="N532" s="6">
        <f t="shared" si="121"/>
        <v>0.17723994755342617</v>
      </c>
      <c r="O532" s="6">
        <f t="shared" si="121"/>
        <v>0.61473682715667155</v>
      </c>
      <c r="P532" s="6">
        <f t="shared" si="121"/>
        <v>-0.26025693204981915</v>
      </c>
      <c r="Q532" s="75">
        <v>80</v>
      </c>
      <c r="R532" s="76">
        <v>0</v>
      </c>
      <c r="S532" s="6">
        <f t="shared" si="117"/>
        <v>0</v>
      </c>
      <c r="T532" s="36" t="str">
        <f t="shared" si="120"/>
        <v>Desempenho Médio</v>
      </c>
      <c r="U532" s="6">
        <f t="shared" si="123"/>
        <v>0.18401218302179842</v>
      </c>
      <c r="V532" s="6">
        <f t="shared" si="123"/>
        <v>0.37883088095577799</v>
      </c>
      <c r="W532" s="6">
        <f t="shared" si="123"/>
        <v>-1.0806514912181153E-2</v>
      </c>
      <c r="X532" s="6">
        <f t="shared" si="123"/>
        <v>8.6602834054808633E-2</v>
      </c>
      <c r="Y532" s="6">
        <f t="shared" si="123"/>
        <v>0.19481869793397957</v>
      </c>
    </row>
    <row r="533" spans="1:25" x14ac:dyDescent="0.25">
      <c r="A533" s="7" t="s">
        <v>102</v>
      </c>
      <c r="B533" s="7" t="s">
        <v>161</v>
      </c>
      <c r="C533" s="74">
        <v>75</v>
      </c>
      <c r="D533" s="74">
        <v>0</v>
      </c>
      <c r="E533" s="71">
        <f t="shared" si="116"/>
        <v>0</v>
      </c>
      <c r="F533" s="65" t="str">
        <f t="shared" si="118"/>
        <v>Desempenho Deficitário</v>
      </c>
      <c r="G533" s="71">
        <f t="shared" si="122"/>
        <v>0.36222496935690102</v>
      </c>
      <c r="H533" s="71">
        <f t="shared" si="122"/>
        <v>0.67917151968337719</v>
      </c>
      <c r="I533" s="71">
        <f t="shared" si="122"/>
        <v>4.5278419030424844E-2</v>
      </c>
      <c r="J533" s="75">
        <v>500000</v>
      </c>
      <c r="K533" s="75">
        <v>8873.35</v>
      </c>
      <c r="L533" s="6">
        <f>(SUM(K530:K533))/J532</f>
        <v>0.17806508000000001</v>
      </c>
      <c r="M533" s="36" t="str">
        <f t="shared" si="119"/>
        <v>Desempenho Médio</v>
      </c>
      <c r="N533" s="6">
        <f t="shared" si="121"/>
        <v>0.2271654986777647</v>
      </c>
      <c r="O533" s="6">
        <f t="shared" si="121"/>
        <v>0.71582389712396544</v>
      </c>
      <c r="P533" s="6">
        <f t="shared" si="121"/>
        <v>-0.26149289976843598</v>
      </c>
      <c r="Q533" s="75">
        <v>80</v>
      </c>
      <c r="R533" s="76">
        <v>0</v>
      </c>
      <c r="S533" s="6">
        <f t="shared" si="117"/>
        <v>0</v>
      </c>
      <c r="T533" s="36" t="str">
        <f t="shared" si="120"/>
        <v>Desempenho Médio</v>
      </c>
      <c r="U533" s="6">
        <f t="shared" si="123"/>
        <v>0.18401218302179842</v>
      </c>
      <c r="V533" s="6">
        <f t="shared" si="123"/>
        <v>0.37883088095577799</v>
      </c>
      <c r="W533" s="6">
        <f t="shared" si="123"/>
        <v>-1.0806514912181153E-2</v>
      </c>
      <c r="X533" s="6">
        <f t="shared" si="123"/>
        <v>8.6602834054808633E-2</v>
      </c>
      <c r="Y533" s="6">
        <f t="shared" si="123"/>
        <v>0.19481869793397957</v>
      </c>
    </row>
    <row r="534" spans="1:25" x14ac:dyDescent="0.25">
      <c r="A534" s="7" t="s">
        <v>102</v>
      </c>
      <c r="B534" s="7" t="s">
        <v>162</v>
      </c>
      <c r="C534" s="74">
        <v>75</v>
      </c>
      <c r="D534" s="74">
        <v>0</v>
      </c>
      <c r="E534" s="71">
        <f t="shared" si="116"/>
        <v>0</v>
      </c>
      <c r="F534" s="65" t="str">
        <f t="shared" si="118"/>
        <v>Desempenho Deficitário</v>
      </c>
      <c r="G534" s="71">
        <f t="shared" si="122"/>
        <v>0.44825178806664662</v>
      </c>
      <c r="H534" s="71">
        <f t="shared" si="122"/>
        <v>0.78548221403733831</v>
      </c>
      <c r="I534" s="71">
        <f t="shared" si="122"/>
        <v>0.11102136209595498</v>
      </c>
      <c r="J534" s="75">
        <v>500000</v>
      </c>
      <c r="K534" s="75">
        <v>49065.79</v>
      </c>
      <c r="L534" s="6">
        <f>(SUM(K530:K534))/J533</f>
        <v>0.27619666000000004</v>
      </c>
      <c r="M534" s="36" t="str">
        <f t="shared" si="119"/>
        <v>Desempenho Bom</v>
      </c>
      <c r="N534" s="6">
        <f t="shared" ref="N534:P549" si="124">N522</f>
        <v>0.27284258705105507</v>
      </c>
      <c r="O534" s="6">
        <f t="shared" si="124"/>
        <v>0.75981161093062477</v>
      </c>
      <c r="P534" s="6">
        <f t="shared" si="124"/>
        <v>-0.21412643682851468</v>
      </c>
      <c r="Q534" s="75">
        <v>80</v>
      </c>
      <c r="R534" s="76">
        <v>0</v>
      </c>
      <c r="S534" s="6">
        <f t="shared" si="117"/>
        <v>0</v>
      </c>
      <c r="T534" s="36" t="str">
        <f t="shared" si="120"/>
        <v>Desempenho Médio</v>
      </c>
      <c r="U534" s="6">
        <f t="shared" si="123"/>
        <v>0.23278475191631845</v>
      </c>
      <c r="V534" s="6">
        <f t="shared" si="123"/>
        <v>0.51017789992422413</v>
      </c>
      <c r="W534" s="6">
        <f t="shared" si="123"/>
        <v>-4.460839609158726E-2</v>
      </c>
      <c r="X534" s="6">
        <f t="shared" si="123"/>
        <v>9.4088177912365595E-2</v>
      </c>
      <c r="Y534" s="6">
        <f t="shared" si="123"/>
        <v>0.27739314800790571</v>
      </c>
    </row>
    <row r="535" spans="1:25" x14ac:dyDescent="0.25">
      <c r="A535" s="7" t="s">
        <v>102</v>
      </c>
      <c r="B535" s="7" t="s">
        <v>163</v>
      </c>
      <c r="C535" s="74">
        <v>75</v>
      </c>
      <c r="D535" s="74">
        <v>0</v>
      </c>
      <c r="E535" s="71">
        <f t="shared" si="116"/>
        <v>0</v>
      </c>
      <c r="F535" s="65" t="str">
        <f t="shared" si="118"/>
        <v>Desempenho Deficitário</v>
      </c>
      <c r="G535" s="71">
        <f t="shared" si="122"/>
        <v>0.54231176602906361</v>
      </c>
      <c r="H535" s="71">
        <f t="shared" si="122"/>
        <v>0.92735502699565786</v>
      </c>
      <c r="I535" s="71">
        <f t="shared" si="122"/>
        <v>0.15726850506246942</v>
      </c>
      <c r="J535" s="75">
        <v>500000</v>
      </c>
      <c r="K535" s="75">
        <v>9350</v>
      </c>
      <c r="L535" s="6">
        <f>(SUM(K530:K535))/J534</f>
        <v>0.29489666000000003</v>
      </c>
      <c r="M535" s="36" t="str">
        <f t="shared" si="119"/>
        <v>Desempenho Médio</v>
      </c>
      <c r="N535" s="6">
        <f t="shared" si="124"/>
        <v>0.31451673641638933</v>
      </c>
      <c r="O535" s="6">
        <f t="shared" si="124"/>
        <v>0.80702132782766356</v>
      </c>
      <c r="P535" s="6">
        <f t="shared" si="124"/>
        <v>-0.1779878549948849</v>
      </c>
      <c r="Q535" s="75">
        <v>80</v>
      </c>
      <c r="R535" s="76">
        <v>0</v>
      </c>
      <c r="S535" s="6">
        <f t="shared" si="117"/>
        <v>0</v>
      </c>
      <c r="T535" s="36" t="str">
        <f t="shared" si="120"/>
        <v>Desempenho Deficitário</v>
      </c>
      <c r="U535" s="6">
        <f t="shared" si="123"/>
        <v>0.46105014853915682</v>
      </c>
      <c r="V535" s="6">
        <f t="shared" si="123"/>
        <v>0.84756736419379908</v>
      </c>
      <c r="W535" s="6">
        <f t="shared" si="123"/>
        <v>7.4532932884514569E-2</v>
      </c>
      <c r="X535" s="6">
        <f t="shared" si="123"/>
        <v>7.4532932884514569E-2</v>
      </c>
      <c r="Y535" s="6">
        <f t="shared" si="123"/>
        <v>0.38651721565464225</v>
      </c>
    </row>
    <row r="536" spans="1:25" x14ac:dyDescent="0.25">
      <c r="A536" s="7" t="s">
        <v>102</v>
      </c>
      <c r="B536" s="7" t="s">
        <v>164</v>
      </c>
      <c r="C536" s="74">
        <v>75</v>
      </c>
      <c r="D536" s="74">
        <v>0</v>
      </c>
      <c r="E536" s="71">
        <f t="shared" si="116"/>
        <v>0</v>
      </c>
      <c r="F536" s="65" t="str">
        <f t="shared" si="118"/>
        <v>Desempenho Deficitário</v>
      </c>
      <c r="G536" s="71">
        <f t="shared" si="122"/>
        <v>0.63634637719050002</v>
      </c>
      <c r="H536" s="71">
        <f t="shared" si="122"/>
        <v>1.0512878703900039</v>
      </c>
      <c r="I536" s="71">
        <f t="shared" si="122"/>
        <v>0.22140488399099606</v>
      </c>
      <c r="J536" s="75">
        <v>500000</v>
      </c>
      <c r="K536" s="75">
        <v>22477.26</v>
      </c>
      <c r="L536" s="6">
        <f>(SUM(K530:K536))/J535</f>
        <v>0.33985118000000003</v>
      </c>
      <c r="M536" s="36" t="str">
        <f t="shared" si="119"/>
        <v>Desempenho Médio</v>
      </c>
      <c r="N536" s="6">
        <f t="shared" si="124"/>
        <v>0.38334713342809434</v>
      </c>
      <c r="O536" s="6">
        <f t="shared" si="124"/>
        <v>0.88375935483946089</v>
      </c>
      <c r="P536" s="6">
        <f t="shared" si="124"/>
        <v>-0.1170650879832722</v>
      </c>
      <c r="Q536" s="75">
        <v>80</v>
      </c>
      <c r="R536" s="76">
        <v>0</v>
      </c>
      <c r="S536" s="6">
        <f t="shared" si="117"/>
        <v>0</v>
      </c>
      <c r="T536" s="36" t="str">
        <f t="shared" si="120"/>
        <v>Desempenho Deficitário</v>
      </c>
      <c r="U536" s="6">
        <f t="shared" si="123"/>
        <v>0.46105014853915682</v>
      </c>
      <c r="V536" s="6">
        <f t="shared" si="123"/>
        <v>0.84756736419379908</v>
      </c>
      <c r="W536" s="6">
        <f t="shared" si="123"/>
        <v>7.4532932884514569E-2</v>
      </c>
      <c r="X536" s="6">
        <f t="shared" si="123"/>
        <v>7.4532932884514569E-2</v>
      </c>
      <c r="Y536" s="6">
        <f t="shared" si="123"/>
        <v>0.38651721565464225</v>
      </c>
    </row>
    <row r="537" spans="1:25" x14ac:dyDescent="0.25">
      <c r="A537" s="7" t="s">
        <v>102</v>
      </c>
      <c r="B537" s="7" t="s">
        <v>165</v>
      </c>
      <c r="C537" s="74">
        <v>75</v>
      </c>
      <c r="D537" s="74">
        <v>0</v>
      </c>
      <c r="E537" s="71">
        <f t="shared" si="116"/>
        <v>0</v>
      </c>
      <c r="F537" s="65" t="str">
        <f t="shared" si="118"/>
        <v>Desempenho Deficitário</v>
      </c>
      <c r="G537" s="71">
        <f t="shared" si="122"/>
        <v>0.70660866675940681</v>
      </c>
      <c r="H537" s="71">
        <f t="shared" si="122"/>
        <v>1.1341225514190425</v>
      </c>
      <c r="I537" s="71">
        <f t="shared" si="122"/>
        <v>0.27909478209977112</v>
      </c>
      <c r="J537" s="75">
        <v>500000</v>
      </c>
      <c r="K537" s="75">
        <v>29737.54</v>
      </c>
      <c r="L537" s="6">
        <f>(SUM(K530:K537))/J536</f>
        <v>0.39932626000000004</v>
      </c>
      <c r="M537" s="36" t="str">
        <f t="shared" si="119"/>
        <v>Desempenho Médio</v>
      </c>
      <c r="N537" s="6">
        <f t="shared" si="124"/>
        <v>0.45719521320533213</v>
      </c>
      <c r="O537" s="6">
        <f t="shared" si="124"/>
        <v>0.97356755068321044</v>
      </c>
      <c r="P537" s="6">
        <f t="shared" si="124"/>
        <v>-5.9177124272546122E-2</v>
      </c>
      <c r="Q537" s="75">
        <v>80</v>
      </c>
      <c r="R537" s="76">
        <v>0</v>
      </c>
      <c r="S537" s="6">
        <f t="shared" si="117"/>
        <v>0</v>
      </c>
      <c r="T537" s="36" t="str">
        <f t="shared" si="120"/>
        <v>Desempenho Deficitário</v>
      </c>
      <c r="U537" s="6">
        <f t="shared" si="123"/>
        <v>0.46105014853915682</v>
      </c>
      <c r="V537" s="6">
        <f t="shared" si="123"/>
        <v>0.84756736419379908</v>
      </c>
      <c r="W537" s="6">
        <f t="shared" si="123"/>
        <v>7.4532932884514569E-2</v>
      </c>
      <c r="X537" s="6">
        <f t="shared" si="123"/>
        <v>7.4532932884514569E-2</v>
      </c>
      <c r="Y537" s="6">
        <f t="shared" si="123"/>
        <v>0.38651721565464225</v>
      </c>
    </row>
    <row r="538" spans="1:25" x14ac:dyDescent="0.25">
      <c r="A538" s="7" t="s">
        <v>102</v>
      </c>
      <c r="B538" s="7" t="s">
        <v>166</v>
      </c>
      <c r="C538" s="74">
        <v>75</v>
      </c>
      <c r="D538" s="74">
        <v>0</v>
      </c>
      <c r="E538" s="71">
        <f t="shared" si="116"/>
        <v>0</v>
      </c>
      <c r="F538" s="65" t="str">
        <f t="shared" si="118"/>
        <v>Desempenho Deficitário</v>
      </c>
      <c r="G538" s="71">
        <f t="shared" si="122"/>
        <v>0.73663014244586189</v>
      </c>
      <c r="H538" s="71">
        <f t="shared" si="122"/>
        <v>1.1737360935948695</v>
      </c>
      <c r="I538" s="71">
        <f t="shared" si="122"/>
        <v>0.29952419129685426</v>
      </c>
      <c r="J538" s="75">
        <v>500000</v>
      </c>
      <c r="K538" s="75">
        <v>16614.07</v>
      </c>
      <c r="L538" s="6">
        <f>(SUM(K530:K538))/J537</f>
        <v>0.43255440000000006</v>
      </c>
      <c r="M538" s="36" t="str">
        <f t="shared" si="119"/>
        <v>Desempenho Médio</v>
      </c>
      <c r="N538" s="6">
        <f t="shared" si="124"/>
        <v>0.50336729135060976</v>
      </c>
      <c r="O538" s="6">
        <f t="shared" si="124"/>
        <v>1.0150591886201059</v>
      </c>
      <c r="P538" s="6">
        <f t="shared" si="124"/>
        <v>-8.3246059188863963E-3</v>
      </c>
      <c r="Q538" s="75">
        <v>80</v>
      </c>
      <c r="R538" s="76">
        <v>0</v>
      </c>
      <c r="S538" s="6">
        <f t="shared" si="117"/>
        <v>0</v>
      </c>
      <c r="T538" s="36" t="str">
        <f t="shared" si="120"/>
        <v>Desempenho Deficitário</v>
      </c>
      <c r="U538" s="6">
        <f t="shared" si="123"/>
        <v>0.74232771533595698</v>
      </c>
      <c r="V538" s="6">
        <f t="shared" si="123"/>
        <v>1.1540802341555996</v>
      </c>
      <c r="W538" s="6">
        <f t="shared" si="123"/>
        <v>0.33057519651631434</v>
      </c>
      <c r="X538" s="6">
        <f t="shared" si="123"/>
        <v>0.33057519651631434</v>
      </c>
      <c r="Y538" s="6">
        <f t="shared" si="123"/>
        <v>0.41175251881964264</v>
      </c>
    </row>
    <row r="539" spans="1:25" x14ac:dyDescent="0.25">
      <c r="A539" s="7" t="s">
        <v>102</v>
      </c>
      <c r="B539" s="7" t="s">
        <v>167</v>
      </c>
      <c r="C539" s="74">
        <v>75</v>
      </c>
      <c r="D539" s="74">
        <v>0</v>
      </c>
      <c r="E539" s="71">
        <f t="shared" si="116"/>
        <v>0</v>
      </c>
      <c r="F539" s="65" t="str">
        <f t="shared" si="118"/>
        <v>Desempenho Deficitário</v>
      </c>
      <c r="G539" s="71">
        <f t="shared" si="122"/>
        <v>0.82061442726694189</v>
      </c>
      <c r="H539" s="71">
        <f t="shared" si="122"/>
        <v>1.2607833515834532</v>
      </c>
      <c r="I539" s="71">
        <f t="shared" si="122"/>
        <v>0.38044550295043061</v>
      </c>
      <c r="J539" s="75">
        <v>500000</v>
      </c>
      <c r="K539" s="75">
        <v>30986.5</v>
      </c>
      <c r="L539" s="6">
        <f>(SUM(K530:K539))/J538</f>
        <v>0.49452740000000006</v>
      </c>
      <c r="M539" s="36" t="str">
        <f t="shared" si="119"/>
        <v>Desempenho Médio</v>
      </c>
      <c r="N539" s="6">
        <f t="shared" si="124"/>
        <v>0.58006775555216661</v>
      </c>
      <c r="O539" s="6">
        <f t="shared" si="124"/>
        <v>1.099948635873619</v>
      </c>
      <c r="P539" s="6">
        <f t="shared" si="124"/>
        <v>6.0186875230714088E-2</v>
      </c>
      <c r="Q539" s="75">
        <v>80</v>
      </c>
      <c r="R539" s="76">
        <v>0</v>
      </c>
      <c r="S539" s="6">
        <f t="shared" si="117"/>
        <v>0</v>
      </c>
      <c r="T539" s="36" t="str">
        <f t="shared" si="120"/>
        <v>Desempenho Deficitário</v>
      </c>
      <c r="U539" s="6">
        <f t="shared" si="123"/>
        <v>0.82347447721763523</v>
      </c>
      <c r="V539" s="6">
        <f t="shared" si="123"/>
        <v>1.2398542522675045</v>
      </c>
      <c r="W539" s="6">
        <f t="shared" si="123"/>
        <v>0.40709470216776611</v>
      </c>
      <c r="X539" s="6">
        <f t="shared" si="123"/>
        <v>0.40709470216776611</v>
      </c>
      <c r="Y539" s="6">
        <f t="shared" si="123"/>
        <v>0.41637977504986912</v>
      </c>
    </row>
    <row r="540" spans="1:25" x14ac:dyDescent="0.25">
      <c r="A540" s="7" t="s">
        <v>102</v>
      </c>
      <c r="B540" s="7" t="s">
        <v>168</v>
      </c>
      <c r="C540" s="74">
        <v>75</v>
      </c>
      <c r="D540" s="74">
        <v>0</v>
      </c>
      <c r="E540" s="71">
        <f t="shared" si="116"/>
        <v>0</v>
      </c>
      <c r="F540" s="65" t="str">
        <f t="shared" si="118"/>
        <v>Desempenho Deficitário</v>
      </c>
      <c r="G540" s="71">
        <f t="shared" si="122"/>
        <v>0.94582556715526966</v>
      </c>
      <c r="H540" s="71">
        <f t="shared" si="122"/>
        <v>1.4311117173682604</v>
      </c>
      <c r="I540" s="71">
        <f t="shared" si="122"/>
        <v>0.46053941694227907</v>
      </c>
      <c r="J540" s="75">
        <v>500000</v>
      </c>
      <c r="K540" s="75">
        <v>4000</v>
      </c>
      <c r="L540" s="6">
        <f>(SUM(K530:K540))/J539</f>
        <v>0.50252740000000007</v>
      </c>
      <c r="M540" s="36" t="str">
        <f t="shared" si="119"/>
        <v>Desempenho Médio</v>
      </c>
      <c r="N540" s="6">
        <f t="shared" si="124"/>
        <v>0.72282137340514951</v>
      </c>
      <c r="O540" s="6">
        <f t="shared" si="124"/>
        <v>1.2463651595014014</v>
      </c>
      <c r="P540" s="6">
        <f t="shared" si="124"/>
        <v>0.19927758730889755</v>
      </c>
      <c r="Q540" s="75">
        <v>80</v>
      </c>
      <c r="R540" s="76">
        <v>0</v>
      </c>
      <c r="S540" s="6">
        <f t="shared" si="117"/>
        <v>0</v>
      </c>
      <c r="T540" s="36" t="str">
        <f t="shared" si="120"/>
        <v>Desempenho Deficitário</v>
      </c>
      <c r="U540" s="6">
        <f t="shared" si="123"/>
        <v>0.91825333306001944</v>
      </c>
      <c r="V540" s="6">
        <f t="shared" si="123"/>
        <v>1.402047931898428</v>
      </c>
      <c r="W540" s="6">
        <f t="shared" si="123"/>
        <v>0.43445873422161085</v>
      </c>
      <c r="X540" s="6">
        <f t="shared" si="123"/>
        <v>0.43445873422161085</v>
      </c>
      <c r="Y540" s="6">
        <f t="shared" si="123"/>
        <v>0.48379459883840858</v>
      </c>
    </row>
    <row r="541" spans="1:25" x14ac:dyDescent="0.25">
      <c r="A541" s="7" t="s">
        <v>102</v>
      </c>
      <c r="B541" s="7" t="s">
        <v>169</v>
      </c>
      <c r="C541" s="74">
        <v>75</v>
      </c>
      <c r="D541" s="74">
        <v>0</v>
      </c>
      <c r="E541" s="71">
        <f t="shared" si="116"/>
        <v>0</v>
      </c>
      <c r="F541" s="65" t="str">
        <f t="shared" si="118"/>
        <v>Desempenho Deficitário</v>
      </c>
      <c r="G541" s="71">
        <f t="shared" si="122"/>
        <v>1.0016849877757958</v>
      </c>
      <c r="H541" s="71">
        <f t="shared" si="122"/>
        <v>1.521489991464148</v>
      </c>
      <c r="I541" s="71">
        <f t="shared" si="122"/>
        <v>0.48187998408744359</v>
      </c>
      <c r="J541" s="75">
        <v>500000</v>
      </c>
      <c r="K541" s="75">
        <v>7602.84</v>
      </c>
      <c r="L541" s="6">
        <f>(SUM(K530:K541))/J540</f>
        <v>0.51773308000000007</v>
      </c>
      <c r="M541" s="36" t="str">
        <f t="shared" si="119"/>
        <v>Desempenho Médio</v>
      </c>
      <c r="N541" s="6">
        <f t="shared" si="124"/>
        <v>0.82421983567812696</v>
      </c>
      <c r="O541" s="6">
        <f t="shared" si="124"/>
        <v>1.3730394926064369</v>
      </c>
      <c r="P541" s="6">
        <f t="shared" si="124"/>
        <v>0.27540017874981693</v>
      </c>
      <c r="Q541" s="75">
        <v>80</v>
      </c>
      <c r="R541" s="76">
        <v>0</v>
      </c>
      <c r="S541" s="6">
        <f t="shared" si="117"/>
        <v>0</v>
      </c>
      <c r="T541" s="36" t="str">
        <f t="shared" si="120"/>
        <v>Desempenho Deficitário</v>
      </c>
      <c r="U541" s="6">
        <f t="shared" si="123"/>
        <v>0.91825333306001944</v>
      </c>
      <c r="V541" s="6">
        <f t="shared" si="123"/>
        <v>1.402047931898428</v>
      </c>
      <c r="W541" s="6">
        <f t="shared" si="123"/>
        <v>0.43445873422161085</v>
      </c>
      <c r="X541" s="6">
        <f t="shared" si="123"/>
        <v>0.43445873422161085</v>
      </c>
      <c r="Y541" s="6">
        <f t="shared" si="123"/>
        <v>0.48379459883840858</v>
      </c>
    </row>
    <row r="542" spans="1:25" x14ac:dyDescent="0.25">
      <c r="A542" s="7" t="s">
        <v>113</v>
      </c>
      <c r="B542" s="7" t="s">
        <v>158</v>
      </c>
      <c r="C542" s="74">
        <v>75</v>
      </c>
      <c r="D542" s="74">
        <v>0</v>
      </c>
      <c r="E542" s="71">
        <f t="shared" si="116"/>
        <v>0</v>
      </c>
      <c r="F542" s="65" t="str">
        <f t="shared" si="118"/>
        <v>Desempenho Médio</v>
      </c>
      <c r="G542" s="71">
        <f t="shared" si="122"/>
        <v>0.11573204891712785</v>
      </c>
      <c r="H542" s="71">
        <f t="shared" si="122"/>
        <v>0.30218524997148988</v>
      </c>
      <c r="I542" s="71">
        <f t="shared" si="122"/>
        <v>-7.0721152137234206E-2</v>
      </c>
      <c r="J542" s="75">
        <v>12500</v>
      </c>
      <c r="K542" s="75">
        <v>0</v>
      </c>
      <c r="L542" s="6">
        <f>K542/J542</f>
        <v>0</v>
      </c>
      <c r="M542" s="36" t="str">
        <f t="shared" si="119"/>
        <v>Desempenho Médio</v>
      </c>
      <c r="N542" s="6">
        <f t="shared" si="124"/>
        <v>0.11129468122233216</v>
      </c>
      <c r="O542" s="6">
        <f t="shared" si="124"/>
        <v>0.54990456699293522</v>
      </c>
      <c r="P542" s="6">
        <f t="shared" si="124"/>
        <v>-0.32731520454827095</v>
      </c>
      <c r="Q542" s="75">
        <v>80</v>
      </c>
      <c r="R542" s="76">
        <v>0</v>
      </c>
      <c r="S542" s="6">
        <f t="shared" si="117"/>
        <v>0</v>
      </c>
      <c r="T542" s="36" t="str">
        <f t="shared" si="120"/>
        <v>Desempenho Médio</v>
      </c>
      <c r="U542" s="6">
        <f t="shared" si="123"/>
        <v>6.5053670194766225E-2</v>
      </c>
      <c r="V542" s="6">
        <f t="shared" si="123"/>
        <v>0.16010348962314203</v>
      </c>
      <c r="W542" s="6">
        <f t="shared" si="123"/>
        <v>-2.9996149233609562E-2</v>
      </c>
      <c r="X542" s="6">
        <f t="shared" si="123"/>
        <v>1.7528760480578331E-2</v>
      </c>
      <c r="Y542" s="6">
        <f t="shared" si="123"/>
        <v>9.5049819428375787E-2</v>
      </c>
    </row>
    <row r="543" spans="1:25" x14ac:dyDescent="0.25">
      <c r="A543" s="7" t="s">
        <v>113</v>
      </c>
      <c r="B543" s="7" t="s">
        <v>159</v>
      </c>
      <c r="C543" s="74">
        <v>75</v>
      </c>
      <c r="D543" s="74">
        <v>0</v>
      </c>
      <c r="E543" s="71">
        <f t="shared" si="116"/>
        <v>0</v>
      </c>
      <c r="F543" s="65" t="str">
        <f t="shared" si="118"/>
        <v>Desempenho Médio</v>
      </c>
      <c r="G543" s="71">
        <f t="shared" si="122"/>
        <v>0.22598075676513599</v>
      </c>
      <c r="H543" s="71">
        <f t="shared" si="122"/>
        <v>0.51894873552035481</v>
      </c>
      <c r="I543" s="71">
        <f t="shared" si="122"/>
        <v>-6.6987221990082807E-2</v>
      </c>
      <c r="J543" s="75">
        <v>12500</v>
      </c>
      <c r="K543" s="75">
        <v>0</v>
      </c>
      <c r="L543" s="6">
        <f>(SUM(K542:K543))/J542</f>
        <v>0</v>
      </c>
      <c r="M543" s="36" t="str">
        <f t="shared" si="119"/>
        <v>Desempenho Médio</v>
      </c>
      <c r="N543" s="6">
        <f t="shared" si="124"/>
        <v>0.14992070801509372</v>
      </c>
      <c r="O543" s="6">
        <f t="shared" si="124"/>
        <v>0.58968599072326611</v>
      </c>
      <c r="P543" s="6">
        <f t="shared" si="124"/>
        <v>-0.28984457469307867</v>
      </c>
      <c r="Q543" s="75">
        <v>80</v>
      </c>
      <c r="R543" s="76">
        <v>0</v>
      </c>
      <c r="S543" s="6">
        <f t="shared" si="117"/>
        <v>0</v>
      </c>
      <c r="T543" s="36" t="str">
        <f t="shared" si="120"/>
        <v>Desempenho Médio</v>
      </c>
      <c r="U543" s="6">
        <f t="shared" ref="U543:Y558" si="125">U531</f>
        <v>6.5053670194766225E-2</v>
      </c>
      <c r="V543" s="6">
        <f t="shared" si="125"/>
        <v>0.16010348962314203</v>
      </c>
      <c r="W543" s="6">
        <f t="shared" si="125"/>
        <v>-2.9996149233609562E-2</v>
      </c>
      <c r="X543" s="6">
        <f t="shared" si="125"/>
        <v>1.7528760480578331E-2</v>
      </c>
      <c r="Y543" s="6">
        <f t="shared" si="125"/>
        <v>9.5049819428375787E-2</v>
      </c>
    </row>
    <row r="544" spans="1:25" x14ac:dyDescent="0.25">
      <c r="A544" s="7" t="s">
        <v>113</v>
      </c>
      <c r="B544" s="7" t="s">
        <v>160</v>
      </c>
      <c r="C544" s="74">
        <v>75</v>
      </c>
      <c r="D544" s="74">
        <v>8</v>
      </c>
      <c r="E544" s="71">
        <f t="shared" si="116"/>
        <v>0.10666666666666667</v>
      </c>
      <c r="F544" s="65" t="str">
        <f t="shared" si="118"/>
        <v>Desempenho Médio</v>
      </c>
      <c r="G544" s="71">
        <f t="shared" si="122"/>
        <v>0.2827891266215985</v>
      </c>
      <c r="H544" s="71">
        <f t="shared" si="122"/>
        <v>0.59134445337262298</v>
      </c>
      <c r="I544" s="71">
        <f t="shared" si="122"/>
        <v>-2.5766200129425987E-2</v>
      </c>
      <c r="J544" s="75">
        <v>12500</v>
      </c>
      <c r="K544" s="75">
        <v>320.10000000000002</v>
      </c>
      <c r="L544" s="6">
        <f>(SUM(K542:K544))/J543</f>
        <v>2.5608000000000002E-2</v>
      </c>
      <c r="M544" s="36" t="str">
        <f t="shared" si="119"/>
        <v>Desempenho Médio</v>
      </c>
      <c r="N544" s="6">
        <f t="shared" si="124"/>
        <v>0.17723994755342617</v>
      </c>
      <c r="O544" s="6">
        <f t="shared" si="124"/>
        <v>0.61473682715667155</v>
      </c>
      <c r="P544" s="6">
        <f t="shared" si="124"/>
        <v>-0.26025693204981915</v>
      </c>
      <c r="Q544" s="75">
        <v>80</v>
      </c>
      <c r="R544" s="76">
        <v>4</v>
      </c>
      <c r="S544" s="6">
        <f t="shared" si="117"/>
        <v>0.05</v>
      </c>
      <c r="T544" s="36" t="str">
        <f t="shared" si="120"/>
        <v>Desempenho Médio</v>
      </c>
      <c r="U544" s="6">
        <f t="shared" si="125"/>
        <v>0.18401218302179842</v>
      </c>
      <c r="V544" s="6">
        <f t="shared" si="125"/>
        <v>0.37883088095577799</v>
      </c>
      <c r="W544" s="6">
        <f t="shared" si="125"/>
        <v>-1.0806514912181153E-2</v>
      </c>
      <c r="X544" s="6">
        <f t="shared" si="125"/>
        <v>8.6602834054808633E-2</v>
      </c>
      <c r="Y544" s="6">
        <f t="shared" si="125"/>
        <v>0.19481869793397957</v>
      </c>
    </row>
    <row r="545" spans="1:25" x14ac:dyDescent="0.25">
      <c r="A545" s="7" t="s">
        <v>113</v>
      </c>
      <c r="B545" s="7" t="s">
        <v>161</v>
      </c>
      <c r="C545" s="74">
        <v>75</v>
      </c>
      <c r="D545" s="74">
        <v>17</v>
      </c>
      <c r="E545" s="71">
        <f t="shared" si="116"/>
        <v>0.22666666666666666</v>
      </c>
      <c r="F545" s="65" t="str">
        <f t="shared" si="118"/>
        <v>Desempenho Médio</v>
      </c>
      <c r="G545" s="71">
        <f t="shared" si="122"/>
        <v>0.36222496935690102</v>
      </c>
      <c r="H545" s="71">
        <f t="shared" si="122"/>
        <v>0.67917151968337719</v>
      </c>
      <c r="I545" s="71">
        <f t="shared" si="122"/>
        <v>4.5278419030424844E-2</v>
      </c>
      <c r="J545" s="75">
        <v>12500</v>
      </c>
      <c r="K545" s="75">
        <v>2294.8000000000002</v>
      </c>
      <c r="L545" s="6">
        <f>(SUM(K542:K545))/J544</f>
        <v>0.20919200000000002</v>
      </c>
      <c r="M545" s="36" t="str">
        <f t="shared" si="119"/>
        <v>Desempenho Médio</v>
      </c>
      <c r="N545" s="6">
        <f t="shared" si="124"/>
        <v>0.2271654986777647</v>
      </c>
      <c r="O545" s="6">
        <f t="shared" si="124"/>
        <v>0.71582389712396544</v>
      </c>
      <c r="P545" s="6">
        <f t="shared" si="124"/>
        <v>-0.26149289976843598</v>
      </c>
      <c r="Q545" s="75">
        <v>80</v>
      </c>
      <c r="R545" s="76">
        <v>4</v>
      </c>
      <c r="S545" s="6">
        <f t="shared" si="117"/>
        <v>0.05</v>
      </c>
      <c r="T545" s="36" t="str">
        <f t="shared" si="120"/>
        <v>Desempenho Médio</v>
      </c>
      <c r="U545" s="6">
        <f t="shared" si="125"/>
        <v>0.18401218302179842</v>
      </c>
      <c r="V545" s="6">
        <f t="shared" si="125"/>
        <v>0.37883088095577799</v>
      </c>
      <c r="W545" s="6">
        <f t="shared" si="125"/>
        <v>-1.0806514912181153E-2</v>
      </c>
      <c r="X545" s="6">
        <f t="shared" si="125"/>
        <v>8.6602834054808633E-2</v>
      </c>
      <c r="Y545" s="6">
        <f t="shared" si="125"/>
        <v>0.19481869793397957</v>
      </c>
    </row>
    <row r="546" spans="1:25" x14ac:dyDescent="0.25">
      <c r="A546" s="7" t="s">
        <v>113</v>
      </c>
      <c r="B546" s="7" t="s">
        <v>162</v>
      </c>
      <c r="C546" s="74">
        <v>75</v>
      </c>
      <c r="D546" s="74">
        <v>28</v>
      </c>
      <c r="E546" s="71">
        <f t="shared" si="116"/>
        <v>0.37333333333333335</v>
      </c>
      <c r="F546" s="65" t="str">
        <f t="shared" si="118"/>
        <v>Desempenho Médio</v>
      </c>
      <c r="G546" s="71">
        <f t="shared" si="122"/>
        <v>0.44825178806664662</v>
      </c>
      <c r="H546" s="71">
        <f t="shared" si="122"/>
        <v>0.78548221403733831</v>
      </c>
      <c r="I546" s="71">
        <f t="shared" si="122"/>
        <v>0.11102136209595498</v>
      </c>
      <c r="J546" s="75">
        <v>12500</v>
      </c>
      <c r="K546" s="75">
        <v>2400</v>
      </c>
      <c r="L546" s="6">
        <f>(SUM(K542:K546))/J545</f>
        <v>0.40119199999999999</v>
      </c>
      <c r="M546" s="36" t="str">
        <f t="shared" si="119"/>
        <v>Desempenho Bom</v>
      </c>
      <c r="N546" s="6">
        <f t="shared" si="124"/>
        <v>0.27284258705105507</v>
      </c>
      <c r="O546" s="6">
        <f t="shared" si="124"/>
        <v>0.75981161093062477</v>
      </c>
      <c r="P546" s="6">
        <f t="shared" si="124"/>
        <v>-0.21412643682851468</v>
      </c>
      <c r="Q546" s="75">
        <v>80</v>
      </c>
      <c r="R546" s="76">
        <v>4</v>
      </c>
      <c r="S546" s="6">
        <f t="shared" si="117"/>
        <v>0.05</v>
      </c>
      <c r="T546" s="36" t="str">
        <f t="shared" si="120"/>
        <v>Desempenho Médio</v>
      </c>
      <c r="U546" s="6">
        <f t="shared" si="125"/>
        <v>0.23278475191631845</v>
      </c>
      <c r="V546" s="6">
        <f t="shared" si="125"/>
        <v>0.51017789992422413</v>
      </c>
      <c r="W546" s="6">
        <f t="shared" si="125"/>
        <v>-4.460839609158726E-2</v>
      </c>
      <c r="X546" s="6">
        <f t="shared" si="125"/>
        <v>9.4088177912365595E-2</v>
      </c>
      <c r="Y546" s="6">
        <f t="shared" si="125"/>
        <v>0.27739314800790571</v>
      </c>
    </row>
    <row r="547" spans="1:25" x14ac:dyDescent="0.25">
      <c r="A547" s="7" t="s">
        <v>113</v>
      </c>
      <c r="B547" s="7" t="s">
        <v>163</v>
      </c>
      <c r="C547" s="74">
        <v>75</v>
      </c>
      <c r="D547" s="74">
        <v>28</v>
      </c>
      <c r="E547" s="71">
        <f t="shared" si="116"/>
        <v>0.37333333333333335</v>
      </c>
      <c r="F547" s="65" t="str">
        <f t="shared" si="118"/>
        <v>Desempenho Médio</v>
      </c>
      <c r="G547" s="71">
        <f t="shared" si="122"/>
        <v>0.54231176602906361</v>
      </c>
      <c r="H547" s="71">
        <f t="shared" si="122"/>
        <v>0.92735502699565786</v>
      </c>
      <c r="I547" s="71">
        <f t="shared" si="122"/>
        <v>0.15726850506246942</v>
      </c>
      <c r="J547" s="75">
        <v>12500</v>
      </c>
      <c r="K547" s="75">
        <v>550</v>
      </c>
      <c r="L547" s="6">
        <f>(SUM(K542:K547))/J546</f>
        <v>0.44519199999999998</v>
      </c>
      <c r="M547" s="36" t="str">
        <f t="shared" si="119"/>
        <v>Desempenho Bom</v>
      </c>
      <c r="N547" s="6">
        <f t="shared" si="124"/>
        <v>0.31451673641638933</v>
      </c>
      <c r="O547" s="6">
        <f t="shared" si="124"/>
        <v>0.80702132782766356</v>
      </c>
      <c r="P547" s="6">
        <f t="shared" si="124"/>
        <v>-0.1779878549948849</v>
      </c>
      <c r="Q547" s="75">
        <v>80</v>
      </c>
      <c r="R547" s="76">
        <v>4</v>
      </c>
      <c r="S547" s="6">
        <f t="shared" si="117"/>
        <v>0.05</v>
      </c>
      <c r="T547" s="36" t="str">
        <f t="shared" si="120"/>
        <v>Desempenho Deficitário</v>
      </c>
      <c r="U547" s="6">
        <f t="shared" si="125"/>
        <v>0.46105014853915682</v>
      </c>
      <c r="V547" s="6">
        <f t="shared" si="125"/>
        <v>0.84756736419379908</v>
      </c>
      <c r="W547" s="6">
        <f t="shared" si="125"/>
        <v>7.4532932884514569E-2</v>
      </c>
      <c r="X547" s="6">
        <f t="shared" si="125"/>
        <v>7.4532932884514569E-2</v>
      </c>
      <c r="Y547" s="6">
        <f t="shared" si="125"/>
        <v>0.38651721565464225</v>
      </c>
    </row>
    <row r="548" spans="1:25" x14ac:dyDescent="0.25">
      <c r="A548" s="7" t="s">
        <v>113</v>
      </c>
      <c r="B548" s="7" t="s">
        <v>164</v>
      </c>
      <c r="C548" s="74">
        <v>75</v>
      </c>
      <c r="D548" s="74">
        <v>28</v>
      </c>
      <c r="E548" s="71">
        <f t="shared" si="116"/>
        <v>0.37333333333333335</v>
      </c>
      <c r="F548" s="65" t="str">
        <f t="shared" si="118"/>
        <v>Desempenho Médio</v>
      </c>
      <c r="G548" s="71">
        <f t="shared" si="122"/>
        <v>0.63634637719050002</v>
      </c>
      <c r="H548" s="71">
        <f t="shared" si="122"/>
        <v>1.0512878703900039</v>
      </c>
      <c r="I548" s="71">
        <f t="shared" si="122"/>
        <v>0.22140488399099606</v>
      </c>
      <c r="J548" s="75">
        <v>12500</v>
      </c>
      <c r="K548" s="75">
        <v>0</v>
      </c>
      <c r="L548" s="6">
        <f>(SUM(K542:K548))/J547</f>
        <v>0.44519199999999998</v>
      </c>
      <c r="M548" s="36" t="str">
        <f t="shared" si="119"/>
        <v>Desempenho Bom</v>
      </c>
      <c r="N548" s="6">
        <f t="shared" si="124"/>
        <v>0.38334713342809434</v>
      </c>
      <c r="O548" s="6">
        <f t="shared" si="124"/>
        <v>0.88375935483946089</v>
      </c>
      <c r="P548" s="6">
        <f t="shared" si="124"/>
        <v>-0.1170650879832722</v>
      </c>
      <c r="Q548" s="75">
        <v>80</v>
      </c>
      <c r="R548" s="76">
        <v>4</v>
      </c>
      <c r="S548" s="6">
        <f t="shared" si="117"/>
        <v>0.05</v>
      </c>
      <c r="T548" s="36" t="str">
        <f t="shared" si="120"/>
        <v>Desempenho Deficitário</v>
      </c>
      <c r="U548" s="6">
        <f t="shared" si="125"/>
        <v>0.46105014853915682</v>
      </c>
      <c r="V548" s="6">
        <f t="shared" si="125"/>
        <v>0.84756736419379908</v>
      </c>
      <c r="W548" s="6">
        <f t="shared" si="125"/>
        <v>7.4532932884514569E-2</v>
      </c>
      <c r="X548" s="6">
        <f t="shared" si="125"/>
        <v>7.4532932884514569E-2</v>
      </c>
      <c r="Y548" s="6">
        <f t="shared" si="125"/>
        <v>0.38651721565464225</v>
      </c>
    </row>
    <row r="549" spans="1:25" x14ac:dyDescent="0.25">
      <c r="A549" s="7" t="s">
        <v>113</v>
      </c>
      <c r="B549" s="7" t="s">
        <v>165</v>
      </c>
      <c r="C549" s="74">
        <v>75</v>
      </c>
      <c r="D549" s="74">
        <v>42</v>
      </c>
      <c r="E549" s="71">
        <f t="shared" si="116"/>
        <v>0.56000000000000005</v>
      </c>
      <c r="F549" s="65" t="str">
        <f t="shared" si="118"/>
        <v>Desempenho Médio</v>
      </c>
      <c r="G549" s="71">
        <f t="shared" si="122"/>
        <v>0.70660866675940681</v>
      </c>
      <c r="H549" s="71">
        <f t="shared" si="122"/>
        <v>1.1341225514190425</v>
      </c>
      <c r="I549" s="71">
        <f t="shared" si="122"/>
        <v>0.27909478209977112</v>
      </c>
      <c r="J549" s="75">
        <v>12500</v>
      </c>
      <c r="K549" s="75">
        <v>425</v>
      </c>
      <c r="L549" s="6">
        <f>(SUM(K542:K549))/J548</f>
        <v>0.47919199999999995</v>
      </c>
      <c r="M549" s="36" t="str">
        <f t="shared" si="119"/>
        <v>Desempenho Bom</v>
      </c>
      <c r="N549" s="6">
        <f t="shared" si="124"/>
        <v>0.45719521320533213</v>
      </c>
      <c r="O549" s="6">
        <f t="shared" si="124"/>
        <v>0.97356755068321044</v>
      </c>
      <c r="P549" s="6">
        <f t="shared" si="124"/>
        <v>-5.9177124272546122E-2</v>
      </c>
      <c r="Q549" s="75">
        <v>80</v>
      </c>
      <c r="R549" s="76">
        <v>4</v>
      </c>
      <c r="S549" s="6">
        <f t="shared" si="117"/>
        <v>0.05</v>
      </c>
      <c r="T549" s="36" t="str">
        <f t="shared" si="120"/>
        <v>Desempenho Deficitário</v>
      </c>
      <c r="U549" s="6">
        <f t="shared" si="125"/>
        <v>0.46105014853915682</v>
      </c>
      <c r="V549" s="6">
        <f t="shared" si="125"/>
        <v>0.84756736419379908</v>
      </c>
      <c r="W549" s="6">
        <f t="shared" si="125"/>
        <v>7.4532932884514569E-2</v>
      </c>
      <c r="X549" s="6">
        <f t="shared" si="125"/>
        <v>7.4532932884514569E-2</v>
      </c>
      <c r="Y549" s="6">
        <f t="shared" si="125"/>
        <v>0.38651721565464225</v>
      </c>
    </row>
    <row r="550" spans="1:25" x14ac:dyDescent="0.25">
      <c r="A550" s="7" t="s">
        <v>113</v>
      </c>
      <c r="B550" s="7" t="s">
        <v>166</v>
      </c>
      <c r="C550" s="74">
        <v>75</v>
      </c>
      <c r="D550" s="74">
        <v>42</v>
      </c>
      <c r="E550" s="71">
        <f t="shared" si="116"/>
        <v>0.56000000000000005</v>
      </c>
      <c r="F550" s="65" t="str">
        <f t="shared" si="118"/>
        <v>Desempenho Médio</v>
      </c>
      <c r="G550" s="71">
        <f t="shared" si="122"/>
        <v>0.73663014244586189</v>
      </c>
      <c r="H550" s="71">
        <f t="shared" si="122"/>
        <v>1.1737360935948695</v>
      </c>
      <c r="I550" s="71">
        <f t="shared" si="122"/>
        <v>0.29952419129685426</v>
      </c>
      <c r="J550" s="75">
        <v>12500</v>
      </c>
      <c r="K550" s="75">
        <v>0</v>
      </c>
      <c r="L550" s="6">
        <f>(SUM(K542:K550))/J549</f>
        <v>0.47919199999999995</v>
      </c>
      <c r="M550" s="36" t="str">
        <f t="shared" si="119"/>
        <v>Desempenho Médio</v>
      </c>
      <c r="N550" s="6">
        <f t="shared" ref="N550:P565" si="126">N538</f>
        <v>0.50336729135060976</v>
      </c>
      <c r="O550" s="6">
        <f t="shared" si="126"/>
        <v>1.0150591886201059</v>
      </c>
      <c r="P550" s="6">
        <f t="shared" si="126"/>
        <v>-8.3246059188863963E-3</v>
      </c>
      <c r="Q550" s="75">
        <v>80</v>
      </c>
      <c r="R550" s="76">
        <v>25</v>
      </c>
      <c r="S550" s="6">
        <f t="shared" si="117"/>
        <v>0.3125</v>
      </c>
      <c r="T550" s="36" t="str">
        <f t="shared" si="120"/>
        <v>Desempenho Deficitário</v>
      </c>
      <c r="U550" s="6">
        <f t="shared" si="125"/>
        <v>0.74232771533595698</v>
      </c>
      <c r="V550" s="6">
        <f t="shared" si="125"/>
        <v>1.1540802341555996</v>
      </c>
      <c r="W550" s="6">
        <f t="shared" si="125"/>
        <v>0.33057519651631434</v>
      </c>
      <c r="X550" s="6">
        <f t="shared" si="125"/>
        <v>0.33057519651631434</v>
      </c>
      <c r="Y550" s="6">
        <f t="shared" si="125"/>
        <v>0.41175251881964264</v>
      </c>
    </row>
    <row r="551" spans="1:25" x14ac:dyDescent="0.25">
      <c r="A551" s="7" t="s">
        <v>113</v>
      </c>
      <c r="B551" s="7" t="s">
        <v>167</v>
      </c>
      <c r="C551" s="74">
        <v>75</v>
      </c>
      <c r="D551" s="74">
        <v>57</v>
      </c>
      <c r="E551" s="71">
        <f t="shared" si="116"/>
        <v>0.76</v>
      </c>
      <c r="F551" s="65" t="str">
        <f t="shared" si="118"/>
        <v>Desempenho Médio</v>
      </c>
      <c r="G551" s="71">
        <f t="shared" si="122"/>
        <v>0.82061442726694189</v>
      </c>
      <c r="H551" s="71">
        <f t="shared" si="122"/>
        <v>1.2607833515834532</v>
      </c>
      <c r="I551" s="71">
        <f t="shared" si="122"/>
        <v>0.38044550295043061</v>
      </c>
      <c r="J551" s="75">
        <v>12500</v>
      </c>
      <c r="K551" s="75">
        <v>340</v>
      </c>
      <c r="L551" s="6">
        <f>(SUM(K542:K551))/J550</f>
        <v>0.50639199999999995</v>
      </c>
      <c r="M551" s="36" t="str">
        <f t="shared" si="119"/>
        <v>Desempenho Médio</v>
      </c>
      <c r="N551" s="6">
        <f t="shared" si="126"/>
        <v>0.58006775555216661</v>
      </c>
      <c r="O551" s="6">
        <f t="shared" si="126"/>
        <v>1.099948635873619</v>
      </c>
      <c r="P551" s="6">
        <f t="shared" si="126"/>
        <v>6.0186875230714088E-2</v>
      </c>
      <c r="Q551" s="75">
        <v>80</v>
      </c>
      <c r="R551" s="76">
        <v>33</v>
      </c>
      <c r="S551" s="6">
        <f t="shared" si="117"/>
        <v>0.41249999999999998</v>
      </c>
      <c r="T551" s="36" t="str">
        <f t="shared" si="120"/>
        <v>Desempenho Médio</v>
      </c>
      <c r="U551" s="6">
        <f t="shared" si="125"/>
        <v>0.82347447721763523</v>
      </c>
      <c r="V551" s="6">
        <f t="shared" si="125"/>
        <v>1.2398542522675045</v>
      </c>
      <c r="W551" s="6">
        <f t="shared" si="125"/>
        <v>0.40709470216776611</v>
      </c>
      <c r="X551" s="6">
        <f t="shared" si="125"/>
        <v>0.40709470216776611</v>
      </c>
      <c r="Y551" s="6">
        <f t="shared" si="125"/>
        <v>0.41637977504986912</v>
      </c>
    </row>
    <row r="552" spans="1:25" x14ac:dyDescent="0.25">
      <c r="A552" s="7" t="s">
        <v>113</v>
      </c>
      <c r="B552" s="7" t="s">
        <v>168</v>
      </c>
      <c r="C552" s="74">
        <v>75</v>
      </c>
      <c r="D552" s="74">
        <v>57</v>
      </c>
      <c r="E552" s="71">
        <f t="shared" si="116"/>
        <v>0.76</v>
      </c>
      <c r="F552" s="65" t="str">
        <f t="shared" si="118"/>
        <v>Desempenho Médio</v>
      </c>
      <c r="G552" s="71">
        <f t="shared" si="122"/>
        <v>0.94582556715526966</v>
      </c>
      <c r="H552" s="71">
        <f t="shared" si="122"/>
        <v>1.4311117173682604</v>
      </c>
      <c r="I552" s="71">
        <f t="shared" si="122"/>
        <v>0.46053941694227907</v>
      </c>
      <c r="J552" s="75">
        <v>12500</v>
      </c>
      <c r="K552" s="75">
        <v>2400</v>
      </c>
      <c r="L552" s="6">
        <f>(SUM(K542:K552))/J551</f>
        <v>0.69839200000000001</v>
      </c>
      <c r="M552" s="36" t="str">
        <f t="shared" si="119"/>
        <v>Desempenho Médio</v>
      </c>
      <c r="N552" s="6">
        <f t="shared" si="126"/>
        <v>0.72282137340514951</v>
      </c>
      <c r="O552" s="6">
        <f t="shared" si="126"/>
        <v>1.2463651595014014</v>
      </c>
      <c r="P552" s="6">
        <f t="shared" si="126"/>
        <v>0.19927758730889755</v>
      </c>
      <c r="Q552" s="75">
        <v>80</v>
      </c>
      <c r="R552" s="76">
        <v>33</v>
      </c>
      <c r="S552" s="6">
        <f t="shared" si="117"/>
        <v>0.41249999999999998</v>
      </c>
      <c r="T552" s="36" t="str">
        <f t="shared" si="120"/>
        <v>Desempenho Deficitário</v>
      </c>
      <c r="U552" s="6">
        <f t="shared" si="125"/>
        <v>0.91825333306001944</v>
      </c>
      <c r="V552" s="6">
        <f t="shared" si="125"/>
        <v>1.402047931898428</v>
      </c>
      <c r="W552" s="6">
        <f t="shared" si="125"/>
        <v>0.43445873422161085</v>
      </c>
      <c r="X552" s="6">
        <f t="shared" si="125"/>
        <v>0.43445873422161085</v>
      </c>
      <c r="Y552" s="6">
        <f t="shared" si="125"/>
        <v>0.48379459883840858</v>
      </c>
    </row>
    <row r="553" spans="1:25" x14ac:dyDescent="0.25">
      <c r="A553" s="7" t="s">
        <v>113</v>
      </c>
      <c r="B553" s="7" t="s">
        <v>169</v>
      </c>
      <c r="C553" s="74">
        <v>75</v>
      </c>
      <c r="D553" s="74">
        <v>57</v>
      </c>
      <c r="E553" s="71">
        <f t="shared" si="116"/>
        <v>0.76</v>
      </c>
      <c r="F553" s="65" t="str">
        <f t="shared" si="118"/>
        <v>Desempenho Médio</v>
      </c>
      <c r="G553" s="71">
        <f t="shared" si="122"/>
        <v>1.0016849877757958</v>
      </c>
      <c r="H553" s="71">
        <f t="shared" si="122"/>
        <v>1.521489991464148</v>
      </c>
      <c r="I553" s="71">
        <f t="shared" si="122"/>
        <v>0.48187998408744359</v>
      </c>
      <c r="J553" s="75">
        <v>12500</v>
      </c>
      <c r="K553" s="75">
        <v>0</v>
      </c>
      <c r="L553" s="6">
        <f>(SUM(K542:K553))/J552</f>
        <v>0.69839200000000001</v>
      </c>
      <c r="M553" s="36" t="str">
        <f t="shared" si="119"/>
        <v>Desempenho Médio</v>
      </c>
      <c r="N553" s="6">
        <f t="shared" si="126"/>
        <v>0.82421983567812696</v>
      </c>
      <c r="O553" s="6">
        <f t="shared" si="126"/>
        <v>1.3730394926064369</v>
      </c>
      <c r="P553" s="6">
        <f t="shared" si="126"/>
        <v>0.27540017874981693</v>
      </c>
      <c r="Q553" s="75">
        <v>80</v>
      </c>
      <c r="R553" s="76">
        <v>33</v>
      </c>
      <c r="S553" s="6">
        <f t="shared" si="117"/>
        <v>0.41249999999999998</v>
      </c>
      <c r="T553" s="36" t="str">
        <f t="shared" si="120"/>
        <v>Desempenho Deficitário</v>
      </c>
      <c r="U553" s="6">
        <f t="shared" si="125"/>
        <v>0.91825333306001944</v>
      </c>
      <c r="V553" s="6">
        <f t="shared" si="125"/>
        <v>1.402047931898428</v>
      </c>
      <c r="W553" s="6">
        <f t="shared" si="125"/>
        <v>0.43445873422161085</v>
      </c>
      <c r="X553" s="6">
        <f t="shared" si="125"/>
        <v>0.43445873422161085</v>
      </c>
      <c r="Y553" s="6">
        <f t="shared" si="125"/>
        <v>0.48379459883840858</v>
      </c>
    </row>
    <row r="554" spans="1:25" x14ac:dyDescent="0.25">
      <c r="A554" s="7" t="s">
        <v>100</v>
      </c>
      <c r="B554" s="7" t="s">
        <v>158</v>
      </c>
      <c r="C554" s="74">
        <v>73</v>
      </c>
      <c r="D554" s="74">
        <v>0</v>
      </c>
      <c r="E554" s="71">
        <f t="shared" si="116"/>
        <v>0</v>
      </c>
      <c r="F554" s="65" t="str">
        <f t="shared" si="118"/>
        <v>Desempenho Médio</v>
      </c>
      <c r="G554" s="71">
        <f t="shared" si="122"/>
        <v>0.11573204891712785</v>
      </c>
      <c r="H554" s="71">
        <f t="shared" si="122"/>
        <v>0.30218524997148988</v>
      </c>
      <c r="I554" s="71">
        <f t="shared" si="122"/>
        <v>-7.0721152137234206E-2</v>
      </c>
      <c r="J554" s="75">
        <v>33314.28</v>
      </c>
      <c r="K554" s="75">
        <v>0</v>
      </c>
      <c r="L554" s="6">
        <f>K554/J554</f>
        <v>0</v>
      </c>
      <c r="M554" s="36" t="str">
        <f t="shared" si="119"/>
        <v>Desempenho Médio</v>
      </c>
      <c r="N554" s="6">
        <f t="shared" si="126"/>
        <v>0.11129468122233216</v>
      </c>
      <c r="O554" s="6">
        <f t="shared" si="126"/>
        <v>0.54990456699293522</v>
      </c>
      <c r="P554" s="6">
        <f t="shared" si="126"/>
        <v>-0.32731520454827095</v>
      </c>
      <c r="Q554" s="75">
        <v>75</v>
      </c>
      <c r="R554" s="76">
        <v>10</v>
      </c>
      <c r="S554" s="6">
        <f t="shared" si="117"/>
        <v>0.13333333333333333</v>
      </c>
      <c r="T554" s="36" t="str">
        <f t="shared" si="120"/>
        <v>Desempenho Bom</v>
      </c>
      <c r="U554" s="6">
        <f t="shared" si="125"/>
        <v>6.5053670194766225E-2</v>
      </c>
      <c r="V554" s="6">
        <f t="shared" si="125"/>
        <v>0.16010348962314203</v>
      </c>
      <c r="W554" s="6">
        <f t="shared" si="125"/>
        <v>-2.9996149233609562E-2</v>
      </c>
      <c r="X554" s="6">
        <f t="shared" si="125"/>
        <v>1.7528760480578331E-2</v>
      </c>
      <c r="Y554" s="6">
        <f t="shared" si="125"/>
        <v>9.5049819428375787E-2</v>
      </c>
    </row>
    <row r="555" spans="1:25" x14ac:dyDescent="0.25">
      <c r="A555" s="7" t="s">
        <v>100</v>
      </c>
      <c r="B555" s="7" t="s">
        <v>159</v>
      </c>
      <c r="C555" s="74">
        <v>73</v>
      </c>
      <c r="D555" s="74">
        <v>6</v>
      </c>
      <c r="E555" s="71">
        <f t="shared" si="116"/>
        <v>8.2191780821917804E-2</v>
      </c>
      <c r="F555" s="65" t="str">
        <f t="shared" si="118"/>
        <v>Desempenho Médio</v>
      </c>
      <c r="G555" s="71">
        <f t="shared" si="122"/>
        <v>0.22598075676513599</v>
      </c>
      <c r="H555" s="71">
        <f t="shared" si="122"/>
        <v>0.51894873552035481</v>
      </c>
      <c r="I555" s="71">
        <f t="shared" si="122"/>
        <v>-6.6987221990082807E-2</v>
      </c>
      <c r="J555" s="75">
        <v>33314.28</v>
      </c>
      <c r="K555" s="75">
        <v>651.78</v>
      </c>
      <c r="L555" s="6">
        <f>(SUM(K554:K555))/J554</f>
        <v>1.9564583115708939E-2</v>
      </c>
      <c r="M555" s="36" t="str">
        <f t="shared" si="119"/>
        <v>Desempenho Médio</v>
      </c>
      <c r="N555" s="6">
        <f t="shared" si="126"/>
        <v>0.14992070801509372</v>
      </c>
      <c r="O555" s="6">
        <f t="shared" si="126"/>
        <v>0.58968599072326611</v>
      </c>
      <c r="P555" s="6">
        <f t="shared" si="126"/>
        <v>-0.28984457469307867</v>
      </c>
      <c r="Q555" s="75">
        <v>75</v>
      </c>
      <c r="R555" s="76">
        <v>10</v>
      </c>
      <c r="S555" s="6">
        <f t="shared" si="117"/>
        <v>0.13333333333333333</v>
      </c>
      <c r="T555" s="36" t="str">
        <f t="shared" si="120"/>
        <v>Desempenho Bom</v>
      </c>
      <c r="U555" s="6">
        <f t="shared" si="125"/>
        <v>6.5053670194766225E-2</v>
      </c>
      <c r="V555" s="6">
        <f t="shared" si="125"/>
        <v>0.16010348962314203</v>
      </c>
      <c r="W555" s="6">
        <f t="shared" si="125"/>
        <v>-2.9996149233609562E-2</v>
      </c>
      <c r="X555" s="6">
        <f t="shared" si="125"/>
        <v>1.7528760480578331E-2</v>
      </c>
      <c r="Y555" s="6">
        <f t="shared" si="125"/>
        <v>9.5049819428375787E-2</v>
      </c>
    </row>
    <row r="556" spans="1:25" x14ac:dyDescent="0.25">
      <c r="A556" s="7" t="s">
        <v>100</v>
      </c>
      <c r="B556" s="7" t="s">
        <v>160</v>
      </c>
      <c r="C556" s="74">
        <v>73</v>
      </c>
      <c r="D556" s="74">
        <v>16</v>
      </c>
      <c r="E556" s="71">
        <f t="shared" si="116"/>
        <v>0.21917808219178081</v>
      </c>
      <c r="F556" s="65" t="str">
        <f t="shared" si="118"/>
        <v>Desempenho Médio</v>
      </c>
      <c r="G556" s="71">
        <f t="shared" si="122"/>
        <v>0.2827891266215985</v>
      </c>
      <c r="H556" s="71">
        <f t="shared" si="122"/>
        <v>0.59134445337262298</v>
      </c>
      <c r="I556" s="71">
        <f t="shared" si="122"/>
        <v>-2.5766200129425987E-2</v>
      </c>
      <c r="J556" s="75">
        <v>33314.28</v>
      </c>
      <c r="K556" s="75">
        <v>1004</v>
      </c>
      <c r="L556" s="6">
        <f>(SUM(K554:K556))/J555</f>
        <v>4.970180955434126E-2</v>
      </c>
      <c r="M556" s="36" t="str">
        <f t="shared" si="119"/>
        <v>Desempenho Médio</v>
      </c>
      <c r="N556" s="6">
        <f t="shared" si="126"/>
        <v>0.17723994755342617</v>
      </c>
      <c r="O556" s="6">
        <f t="shared" si="126"/>
        <v>0.61473682715667155</v>
      </c>
      <c r="P556" s="6">
        <f t="shared" si="126"/>
        <v>-0.26025693204981915</v>
      </c>
      <c r="Q556" s="75">
        <v>75</v>
      </c>
      <c r="R556" s="76">
        <v>28</v>
      </c>
      <c r="S556" s="6">
        <f t="shared" si="117"/>
        <v>0.37333333333333335</v>
      </c>
      <c r="T556" s="36" t="str">
        <f t="shared" si="120"/>
        <v>Desempenho Bom</v>
      </c>
      <c r="U556" s="6">
        <f t="shared" si="125"/>
        <v>0.18401218302179842</v>
      </c>
      <c r="V556" s="6">
        <f t="shared" si="125"/>
        <v>0.37883088095577799</v>
      </c>
      <c r="W556" s="6">
        <f t="shared" si="125"/>
        <v>-1.0806514912181153E-2</v>
      </c>
      <c r="X556" s="6">
        <f t="shared" si="125"/>
        <v>8.6602834054808633E-2</v>
      </c>
      <c r="Y556" s="6">
        <f t="shared" si="125"/>
        <v>0.19481869793397957</v>
      </c>
    </row>
    <row r="557" spans="1:25" x14ac:dyDescent="0.25">
      <c r="A557" s="7" t="s">
        <v>100</v>
      </c>
      <c r="B557" s="7" t="s">
        <v>161</v>
      </c>
      <c r="C557" s="74">
        <v>73</v>
      </c>
      <c r="D557" s="74">
        <v>32</v>
      </c>
      <c r="E557" s="71">
        <f t="shared" si="116"/>
        <v>0.43835616438356162</v>
      </c>
      <c r="F557" s="65" t="str">
        <f t="shared" si="118"/>
        <v>Desempenho Bom</v>
      </c>
      <c r="G557" s="71">
        <f t="shared" si="122"/>
        <v>0.36222496935690102</v>
      </c>
      <c r="H557" s="71">
        <f t="shared" si="122"/>
        <v>0.67917151968337719</v>
      </c>
      <c r="I557" s="71">
        <f t="shared" si="122"/>
        <v>4.5278419030424844E-2</v>
      </c>
      <c r="J557" s="75">
        <v>33314.28</v>
      </c>
      <c r="K557" s="75">
        <v>2938.45</v>
      </c>
      <c r="L557" s="6">
        <f>(SUM(K554:K557))/J556</f>
        <v>0.13790572691350375</v>
      </c>
      <c r="M557" s="36" t="str">
        <f t="shared" si="119"/>
        <v>Desempenho Médio</v>
      </c>
      <c r="N557" s="6">
        <f t="shared" si="126"/>
        <v>0.2271654986777647</v>
      </c>
      <c r="O557" s="6">
        <f t="shared" si="126"/>
        <v>0.71582389712396544</v>
      </c>
      <c r="P557" s="6">
        <f t="shared" si="126"/>
        <v>-0.26149289976843598</v>
      </c>
      <c r="Q557" s="75">
        <v>75</v>
      </c>
      <c r="R557" s="76">
        <v>28</v>
      </c>
      <c r="S557" s="6">
        <f t="shared" si="117"/>
        <v>0.37333333333333335</v>
      </c>
      <c r="T557" s="36" t="str">
        <f t="shared" si="120"/>
        <v>Desempenho Bom</v>
      </c>
      <c r="U557" s="6">
        <f t="shared" si="125"/>
        <v>0.18401218302179842</v>
      </c>
      <c r="V557" s="6">
        <f t="shared" si="125"/>
        <v>0.37883088095577799</v>
      </c>
      <c r="W557" s="6">
        <f t="shared" si="125"/>
        <v>-1.0806514912181153E-2</v>
      </c>
      <c r="X557" s="6">
        <f t="shared" si="125"/>
        <v>8.6602834054808633E-2</v>
      </c>
      <c r="Y557" s="6">
        <f t="shared" si="125"/>
        <v>0.19481869793397957</v>
      </c>
    </row>
    <row r="558" spans="1:25" x14ac:dyDescent="0.25">
      <c r="A558" s="7" t="s">
        <v>100</v>
      </c>
      <c r="B558" s="7" t="s">
        <v>162</v>
      </c>
      <c r="C558" s="74">
        <v>73</v>
      </c>
      <c r="D558" s="74">
        <v>32</v>
      </c>
      <c r="E558" s="71">
        <f t="shared" si="116"/>
        <v>0.43835616438356162</v>
      </c>
      <c r="F558" s="65" t="str">
        <f t="shared" si="118"/>
        <v>Desempenho Médio</v>
      </c>
      <c r="G558" s="71">
        <f t="shared" si="122"/>
        <v>0.44825178806664662</v>
      </c>
      <c r="H558" s="71">
        <f t="shared" si="122"/>
        <v>0.78548221403733831</v>
      </c>
      <c r="I558" s="71">
        <f t="shared" si="122"/>
        <v>0.11102136209595498</v>
      </c>
      <c r="J558" s="75">
        <v>33314.28</v>
      </c>
      <c r="K558" s="75">
        <v>0</v>
      </c>
      <c r="L558" s="6">
        <f>(SUM(K554:K558))/J557</f>
        <v>0.13790572691350375</v>
      </c>
      <c r="M558" s="36" t="str">
        <f t="shared" si="119"/>
        <v>Desempenho Médio</v>
      </c>
      <c r="N558" s="6">
        <f t="shared" si="126"/>
        <v>0.27284258705105507</v>
      </c>
      <c r="O558" s="6">
        <f t="shared" si="126"/>
        <v>0.75981161093062477</v>
      </c>
      <c r="P558" s="6">
        <f t="shared" si="126"/>
        <v>-0.21412643682851468</v>
      </c>
      <c r="Q558" s="75">
        <v>75</v>
      </c>
      <c r="R558" s="76">
        <v>28</v>
      </c>
      <c r="S558" s="6">
        <f t="shared" si="117"/>
        <v>0.37333333333333335</v>
      </c>
      <c r="T558" s="36" t="str">
        <f t="shared" si="120"/>
        <v>Desempenho Bom</v>
      </c>
      <c r="U558" s="6">
        <f t="shared" si="125"/>
        <v>0.23278475191631845</v>
      </c>
      <c r="V558" s="6">
        <f t="shared" si="125"/>
        <v>0.51017789992422413</v>
      </c>
      <c r="W558" s="6">
        <f t="shared" si="125"/>
        <v>-4.460839609158726E-2</v>
      </c>
      <c r="X558" s="6">
        <f t="shared" si="125"/>
        <v>9.4088177912365595E-2</v>
      </c>
      <c r="Y558" s="6">
        <f t="shared" si="125"/>
        <v>0.27739314800790571</v>
      </c>
    </row>
    <row r="559" spans="1:25" x14ac:dyDescent="0.25">
      <c r="A559" s="7" t="s">
        <v>100</v>
      </c>
      <c r="B559" s="7" t="s">
        <v>163</v>
      </c>
      <c r="C559" s="74">
        <v>73</v>
      </c>
      <c r="D559" s="74">
        <v>32</v>
      </c>
      <c r="E559" s="71">
        <f t="shared" si="116"/>
        <v>0.43835616438356162</v>
      </c>
      <c r="F559" s="65" t="str">
        <f t="shared" si="118"/>
        <v>Desempenho Médio</v>
      </c>
      <c r="G559" s="71">
        <f t="shared" si="122"/>
        <v>0.54231176602906361</v>
      </c>
      <c r="H559" s="71">
        <f t="shared" si="122"/>
        <v>0.92735502699565786</v>
      </c>
      <c r="I559" s="71">
        <f t="shared" si="122"/>
        <v>0.15726850506246942</v>
      </c>
      <c r="J559" s="75">
        <v>33314.28</v>
      </c>
      <c r="K559" s="75">
        <v>0</v>
      </c>
      <c r="L559" s="6">
        <f>(SUM(K554:K559))/J558</f>
        <v>0.13790572691350375</v>
      </c>
      <c r="M559" s="36" t="str">
        <f t="shared" si="119"/>
        <v>Desempenho Médio</v>
      </c>
      <c r="N559" s="6">
        <f t="shared" si="126"/>
        <v>0.31451673641638933</v>
      </c>
      <c r="O559" s="6">
        <f t="shared" si="126"/>
        <v>0.80702132782766356</v>
      </c>
      <c r="P559" s="6">
        <f t="shared" si="126"/>
        <v>-0.1779878549948849</v>
      </c>
      <c r="Q559" s="75">
        <v>75</v>
      </c>
      <c r="R559" s="76">
        <v>45</v>
      </c>
      <c r="S559" s="6">
        <f t="shared" si="117"/>
        <v>0.6</v>
      </c>
      <c r="T559" s="36" t="str">
        <f t="shared" si="120"/>
        <v>Desempenho Bom</v>
      </c>
      <c r="U559" s="6">
        <f t="shared" ref="U559:Y574" si="127">U547</f>
        <v>0.46105014853915682</v>
      </c>
      <c r="V559" s="6">
        <f t="shared" si="127"/>
        <v>0.84756736419379908</v>
      </c>
      <c r="W559" s="6">
        <f t="shared" si="127"/>
        <v>7.4532932884514569E-2</v>
      </c>
      <c r="X559" s="6">
        <f t="shared" si="127"/>
        <v>7.4532932884514569E-2</v>
      </c>
      <c r="Y559" s="6">
        <f t="shared" si="127"/>
        <v>0.38651721565464225</v>
      </c>
    </row>
    <row r="560" spans="1:25" x14ac:dyDescent="0.25">
      <c r="A560" s="7" t="s">
        <v>100</v>
      </c>
      <c r="B560" s="7" t="s">
        <v>164</v>
      </c>
      <c r="C560" s="74">
        <v>73</v>
      </c>
      <c r="D560" s="74">
        <v>55</v>
      </c>
      <c r="E560" s="71">
        <f t="shared" si="116"/>
        <v>0.75342465753424659</v>
      </c>
      <c r="F560" s="65" t="str">
        <f t="shared" si="118"/>
        <v>Desempenho Bom</v>
      </c>
      <c r="G560" s="71">
        <f t="shared" si="122"/>
        <v>0.63634637719050002</v>
      </c>
      <c r="H560" s="71">
        <f t="shared" si="122"/>
        <v>1.0512878703900039</v>
      </c>
      <c r="I560" s="71">
        <f t="shared" si="122"/>
        <v>0.22140488399099606</v>
      </c>
      <c r="J560" s="75">
        <v>33314.28</v>
      </c>
      <c r="K560" s="75">
        <v>20612.060000000001</v>
      </c>
      <c r="L560" s="6">
        <f>(SUM(K554:K560))/J559</f>
        <v>0.75662118466915695</v>
      </c>
      <c r="M560" s="36" t="str">
        <f t="shared" si="119"/>
        <v>Desempenho Bom</v>
      </c>
      <c r="N560" s="6">
        <f t="shared" si="126"/>
        <v>0.38334713342809434</v>
      </c>
      <c r="O560" s="6">
        <f t="shared" si="126"/>
        <v>0.88375935483946089</v>
      </c>
      <c r="P560" s="6">
        <f t="shared" si="126"/>
        <v>-0.1170650879832722</v>
      </c>
      <c r="Q560" s="75">
        <v>75</v>
      </c>
      <c r="R560" s="76">
        <v>45</v>
      </c>
      <c r="S560" s="6">
        <f t="shared" si="117"/>
        <v>0.6</v>
      </c>
      <c r="T560" s="36" t="str">
        <f t="shared" si="120"/>
        <v>Desempenho Bom</v>
      </c>
      <c r="U560" s="6">
        <f t="shared" si="127"/>
        <v>0.46105014853915682</v>
      </c>
      <c r="V560" s="6">
        <f t="shared" si="127"/>
        <v>0.84756736419379908</v>
      </c>
      <c r="W560" s="6">
        <f t="shared" si="127"/>
        <v>7.4532932884514569E-2</v>
      </c>
      <c r="X560" s="6">
        <f t="shared" si="127"/>
        <v>7.4532932884514569E-2</v>
      </c>
      <c r="Y560" s="6">
        <f t="shared" si="127"/>
        <v>0.38651721565464225</v>
      </c>
    </row>
    <row r="561" spans="1:25" x14ac:dyDescent="0.25">
      <c r="A561" s="7" t="s">
        <v>100</v>
      </c>
      <c r="B561" s="7" t="s">
        <v>165</v>
      </c>
      <c r="C561" s="74">
        <v>73</v>
      </c>
      <c r="D561" s="74">
        <v>61</v>
      </c>
      <c r="E561" s="71">
        <f t="shared" si="116"/>
        <v>0.83561643835616439</v>
      </c>
      <c r="F561" s="65" t="str">
        <f t="shared" si="118"/>
        <v>Desempenho Bom</v>
      </c>
      <c r="G561" s="71">
        <f t="shared" si="122"/>
        <v>0.70660866675940681</v>
      </c>
      <c r="H561" s="71">
        <f t="shared" si="122"/>
        <v>1.1341225514190425</v>
      </c>
      <c r="I561" s="71">
        <f t="shared" si="122"/>
        <v>0.27909478209977112</v>
      </c>
      <c r="J561" s="75">
        <v>33314.28</v>
      </c>
      <c r="K561" s="75">
        <v>975.9</v>
      </c>
      <c r="L561" s="6">
        <f>(SUM(K554:K561))/J560</f>
        <v>0.78591492897340132</v>
      </c>
      <c r="M561" s="36" t="str">
        <f t="shared" si="119"/>
        <v>Desempenho Bom</v>
      </c>
      <c r="N561" s="6">
        <f t="shared" si="126"/>
        <v>0.45719521320533213</v>
      </c>
      <c r="O561" s="6">
        <f t="shared" si="126"/>
        <v>0.97356755068321044</v>
      </c>
      <c r="P561" s="6">
        <f t="shared" si="126"/>
        <v>-5.9177124272546122E-2</v>
      </c>
      <c r="Q561" s="75">
        <v>75</v>
      </c>
      <c r="R561" s="76">
        <v>45</v>
      </c>
      <c r="S561" s="6">
        <f t="shared" si="117"/>
        <v>0.6</v>
      </c>
      <c r="T561" s="36" t="str">
        <f t="shared" si="120"/>
        <v>Desempenho Bom</v>
      </c>
      <c r="U561" s="6">
        <f t="shared" si="127"/>
        <v>0.46105014853915682</v>
      </c>
      <c r="V561" s="6">
        <f t="shared" si="127"/>
        <v>0.84756736419379908</v>
      </c>
      <c r="W561" s="6">
        <f t="shared" si="127"/>
        <v>7.4532932884514569E-2</v>
      </c>
      <c r="X561" s="6">
        <f t="shared" si="127"/>
        <v>7.4532932884514569E-2</v>
      </c>
      <c r="Y561" s="6">
        <f t="shared" si="127"/>
        <v>0.38651721565464225</v>
      </c>
    </row>
    <row r="562" spans="1:25" x14ac:dyDescent="0.25">
      <c r="A562" s="7" t="s">
        <v>100</v>
      </c>
      <c r="B562" s="7" t="s">
        <v>166</v>
      </c>
      <c r="C562" s="74">
        <v>73</v>
      </c>
      <c r="D562" s="74">
        <v>61</v>
      </c>
      <c r="E562" s="71">
        <f t="shared" si="116"/>
        <v>0.83561643835616439</v>
      </c>
      <c r="F562" s="65" t="str">
        <f t="shared" si="118"/>
        <v>Desempenho Bom</v>
      </c>
      <c r="G562" s="71">
        <f t="shared" si="122"/>
        <v>0.73663014244586189</v>
      </c>
      <c r="H562" s="71">
        <f t="shared" si="122"/>
        <v>1.1737360935948695</v>
      </c>
      <c r="I562" s="71">
        <f t="shared" si="122"/>
        <v>0.29952419129685426</v>
      </c>
      <c r="J562" s="75">
        <v>33314.28</v>
      </c>
      <c r="K562" s="75">
        <v>0</v>
      </c>
      <c r="L562" s="6">
        <f>(SUM(K554:K562))/J561</f>
        <v>0.78591492897340132</v>
      </c>
      <c r="M562" s="36" t="str">
        <f t="shared" si="119"/>
        <v>Desempenho Bom</v>
      </c>
      <c r="N562" s="6">
        <f t="shared" si="126"/>
        <v>0.50336729135060976</v>
      </c>
      <c r="O562" s="6">
        <f t="shared" si="126"/>
        <v>1.0150591886201059</v>
      </c>
      <c r="P562" s="6">
        <f t="shared" si="126"/>
        <v>-8.3246059188863963E-3</v>
      </c>
      <c r="Q562" s="75">
        <v>75</v>
      </c>
      <c r="R562" s="76">
        <v>61</v>
      </c>
      <c r="S562" s="6">
        <f t="shared" si="117"/>
        <v>0.81333333333333335</v>
      </c>
      <c r="T562" s="36" t="str">
        <f t="shared" si="120"/>
        <v>Desempenho Bom</v>
      </c>
      <c r="U562" s="6">
        <f t="shared" si="127"/>
        <v>0.74232771533595698</v>
      </c>
      <c r="V562" s="6">
        <f t="shared" si="127"/>
        <v>1.1540802341555996</v>
      </c>
      <c r="W562" s="6">
        <f t="shared" si="127"/>
        <v>0.33057519651631434</v>
      </c>
      <c r="X562" s="6">
        <f t="shared" si="127"/>
        <v>0.33057519651631434</v>
      </c>
      <c r="Y562" s="6">
        <f t="shared" si="127"/>
        <v>0.41175251881964264</v>
      </c>
    </row>
    <row r="563" spans="1:25" x14ac:dyDescent="0.25">
      <c r="A563" s="7" t="s">
        <v>100</v>
      </c>
      <c r="B563" s="7" t="s">
        <v>167</v>
      </c>
      <c r="C563" s="74">
        <v>73</v>
      </c>
      <c r="D563" s="74">
        <v>84</v>
      </c>
      <c r="E563" s="71">
        <f t="shared" si="116"/>
        <v>1.1506849315068493</v>
      </c>
      <c r="F563" s="65" t="str">
        <f t="shared" si="118"/>
        <v>Desempenho Bom</v>
      </c>
      <c r="G563" s="71">
        <f t="shared" si="122"/>
        <v>0.82061442726694189</v>
      </c>
      <c r="H563" s="71">
        <f t="shared" si="122"/>
        <v>1.2607833515834532</v>
      </c>
      <c r="I563" s="71">
        <f t="shared" si="122"/>
        <v>0.38044550295043061</v>
      </c>
      <c r="J563" s="75">
        <v>33314.28</v>
      </c>
      <c r="K563" s="75">
        <v>8859.44</v>
      </c>
      <c r="L563" s="6">
        <f>(SUM(K554:K563))/J562</f>
        <v>1.0518501375386173</v>
      </c>
      <c r="M563" s="36" t="str">
        <f t="shared" si="119"/>
        <v>Desempenho Bom</v>
      </c>
      <c r="N563" s="6">
        <f t="shared" si="126"/>
        <v>0.58006775555216661</v>
      </c>
      <c r="O563" s="6">
        <f t="shared" si="126"/>
        <v>1.099948635873619</v>
      </c>
      <c r="P563" s="6">
        <f t="shared" si="126"/>
        <v>6.0186875230714088E-2</v>
      </c>
      <c r="Q563" s="75">
        <v>75</v>
      </c>
      <c r="R563" s="76">
        <v>61</v>
      </c>
      <c r="S563" s="6">
        <f t="shared" si="117"/>
        <v>0.81333333333333335</v>
      </c>
      <c r="T563" s="36" t="str">
        <f t="shared" si="120"/>
        <v>Desempenho Médio</v>
      </c>
      <c r="U563" s="6">
        <f t="shared" si="127"/>
        <v>0.82347447721763523</v>
      </c>
      <c r="V563" s="6">
        <f t="shared" si="127"/>
        <v>1.2398542522675045</v>
      </c>
      <c r="W563" s="6">
        <f t="shared" si="127"/>
        <v>0.40709470216776611</v>
      </c>
      <c r="X563" s="6">
        <f t="shared" si="127"/>
        <v>0.40709470216776611</v>
      </c>
      <c r="Y563" s="6">
        <f t="shared" si="127"/>
        <v>0.41637977504986912</v>
      </c>
    </row>
    <row r="564" spans="1:25" x14ac:dyDescent="0.25">
      <c r="A564" s="7" t="s">
        <v>100</v>
      </c>
      <c r="B564" s="7" t="s">
        <v>168</v>
      </c>
      <c r="C564" s="74">
        <v>73</v>
      </c>
      <c r="D564" s="74">
        <v>84</v>
      </c>
      <c r="E564" s="71">
        <f t="shared" si="116"/>
        <v>1.1506849315068493</v>
      </c>
      <c r="F564" s="65" t="str">
        <f t="shared" si="118"/>
        <v>Desempenho Bom</v>
      </c>
      <c r="G564" s="71">
        <f t="shared" si="122"/>
        <v>0.94582556715526966</v>
      </c>
      <c r="H564" s="71">
        <f t="shared" si="122"/>
        <v>1.4311117173682604</v>
      </c>
      <c r="I564" s="71">
        <f t="shared" si="122"/>
        <v>0.46053941694227907</v>
      </c>
      <c r="J564" s="75">
        <v>33314.28</v>
      </c>
      <c r="K564" s="75">
        <v>4201.03</v>
      </c>
      <c r="L564" s="6">
        <f>(SUM(K554:K564))/J563</f>
        <v>1.1779531180022502</v>
      </c>
      <c r="M564" s="36" t="str">
        <f t="shared" si="119"/>
        <v>Desempenho Bom</v>
      </c>
      <c r="N564" s="6">
        <f t="shared" si="126"/>
        <v>0.72282137340514951</v>
      </c>
      <c r="O564" s="6">
        <f t="shared" si="126"/>
        <v>1.2463651595014014</v>
      </c>
      <c r="P564" s="6">
        <f t="shared" si="126"/>
        <v>0.19927758730889755</v>
      </c>
      <c r="Q564" s="75">
        <v>75</v>
      </c>
      <c r="R564" s="76">
        <v>77</v>
      </c>
      <c r="S564" s="6">
        <f t="shared" si="117"/>
        <v>1.0266666666666666</v>
      </c>
      <c r="T564" s="36" t="str">
        <f t="shared" si="120"/>
        <v>Desempenho Bom</v>
      </c>
      <c r="U564" s="6">
        <f t="shared" si="127"/>
        <v>0.91825333306001944</v>
      </c>
      <c r="V564" s="6">
        <f t="shared" si="127"/>
        <v>1.402047931898428</v>
      </c>
      <c r="W564" s="6">
        <f t="shared" si="127"/>
        <v>0.43445873422161085</v>
      </c>
      <c r="X564" s="6">
        <f t="shared" si="127"/>
        <v>0.43445873422161085</v>
      </c>
      <c r="Y564" s="6">
        <f t="shared" si="127"/>
        <v>0.48379459883840858</v>
      </c>
    </row>
    <row r="565" spans="1:25" x14ac:dyDescent="0.25">
      <c r="A565" s="7" t="s">
        <v>100</v>
      </c>
      <c r="B565" s="7" t="s">
        <v>169</v>
      </c>
      <c r="C565" s="74">
        <v>73</v>
      </c>
      <c r="D565" s="74">
        <v>84</v>
      </c>
      <c r="E565" s="71">
        <f t="shared" si="116"/>
        <v>1.1506849315068493</v>
      </c>
      <c r="F565" s="65" t="str">
        <f t="shared" si="118"/>
        <v>Desempenho Bom</v>
      </c>
      <c r="G565" s="71">
        <f t="shared" si="122"/>
        <v>1.0016849877757958</v>
      </c>
      <c r="H565" s="71">
        <f t="shared" si="122"/>
        <v>1.521489991464148</v>
      </c>
      <c r="I565" s="71">
        <f t="shared" si="122"/>
        <v>0.48187998408744359</v>
      </c>
      <c r="J565" s="75">
        <v>33314.28</v>
      </c>
      <c r="K565" s="75">
        <v>0</v>
      </c>
      <c r="L565" s="6">
        <f>(SUM(K554:K565))/J564</f>
        <v>1.1779531180022502</v>
      </c>
      <c r="M565" s="36" t="str">
        <f t="shared" si="119"/>
        <v>Desempenho Bom</v>
      </c>
      <c r="N565" s="6">
        <f t="shared" si="126"/>
        <v>0.82421983567812696</v>
      </c>
      <c r="O565" s="6">
        <f t="shared" si="126"/>
        <v>1.3730394926064369</v>
      </c>
      <c r="P565" s="6">
        <f t="shared" si="126"/>
        <v>0.27540017874981693</v>
      </c>
      <c r="Q565" s="75">
        <v>75</v>
      </c>
      <c r="R565" s="76">
        <v>77</v>
      </c>
      <c r="S565" s="6">
        <f t="shared" si="117"/>
        <v>1.0266666666666666</v>
      </c>
      <c r="T565" s="36" t="str">
        <f t="shared" si="120"/>
        <v>Desempenho Bom</v>
      </c>
      <c r="U565" s="6">
        <f t="shared" si="127"/>
        <v>0.91825333306001944</v>
      </c>
      <c r="V565" s="6">
        <f t="shared" si="127"/>
        <v>1.402047931898428</v>
      </c>
      <c r="W565" s="6">
        <f t="shared" si="127"/>
        <v>0.43445873422161085</v>
      </c>
      <c r="X565" s="6">
        <f t="shared" si="127"/>
        <v>0.43445873422161085</v>
      </c>
      <c r="Y565" s="6">
        <f t="shared" si="127"/>
        <v>0.48379459883840858</v>
      </c>
    </row>
    <row r="566" spans="1:25" x14ac:dyDescent="0.25">
      <c r="A566" s="7" t="s">
        <v>67</v>
      </c>
      <c r="B566" s="7" t="s">
        <v>158</v>
      </c>
      <c r="C566" s="74">
        <v>75</v>
      </c>
      <c r="D566" s="74">
        <v>0</v>
      </c>
      <c r="E566" s="71">
        <f t="shared" si="116"/>
        <v>0</v>
      </c>
      <c r="F566" s="65" t="str">
        <f t="shared" si="118"/>
        <v>Desempenho Médio</v>
      </c>
      <c r="G566" s="71">
        <f t="shared" si="122"/>
        <v>0.11573204891712785</v>
      </c>
      <c r="H566" s="71">
        <f t="shared" si="122"/>
        <v>0.30218524997148988</v>
      </c>
      <c r="I566" s="71">
        <f t="shared" si="122"/>
        <v>-7.0721152137234206E-2</v>
      </c>
      <c r="J566" s="75">
        <v>4000</v>
      </c>
      <c r="K566" s="75">
        <v>0</v>
      </c>
      <c r="L566" s="6">
        <f>K566/J566</f>
        <v>0</v>
      </c>
      <c r="M566" s="36" t="str">
        <f t="shared" si="119"/>
        <v>Desempenho Médio</v>
      </c>
      <c r="N566" s="6">
        <f t="shared" ref="N566:P581" si="128">N554</f>
        <v>0.11129468122233216</v>
      </c>
      <c r="O566" s="6">
        <f t="shared" si="128"/>
        <v>0.54990456699293522</v>
      </c>
      <c r="P566" s="6">
        <f t="shared" si="128"/>
        <v>-0.32731520454827095</v>
      </c>
      <c r="Q566" s="75">
        <v>70</v>
      </c>
      <c r="R566" s="76">
        <v>0</v>
      </c>
      <c r="S566" s="6">
        <f t="shared" si="117"/>
        <v>0</v>
      </c>
      <c r="T566" s="36" t="str">
        <f t="shared" si="120"/>
        <v>Desempenho Médio</v>
      </c>
      <c r="U566" s="6">
        <f t="shared" si="127"/>
        <v>6.5053670194766225E-2</v>
      </c>
      <c r="V566" s="6">
        <f t="shared" si="127"/>
        <v>0.16010348962314203</v>
      </c>
      <c r="W566" s="6">
        <f t="shared" si="127"/>
        <v>-2.9996149233609562E-2</v>
      </c>
      <c r="X566" s="6">
        <f t="shared" si="127"/>
        <v>1.7528760480578331E-2</v>
      </c>
      <c r="Y566" s="6">
        <f t="shared" si="127"/>
        <v>9.5049819428375787E-2</v>
      </c>
    </row>
    <row r="567" spans="1:25" x14ac:dyDescent="0.25">
      <c r="A567" s="7" t="s">
        <v>67</v>
      </c>
      <c r="B567" s="7" t="s">
        <v>159</v>
      </c>
      <c r="C567" s="74">
        <v>75</v>
      </c>
      <c r="D567" s="74">
        <v>0</v>
      </c>
      <c r="E567" s="71">
        <f t="shared" si="116"/>
        <v>0</v>
      </c>
      <c r="F567" s="65" t="str">
        <f t="shared" si="118"/>
        <v>Desempenho Médio</v>
      </c>
      <c r="G567" s="71">
        <f t="shared" si="122"/>
        <v>0.22598075676513599</v>
      </c>
      <c r="H567" s="71">
        <f t="shared" si="122"/>
        <v>0.51894873552035481</v>
      </c>
      <c r="I567" s="71">
        <f t="shared" si="122"/>
        <v>-6.6987221990082807E-2</v>
      </c>
      <c r="J567" s="75">
        <v>4000</v>
      </c>
      <c r="K567" s="75">
        <v>0</v>
      </c>
      <c r="L567" s="6">
        <f>(SUM(K566:K567))/J566</f>
        <v>0</v>
      </c>
      <c r="M567" s="36" t="str">
        <f t="shared" si="119"/>
        <v>Desempenho Médio</v>
      </c>
      <c r="N567" s="6">
        <f t="shared" si="128"/>
        <v>0.14992070801509372</v>
      </c>
      <c r="O567" s="6">
        <f t="shared" si="128"/>
        <v>0.58968599072326611</v>
      </c>
      <c r="P567" s="6">
        <f t="shared" si="128"/>
        <v>-0.28984457469307867</v>
      </c>
      <c r="Q567" s="75">
        <v>70</v>
      </c>
      <c r="R567" s="76">
        <v>0</v>
      </c>
      <c r="S567" s="6">
        <f t="shared" si="117"/>
        <v>0</v>
      </c>
      <c r="T567" s="36" t="str">
        <f t="shared" si="120"/>
        <v>Desempenho Médio</v>
      </c>
      <c r="U567" s="6">
        <f t="shared" si="127"/>
        <v>6.5053670194766225E-2</v>
      </c>
      <c r="V567" s="6">
        <f t="shared" si="127"/>
        <v>0.16010348962314203</v>
      </c>
      <c r="W567" s="6">
        <f t="shared" si="127"/>
        <v>-2.9996149233609562E-2</v>
      </c>
      <c r="X567" s="6">
        <f t="shared" si="127"/>
        <v>1.7528760480578331E-2</v>
      </c>
      <c r="Y567" s="6">
        <f t="shared" si="127"/>
        <v>9.5049819428375787E-2</v>
      </c>
    </row>
    <row r="568" spans="1:25" x14ac:dyDescent="0.25">
      <c r="A568" s="7" t="s">
        <v>67</v>
      </c>
      <c r="B568" s="7" t="s">
        <v>160</v>
      </c>
      <c r="C568" s="74">
        <v>75</v>
      </c>
      <c r="D568" s="74">
        <v>0</v>
      </c>
      <c r="E568" s="71">
        <f t="shared" si="116"/>
        <v>0</v>
      </c>
      <c r="F568" s="65" t="str">
        <f t="shared" si="118"/>
        <v>Desempenho Médio</v>
      </c>
      <c r="G568" s="71">
        <f t="shared" si="122"/>
        <v>0.2827891266215985</v>
      </c>
      <c r="H568" s="71">
        <f t="shared" si="122"/>
        <v>0.59134445337262298</v>
      </c>
      <c r="I568" s="71">
        <f t="shared" si="122"/>
        <v>-2.5766200129425987E-2</v>
      </c>
      <c r="J568" s="75">
        <v>4000</v>
      </c>
      <c r="K568" s="75">
        <v>0</v>
      </c>
      <c r="L568" s="6">
        <f>(SUM(K566:K568))/J567</f>
        <v>0</v>
      </c>
      <c r="M568" s="36" t="str">
        <f t="shared" si="119"/>
        <v>Desempenho Médio</v>
      </c>
      <c r="N568" s="6">
        <f t="shared" si="128"/>
        <v>0.17723994755342617</v>
      </c>
      <c r="O568" s="6">
        <f t="shared" si="128"/>
        <v>0.61473682715667155</v>
      </c>
      <c r="P568" s="6">
        <f t="shared" si="128"/>
        <v>-0.26025693204981915</v>
      </c>
      <c r="Q568" s="75">
        <v>70</v>
      </c>
      <c r="R568" s="76">
        <v>0</v>
      </c>
      <c r="S568" s="6">
        <f t="shared" si="117"/>
        <v>0</v>
      </c>
      <c r="T568" s="36" t="str">
        <f t="shared" si="120"/>
        <v>Desempenho Médio</v>
      </c>
      <c r="U568" s="6">
        <f t="shared" si="127"/>
        <v>0.18401218302179842</v>
      </c>
      <c r="V568" s="6">
        <f t="shared" si="127"/>
        <v>0.37883088095577799</v>
      </c>
      <c r="W568" s="6">
        <f t="shared" si="127"/>
        <v>-1.0806514912181153E-2</v>
      </c>
      <c r="X568" s="6">
        <f t="shared" si="127"/>
        <v>8.6602834054808633E-2</v>
      </c>
      <c r="Y568" s="6">
        <f t="shared" si="127"/>
        <v>0.19481869793397957</v>
      </c>
    </row>
    <row r="569" spans="1:25" x14ac:dyDescent="0.25">
      <c r="A569" s="7" t="s">
        <v>67</v>
      </c>
      <c r="B569" s="7" t="s">
        <v>161</v>
      </c>
      <c r="C569" s="74">
        <v>75</v>
      </c>
      <c r="D569" s="74">
        <v>0</v>
      </c>
      <c r="E569" s="71">
        <f t="shared" si="116"/>
        <v>0</v>
      </c>
      <c r="F569" s="65" t="str">
        <f t="shared" si="118"/>
        <v>Desempenho Deficitário</v>
      </c>
      <c r="G569" s="71">
        <f t="shared" si="122"/>
        <v>0.36222496935690102</v>
      </c>
      <c r="H569" s="71">
        <f t="shared" si="122"/>
        <v>0.67917151968337719</v>
      </c>
      <c r="I569" s="71">
        <f t="shared" si="122"/>
        <v>4.5278419030424844E-2</v>
      </c>
      <c r="J569" s="75">
        <v>4000</v>
      </c>
      <c r="K569" s="75">
        <v>0</v>
      </c>
      <c r="L569" s="6">
        <f>(SUM(K566:K569))/J568</f>
        <v>0</v>
      </c>
      <c r="M569" s="36" t="str">
        <f t="shared" si="119"/>
        <v>Desempenho Médio</v>
      </c>
      <c r="N569" s="6">
        <f t="shared" si="128"/>
        <v>0.2271654986777647</v>
      </c>
      <c r="O569" s="6">
        <f t="shared" si="128"/>
        <v>0.71582389712396544</v>
      </c>
      <c r="P569" s="6">
        <f t="shared" si="128"/>
        <v>-0.26149289976843598</v>
      </c>
      <c r="Q569" s="75">
        <v>70</v>
      </c>
      <c r="R569" s="76">
        <v>0</v>
      </c>
      <c r="S569" s="6">
        <f t="shared" si="117"/>
        <v>0</v>
      </c>
      <c r="T569" s="36" t="str">
        <f t="shared" si="120"/>
        <v>Desempenho Médio</v>
      </c>
      <c r="U569" s="6">
        <f t="shared" si="127"/>
        <v>0.18401218302179842</v>
      </c>
      <c r="V569" s="6">
        <f t="shared" si="127"/>
        <v>0.37883088095577799</v>
      </c>
      <c r="W569" s="6">
        <f t="shared" si="127"/>
        <v>-1.0806514912181153E-2</v>
      </c>
      <c r="X569" s="6">
        <f t="shared" si="127"/>
        <v>8.6602834054808633E-2</v>
      </c>
      <c r="Y569" s="6">
        <f t="shared" si="127"/>
        <v>0.19481869793397957</v>
      </c>
    </row>
    <row r="570" spans="1:25" x14ac:dyDescent="0.25">
      <c r="A570" s="7" t="s">
        <v>67</v>
      </c>
      <c r="B570" s="7" t="s">
        <v>162</v>
      </c>
      <c r="C570" s="74">
        <v>75</v>
      </c>
      <c r="D570" s="74">
        <v>15</v>
      </c>
      <c r="E570" s="71">
        <f t="shared" si="116"/>
        <v>0.2</v>
      </c>
      <c r="F570" s="65" t="str">
        <f t="shared" si="118"/>
        <v>Desempenho Médio</v>
      </c>
      <c r="G570" s="71">
        <f t="shared" si="122"/>
        <v>0.44825178806664662</v>
      </c>
      <c r="H570" s="71">
        <f t="shared" si="122"/>
        <v>0.78548221403733831</v>
      </c>
      <c r="I570" s="71">
        <f t="shared" si="122"/>
        <v>0.11102136209595498</v>
      </c>
      <c r="J570" s="75">
        <v>4000</v>
      </c>
      <c r="K570" s="75">
        <v>100</v>
      </c>
      <c r="L570" s="6">
        <f>(SUM(K566:K570))/J569</f>
        <v>2.5000000000000001E-2</v>
      </c>
      <c r="M570" s="36" t="str">
        <f t="shared" si="119"/>
        <v>Desempenho Médio</v>
      </c>
      <c r="N570" s="6">
        <f t="shared" si="128"/>
        <v>0.27284258705105507</v>
      </c>
      <c r="O570" s="6">
        <f t="shared" si="128"/>
        <v>0.75981161093062477</v>
      </c>
      <c r="P570" s="6">
        <f t="shared" si="128"/>
        <v>-0.21412643682851468</v>
      </c>
      <c r="Q570" s="75">
        <v>70</v>
      </c>
      <c r="R570" s="76">
        <v>31</v>
      </c>
      <c r="S570" s="6">
        <f t="shared" si="117"/>
        <v>0.44285714285714284</v>
      </c>
      <c r="T570" s="36" t="str">
        <f t="shared" si="120"/>
        <v>Desempenho Bom</v>
      </c>
      <c r="U570" s="6">
        <f t="shared" si="127"/>
        <v>0.23278475191631845</v>
      </c>
      <c r="V570" s="6">
        <f t="shared" si="127"/>
        <v>0.51017789992422413</v>
      </c>
      <c r="W570" s="6">
        <f t="shared" si="127"/>
        <v>-4.460839609158726E-2</v>
      </c>
      <c r="X570" s="6">
        <f t="shared" si="127"/>
        <v>9.4088177912365595E-2</v>
      </c>
      <c r="Y570" s="6">
        <f t="shared" si="127"/>
        <v>0.27739314800790571</v>
      </c>
    </row>
    <row r="571" spans="1:25" x14ac:dyDescent="0.25">
      <c r="A571" s="7" t="s">
        <v>67</v>
      </c>
      <c r="B571" s="7" t="s">
        <v>163</v>
      </c>
      <c r="C571" s="74">
        <v>75</v>
      </c>
      <c r="D571" s="74">
        <v>15</v>
      </c>
      <c r="E571" s="71">
        <f t="shared" si="116"/>
        <v>0.2</v>
      </c>
      <c r="F571" s="65" t="str">
        <f t="shared" si="118"/>
        <v>Desempenho Médio</v>
      </c>
      <c r="G571" s="71">
        <f t="shared" si="122"/>
        <v>0.54231176602906361</v>
      </c>
      <c r="H571" s="71">
        <f t="shared" si="122"/>
        <v>0.92735502699565786</v>
      </c>
      <c r="I571" s="71">
        <f t="shared" si="122"/>
        <v>0.15726850506246942</v>
      </c>
      <c r="J571" s="75">
        <v>4000</v>
      </c>
      <c r="K571" s="75">
        <v>0</v>
      </c>
      <c r="L571" s="6">
        <f>(SUM(K566:K571))/J570</f>
        <v>2.5000000000000001E-2</v>
      </c>
      <c r="M571" s="36" t="str">
        <f t="shared" si="119"/>
        <v>Desempenho Médio</v>
      </c>
      <c r="N571" s="6">
        <f t="shared" si="128"/>
        <v>0.31451673641638933</v>
      </c>
      <c r="O571" s="6">
        <f t="shared" si="128"/>
        <v>0.80702132782766356</v>
      </c>
      <c r="P571" s="6">
        <f t="shared" si="128"/>
        <v>-0.1779878549948849</v>
      </c>
      <c r="Q571" s="75">
        <v>70</v>
      </c>
      <c r="R571" s="76">
        <v>31</v>
      </c>
      <c r="S571" s="6">
        <f t="shared" si="117"/>
        <v>0.44285714285714284</v>
      </c>
      <c r="T571" s="36" t="str">
        <f t="shared" si="120"/>
        <v>Desempenho Médio</v>
      </c>
      <c r="U571" s="6">
        <f t="shared" si="127"/>
        <v>0.46105014853915682</v>
      </c>
      <c r="V571" s="6">
        <f t="shared" si="127"/>
        <v>0.84756736419379908</v>
      </c>
      <c r="W571" s="6">
        <f t="shared" si="127"/>
        <v>7.4532932884514569E-2</v>
      </c>
      <c r="X571" s="6">
        <f t="shared" si="127"/>
        <v>7.4532932884514569E-2</v>
      </c>
      <c r="Y571" s="6">
        <f t="shared" si="127"/>
        <v>0.38651721565464225</v>
      </c>
    </row>
    <row r="572" spans="1:25" x14ac:dyDescent="0.25">
      <c r="A572" s="7" t="s">
        <v>67</v>
      </c>
      <c r="B572" s="7" t="s">
        <v>164</v>
      </c>
      <c r="C572" s="74">
        <v>75</v>
      </c>
      <c r="D572" s="74">
        <v>15</v>
      </c>
      <c r="E572" s="73">
        <f t="shared" si="116"/>
        <v>0.2</v>
      </c>
      <c r="F572" s="65" t="str">
        <f t="shared" si="118"/>
        <v>Desempenho Deficitário</v>
      </c>
      <c r="G572" s="71">
        <f t="shared" si="122"/>
        <v>0.63634637719050002</v>
      </c>
      <c r="H572" s="71">
        <f t="shared" si="122"/>
        <v>1.0512878703900039</v>
      </c>
      <c r="I572" s="71">
        <f t="shared" si="122"/>
        <v>0.22140488399099606</v>
      </c>
      <c r="J572" s="75">
        <v>4000</v>
      </c>
      <c r="K572" s="75">
        <v>0</v>
      </c>
      <c r="L572" s="6">
        <f>(SUM(K566:K572))/J571</f>
        <v>2.5000000000000001E-2</v>
      </c>
      <c r="M572" s="36" t="str">
        <f t="shared" si="119"/>
        <v>Desempenho Médio</v>
      </c>
      <c r="N572" s="6">
        <f t="shared" si="128"/>
        <v>0.38334713342809434</v>
      </c>
      <c r="O572" s="6">
        <f t="shared" si="128"/>
        <v>0.88375935483946089</v>
      </c>
      <c r="P572" s="6">
        <f t="shared" si="128"/>
        <v>-0.1170650879832722</v>
      </c>
      <c r="Q572" s="75">
        <v>70</v>
      </c>
      <c r="R572" s="76">
        <v>31</v>
      </c>
      <c r="S572" s="6">
        <f t="shared" si="117"/>
        <v>0.44285714285714284</v>
      </c>
      <c r="T572" s="36" t="str">
        <f t="shared" si="120"/>
        <v>Desempenho Médio</v>
      </c>
      <c r="U572" s="6">
        <f t="shared" si="127"/>
        <v>0.46105014853915682</v>
      </c>
      <c r="V572" s="6">
        <f t="shared" si="127"/>
        <v>0.84756736419379908</v>
      </c>
      <c r="W572" s="6">
        <f t="shared" si="127"/>
        <v>7.4532932884514569E-2</v>
      </c>
      <c r="X572" s="6">
        <f t="shared" si="127"/>
        <v>7.4532932884514569E-2</v>
      </c>
      <c r="Y572" s="6">
        <f t="shared" si="127"/>
        <v>0.38651721565464225</v>
      </c>
    </row>
    <row r="573" spans="1:25" x14ac:dyDescent="0.25">
      <c r="A573" s="7" t="s">
        <v>67</v>
      </c>
      <c r="B573" s="7" t="s">
        <v>165</v>
      </c>
      <c r="C573" s="74">
        <v>75</v>
      </c>
      <c r="D573" s="74">
        <v>38</v>
      </c>
      <c r="E573" s="71">
        <f t="shared" si="116"/>
        <v>0.50666666666666671</v>
      </c>
      <c r="F573" s="65" t="str">
        <f t="shared" si="118"/>
        <v>Desempenho Médio</v>
      </c>
      <c r="G573" s="71">
        <f t="shared" si="122"/>
        <v>0.70660866675940681</v>
      </c>
      <c r="H573" s="71">
        <f t="shared" si="122"/>
        <v>1.1341225514190425</v>
      </c>
      <c r="I573" s="71">
        <f t="shared" si="122"/>
        <v>0.27909478209977112</v>
      </c>
      <c r="J573" s="75">
        <v>4000</v>
      </c>
      <c r="K573" s="75">
        <v>200</v>
      </c>
      <c r="L573" s="6">
        <f>(SUM(K566:K573))/J572</f>
        <v>7.4999999999999997E-2</v>
      </c>
      <c r="M573" s="36" t="str">
        <f t="shared" si="119"/>
        <v>Desempenho Médio</v>
      </c>
      <c r="N573" s="6">
        <f t="shared" si="128"/>
        <v>0.45719521320533213</v>
      </c>
      <c r="O573" s="6">
        <f t="shared" si="128"/>
        <v>0.97356755068321044</v>
      </c>
      <c r="P573" s="6">
        <f t="shared" si="128"/>
        <v>-5.9177124272546122E-2</v>
      </c>
      <c r="Q573" s="75">
        <v>70</v>
      </c>
      <c r="R573" s="76">
        <v>31</v>
      </c>
      <c r="S573" s="6">
        <f t="shared" si="117"/>
        <v>0.44285714285714284</v>
      </c>
      <c r="T573" s="36" t="str">
        <f t="shared" si="120"/>
        <v>Desempenho Médio</v>
      </c>
      <c r="U573" s="6">
        <f t="shared" si="127"/>
        <v>0.46105014853915682</v>
      </c>
      <c r="V573" s="6">
        <f t="shared" si="127"/>
        <v>0.84756736419379908</v>
      </c>
      <c r="W573" s="6">
        <f t="shared" si="127"/>
        <v>7.4532932884514569E-2</v>
      </c>
      <c r="X573" s="6">
        <f t="shared" si="127"/>
        <v>7.4532932884514569E-2</v>
      </c>
      <c r="Y573" s="6">
        <f t="shared" si="127"/>
        <v>0.38651721565464225</v>
      </c>
    </row>
    <row r="574" spans="1:25" x14ac:dyDescent="0.25">
      <c r="A574" s="7" t="s">
        <v>67</v>
      </c>
      <c r="B574" s="7" t="s">
        <v>166</v>
      </c>
      <c r="C574" s="74">
        <v>75</v>
      </c>
      <c r="D574" s="74">
        <v>38</v>
      </c>
      <c r="E574" s="71">
        <f t="shared" si="116"/>
        <v>0.50666666666666671</v>
      </c>
      <c r="F574" s="65" t="str">
        <f t="shared" si="118"/>
        <v>Desempenho Médio</v>
      </c>
      <c r="G574" s="71">
        <f t="shared" si="122"/>
        <v>0.73663014244586189</v>
      </c>
      <c r="H574" s="71">
        <f t="shared" si="122"/>
        <v>1.1737360935948695</v>
      </c>
      <c r="I574" s="71">
        <f t="shared" si="122"/>
        <v>0.29952419129685426</v>
      </c>
      <c r="J574" s="75">
        <v>4000</v>
      </c>
      <c r="K574" s="75">
        <v>0</v>
      </c>
      <c r="L574" s="6">
        <f>(SUM(K566:K574))/J573</f>
        <v>7.4999999999999997E-2</v>
      </c>
      <c r="M574" s="36" t="str">
        <f t="shared" si="119"/>
        <v>Desempenho Médio</v>
      </c>
      <c r="N574" s="6">
        <f t="shared" si="128"/>
        <v>0.50336729135060976</v>
      </c>
      <c r="O574" s="6">
        <f t="shared" si="128"/>
        <v>1.0150591886201059</v>
      </c>
      <c r="P574" s="6">
        <f t="shared" si="128"/>
        <v>-8.3246059188863963E-3</v>
      </c>
      <c r="Q574" s="75">
        <v>70</v>
      </c>
      <c r="R574" s="76">
        <v>85</v>
      </c>
      <c r="S574" s="6">
        <f t="shared" si="117"/>
        <v>1.2142857142857142</v>
      </c>
      <c r="T574" s="36" t="str">
        <f t="shared" si="120"/>
        <v>Desempenho Ótimo</v>
      </c>
      <c r="U574" s="6">
        <f t="shared" si="127"/>
        <v>0.74232771533595698</v>
      </c>
      <c r="V574" s="6">
        <f t="shared" si="127"/>
        <v>1.1540802341555996</v>
      </c>
      <c r="W574" s="6">
        <f t="shared" si="127"/>
        <v>0.33057519651631434</v>
      </c>
      <c r="X574" s="6">
        <f t="shared" si="127"/>
        <v>0.33057519651631434</v>
      </c>
      <c r="Y574" s="6">
        <f t="shared" si="127"/>
        <v>0.41175251881964264</v>
      </c>
    </row>
    <row r="575" spans="1:25" x14ac:dyDescent="0.25">
      <c r="A575" s="7" t="s">
        <v>67</v>
      </c>
      <c r="B575" s="7" t="s">
        <v>167</v>
      </c>
      <c r="C575" s="74">
        <v>75</v>
      </c>
      <c r="D575" s="74">
        <v>38</v>
      </c>
      <c r="E575" s="71">
        <f t="shared" si="116"/>
        <v>0.50666666666666671</v>
      </c>
      <c r="F575" s="65" t="str">
        <f t="shared" si="118"/>
        <v>Desempenho Médio</v>
      </c>
      <c r="G575" s="71">
        <f t="shared" si="122"/>
        <v>0.82061442726694189</v>
      </c>
      <c r="H575" s="71">
        <f t="shared" si="122"/>
        <v>1.2607833515834532</v>
      </c>
      <c r="I575" s="71">
        <f t="shared" si="122"/>
        <v>0.38044550295043061</v>
      </c>
      <c r="J575" s="75">
        <v>4000</v>
      </c>
      <c r="K575" s="75">
        <v>0</v>
      </c>
      <c r="L575" s="6">
        <f>(SUM(K566:K575))/J574</f>
        <v>7.4999999999999997E-2</v>
      </c>
      <c r="M575" s="36" t="str">
        <f t="shared" si="119"/>
        <v>Desempenho Médio</v>
      </c>
      <c r="N575" s="6">
        <f t="shared" si="128"/>
        <v>0.58006775555216661</v>
      </c>
      <c r="O575" s="6">
        <f t="shared" si="128"/>
        <v>1.099948635873619</v>
      </c>
      <c r="P575" s="6">
        <f t="shared" si="128"/>
        <v>6.0186875230714088E-2</v>
      </c>
      <c r="Q575" s="75">
        <v>70</v>
      </c>
      <c r="R575" s="76">
        <v>85</v>
      </c>
      <c r="S575" s="6">
        <f t="shared" si="117"/>
        <v>1.2142857142857142</v>
      </c>
      <c r="T575" s="36" t="str">
        <f t="shared" si="120"/>
        <v>Desempenho Bom</v>
      </c>
      <c r="U575" s="6">
        <f t="shared" ref="U575:Y590" si="129">U563</f>
        <v>0.82347447721763523</v>
      </c>
      <c r="V575" s="6">
        <f t="shared" si="129"/>
        <v>1.2398542522675045</v>
      </c>
      <c r="W575" s="6">
        <f t="shared" si="129"/>
        <v>0.40709470216776611</v>
      </c>
      <c r="X575" s="6">
        <f t="shared" si="129"/>
        <v>0.40709470216776611</v>
      </c>
      <c r="Y575" s="6">
        <f t="shared" si="129"/>
        <v>0.41637977504986912</v>
      </c>
    </row>
    <row r="576" spans="1:25" x14ac:dyDescent="0.25">
      <c r="A576" s="7" t="s">
        <v>67</v>
      </c>
      <c r="B576" s="7" t="s">
        <v>168</v>
      </c>
      <c r="C576" s="74">
        <v>75</v>
      </c>
      <c r="D576" s="74">
        <v>77</v>
      </c>
      <c r="E576" s="71">
        <f t="shared" si="116"/>
        <v>1.0266666666666666</v>
      </c>
      <c r="F576" s="65" t="str">
        <f t="shared" si="118"/>
        <v>Desempenho Bom</v>
      </c>
      <c r="G576" s="71">
        <f t="shared" si="122"/>
        <v>0.94582556715526966</v>
      </c>
      <c r="H576" s="71">
        <f t="shared" si="122"/>
        <v>1.4311117173682604</v>
      </c>
      <c r="I576" s="71">
        <f t="shared" si="122"/>
        <v>0.46053941694227907</v>
      </c>
      <c r="J576" s="75">
        <v>4000</v>
      </c>
      <c r="K576" s="75">
        <v>3593.79</v>
      </c>
      <c r="L576" s="6">
        <f>(SUM(K566:K576))/J575</f>
        <v>0.97344750000000002</v>
      </c>
      <c r="M576" s="36" t="str">
        <f t="shared" si="119"/>
        <v>Desempenho Bom</v>
      </c>
      <c r="N576" s="6">
        <f t="shared" si="128"/>
        <v>0.72282137340514951</v>
      </c>
      <c r="O576" s="6">
        <f t="shared" si="128"/>
        <v>1.2463651595014014</v>
      </c>
      <c r="P576" s="6">
        <f t="shared" si="128"/>
        <v>0.19927758730889755</v>
      </c>
      <c r="Q576" s="75">
        <v>70</v>
      </c>
      <c r="R576" s="76">
        <v>85</v>
      </c>
      <c r="S576" s="6">
        <f t="shared" si="117"/>
        <v>1.2142857142857142</v>
      </c>
      <c r="T576" s="36" t="str">
        <f t="shared" si="120"/>
        <v>Desempenho Bom</v>
      </c>
      <c r="U576" s="6">
        <f t="shared" si="129"/>
        <v>0.91825333306001944</v>
      </c>
      <c r="V576" s="6">
        <f t="shared" si="129"/>
        <v>1.402047931898428</v>
      </c>
      <c r="W576" s="6">
        <f t="shared" si="129"/>
        <v>0.43445873422161085</v>
      </c>
      <c r="X576" s="6">
        <f t="shared" si="129"/>
        <v>0.43445873422161085</v>
      </c>
      <c r="Y576" s="6">
        <f t="shared" si="129"/>
        <v>0.48379459883840858</v>
      </c>
    </row>
    <row r="577" spans="1:25" x14ac:dyDescent="0.25">
      <c r="A577" s="7" t="s">
        <v>67</v>
      </c>
      <c r="B577" s="7" t="s">
        <v>169</v>
      </c>
      <c r="C577" s="74">
        <v>75</v>
      </c>
      <c r="D577" s="74">
        <v>77</v>
      </c>
      <c r="E577" s="71">
        <f t="shared" si="116"/>
        <v>1.0266666666666666</v>
      </c>
      <c r="F577" s="65" t="str">
        <f t="shared" si="118"/>
        <v>Desempenho Bom</v>
      </c>
      <c r="G577" s="71">
        <f t="shared" si="122"/>
        <v>1.0016849877757958</v>
      </c>
      <c r="H577" s="71">
        <f t="shared" si="122"/>
        <v>1.521489991464148</v>
      </c>
      <c r="I577" s="71">
        <f t="shared" si="122"/>
        <v>0.48187998408744359</v>
      </c>
      <c r="J577" s="75">
        <v>4000</v>
      </c>
      <c r="K577" s="75">
        <v>180</v>
      </c>
      <c r="L577" s="6">
        <f>(SUM(K566:K577))/J576</f>
        <v>1.0184475</v>
      </c>
      <c r="M577" s="36" t="str">
        <f t="shared" si="119"/>
        <v>Desempenho Bom</v>
      </c>
      <c r="N577" s="6">
        <f t="shared" si="128"/>
        <v>0.82421983567812696</v>
      </c>
      <c r="O577" s="6">
        <f t="shared" si="128"/>
        <v>1.3730394926064369</v>
      </c>
      <c r="P577" s="6">
        <f t="shared" si="128"/>
        <v>0.27540017874981693</v>
      </c>
      <c r="Q577" s="75">
        <v>70</v>
      </c>
      <c r="R577" s="76">
        <v>85</v>
      </c>
      <c r="S577" s="6">
        <f t="shared" si="117"/>
        <v>1.2142857142857142</v>
      </c>
      <c r="T577" s="36" t="str">
        <f t="shared" si="120"/>
        <v>Desempenho Bom</v>
      </c>
      <c r="U577" s="6">
        <f t="shared" si="129"/>
        <v>0.91825333306001944</v>
      </c>
      <c r="V577" s="6">
        <f t="shared" si="129"/>
        <v>1.402047931898428</v>
      </c>
      <c r="W577" s="6">
        <f t="shared" si="129"/>
        <v>0.43445873422161085</v>
      </c>
      <c r="X577" s="6">
        <f t="shared" si="129"/>
        <v>0.43445873422161085</v>
      </c>
      <c r="Y577" s="6">
        <f t="shared" si="129"/>
        <v>0.48379459883840858</v>
      </c>
    </row>
    <row r="578" spans="1:25" x14ac:dyDescent="0.25">
      <c r="A578" s="7" t="s">
        <v>153</v>
      </c>
      <c r="B578" s="7" t="s">
        <v>158</v>
      </c>
      <c r="C578" s="74">
        <v>75</v>
      </c>
      <c r="D578" s="74">
        <v>17</v>
      </c>
      <c r="E578" s="71">
        <f t="shared" ref="E578:E641" si="130">D578/C578</f>
        <v>0.22666666666666666</v>
      </c>
      <c r="F578" s="65" t="str">
        <f t="shared" si="118"/>
        <v>Desempenho Bom</v>
      </c>
      <c r="G578" s="71">
        <f t="shared" si="122"/>
        <v>0.11573204891712785</v>
      </c>
      <c r="H578" s="71">
        <f t="shared" si="122"/>
        <v>0.30218524997148988</v>
      </c>
      <c r="I578" s="71">
        <f t="shared" si="122"/>
        <v>-7.0721152137234206E-2</v>
      </c>
      <c r="J578" s="75">
        <v>28517.09</v>
      </c>
      <c r="K578" s="75">
        <v>1551.42</v>
      </c>
      <c r="L578" s="6">
        <f>K578/J578</f>
        <v>5.4403166662517113E-2</v>
      </c>
      <c r="M578" s="36" t="str">
        <f t="shared" si="119"/>
        <v>Desempenho Médio</v>
      </c>
      <c r="N578" s="6">
        <f t="shared" si="128"/>
        <v>0.11129468122233216</v>
      </c>
      <c r="O578" s="6">
        <f t="shared" si="128"/>
        <v>0.54990456699293522</v>
      </c>
      <c r="P578" s="6">
        <f t="shared" si="128"/>
        <v>-0.32731520454827095</v>
      </c>
      <c r="Q578" s="75">
        <v>66</v>
      </c>
      <c r="R578" s="76">
        <v>0</v>
      </c>
      <c r="S578" s="6">
        <f t="shared" ref="S578:S641" si="131">R578/Q578</f>
        <v>0</v>
      </c>
      <c r="T578" s="36" t="str">
        <f t="shared" si="120"/>
        <v>Desempenho Médio</v>
      </c>
      <c r="U578" s="6">
        <f t="shared" si="129"/>
        <v>6.5053670194766225E-2</v>
      </c>
      <c r="V578" s="6">
        <f t="shared" si="129"/>
        <v>0.16010348962314203</v>
      </c>
      <c r="W578" s="6">
        <f t="shared" si="129"/>
        <v>-2.9996149233609562E-2</v>
      </c>
      <c r="X578" s="6">
        <f t="shared" si="129"/>
        <v>1.7528760480578331E-2</v>
      </c>
      <c r="Y578" s="6">
        <f t="shared" si="129"/>
        <v>9.5049819428375787E-2</v>
      </c>
    </row>
    <row r="579" spans="1:25" x14ac:dyDescent="0.25">
      <c r="A579" s="7" t="s">
        <v>153</v>
      </c>
      <c r="B579" s="7" t="s">
        <v>159</v>
      </c>
      <c r="C579" s="74">
        <v>75</v>
      </c>
      <c r="D579" s="74">
        <v>17</v>
      </c>
      <c r="E579" s="71">
        <f t="shared" si="130"/>
        <v>0.22666666666666666</v>
      </c>
      <c r="F579" s="65" t="str">
        <f t="shared" ref="F579:F642" si="132">IF(E579&gt;=H579,"Desempenho Ótimo",(IF(E579&gt;G579,"Desempenho Bom",(IF(E579&gt;I579,"Desempenho Médio",IF(E579&lt;=I579,"Desempenho Deficitário",0))))))</f>
        <v>Desempenho Bom</v>
      </c>
      <c r="G579" s="71">
        <f t="shared" si="122"/>
        <v>0.22598075676513599</v>
      </c>
      <c r="H579" s="71">
        <f t="shared" si="122"/>
        <v>0.51894873552035481</v>
      </c>
      <c r="I579" s="71">
        <f t="shared" si="122"/>
        <v>-6.6987221990082807E-2</v>
      </c>
      <c r="J579" s="75">
        <v>28517.09</v>
      </c>
      <c r="K579" s="75">
        <v>0</v>
      </c>
      <c r="L579" s="6">
        <f>(SUM(K578:K579))/J578</f>
        <v>5.4403166662517113E-2</v>
      </c>
      <c r="M579" s="36" t="str">
        <f t="shared" ref="M579:M642" si="133">IF(L579&gt;=O579,"Desempenho Ótimo",(IF(L579&gt;N579,"Desempenho Bom",(IF(L579&gt;P579,"Desempenho Médio",IF(L579&lt;=P579,"Desempenho Deficitário",0))))))</f>
        <v>Desempenho Médio</v>
      </c>
      <c r="N579" s="6">
        <f t="shared" si="128"/>
        <v>0.14992070801509372</v>
      </c>
      <c r="O579" s="6">
        <f t="shared" si="128"/>
        <v>0.58968599072326611</v>
      </c>
      <c r="P579" s="6">
        <f t="shared" si="128"/>
        <v>-0.28984457469307867</v>
      </c>
      <c r="Q579" s="75">
        <v>66</v>
      </c>
      <c r="R579" s="76">
        <v>0</v>
      </c>
      <c r="S579" s="6">
        <f t="shared" si="131"/>
        <v>0</v>
      </c>
      <c r="T579" s="36" t="str">
        <f t="shared" ref="T579:T642" si="134">IF(S579&gt;=V579,"Desempenho Ótimo",(IF(S579&gt;U579,"Desempenho Bom",(IF(S579&gt;W579,"Desempenho Médio",IF(S579&lt;=W579,"Desempenho Deficitário",0))))))</f>
        <v>Desempenho Médio</v>
      </c>
      <c r="U579" s="6">
        <f t="shared" si="129"/>
        <v>6.5053670194766225E-2</v>
      </c>
      <c r="V579" s="6">
        <f t="shared" si="129"/>
        <v>0.16010348962314203</v>
      </c>
      <c r="W579" s="6">
        <f t="shared" si="129"/>
        <v>-2.9996149233609562E-2</v>
      </c>
      <c r="X579" s="6">
        <f t="shared" si="129"/>
        <v>1.7528760480578331E-2</v>
      </c>
      <c r="Y579" s="6">
        <f t="shared" si="129"/>
        <v>9.5049819428375787E-2</v>
      </c>
    </row>
    <row r="580" spans="1:25" x14ac:dyDescent="0.25">
      <c r="A580" s="7" t="s">
        <v>153</v>
      </c>
      <c r="B580" s="7" t="s">
        <v>160</v>
      </c>
      <c r="C580" s="74">
        <v>75</v>
      </c>
      <c r="D580" s="74">
        <v>40</v>
      </c>
      <c r="E580" s="71">
        <f t="shared" si="130"/>
        <v>0.53333333333333333</v>
      </c>
      <c r="F580" s="65" t="str">
        <f t="shared" si="132"/>
        <v>Desempenho Bom</v>
      </c>
      <c r="G580" s="71">
        <f t="shared" si="122"/>
        <v>0.2827891266215985</v>
      </c>
      <c r="H580" s="71">
        <f t="shared" si="122"/>
        <v>0.59134445337262298</v>
      </c>
      <c r="I580" s="71">
        <f t="shared" si="122"/>
        <v>-2.5766200129425987E-2</v>
      </c>
      <c r="J580" s="75">
        <v>28517.09</v>
      </c>
      <c r="K580" s="75">
        <v>2003.34</v>
      </c>
      <c r="L580" s="6">
        <f>(SUM(K578:K580))/J579</f>
        <v>0.12465367258721</v>
      </c>
      <c r="M580" s="36" t="str">
        <f t="shared" si="133"/>
        <v>Desempenho Médio</v>
      </c>
      <c r="N580" s="6">
        <f t="shared" si="128"/>
        <v>0.17723994755342617</v>
      </c>
      <c r="O580" s="6">
        <f t="shared" si="128"/>
        <v>0.61473682715667155</v>
      </c>
      <c r="P580" s="6">
        <f t="shared" si="128"/>
        <v>-0.26025693204981915</v>
      </c>
      <c r="Q580" s="75">
        <v>66</v>
      </c>
      <c r="R580" s="76">
        <v>30</v>
      </c>
      <c r="S580" s="6">
        <f t="shared" si="131"/>
        <v>0.45454545454545453</v>
      </c>
      <c r="T580" s="36" t="str">
        <f t="shared" si="134"/>
        <v>Desempenho Ótimo</v>
      </c>
      <c r="U580" s="6">
        <f t="shared" si="129"/>
        <v>0.18401218302179842</v>
      </c>
      <c r="V580" s="6">
        <f t="shared" si="129"/>
        <v>0.37883088095577799</v>
      </c>
      <c r="W580" s="6">
        <f t="shared" si="129"/>
        <v>-1.0806514912181153E-2</v>
      </c>
      <c r="X580" s="6">
        <f t="shared" si="129"/>
        <v>8.6602834054808633E-2</v>
      </c>
      <c r="Y580" s="6">
        <f t="shared" si="129"/>
        <v>0.19481869793397957</v>
      </c>
    </row>
    <row r="581" spans="1:25" x14ac:dyDescent="0.25">
      <c r="A581" s="7" t="s">
        <v>153</v>
      </c>
      <c r="B581" s="7" t="s">
        <v>161</v>
      </c>
      <c r="C581" s="74">
        <v>75</v>
      </c>
      <c r="D581" s="74">
        <v>47</v>
      </c>
      <c r="E581" s="71">
        <f t="shared" si="130"/>
        <v>0.62666666666666671</v>
      </c>
      <c r="F581" s="65" t="str">
        <f t="shared" si="132"/>
        <v>Desempenho Bom</v>
      </c>
      <c r="G581" s="71">
        <f t="shared" si="122"/>
        <v>0.36222496935690102</v>
      </c>
      <c r="H581" s="71">
        <f t="shared" si="122"/>
        <v>0.67917151968337719</v>
      </c>
      <c r="I581" s="71">
        <f t="shared" si="122"/>
        <v>4.5278419030424844E-2</v>
      </c>
      <c r="J581" s="75">
        <v>28517.09</v>
      </c>
      <c r="K581" s="75">
        <v>2952</v>
      </c>
      <c r="L581" s="6">
        <f>(SUM(K578:K581))/J580</f>
        <v>0.22817054615320148</v>
      </c>
      <c r="M581" s="36" t="str">
        <f t="shared" si="133"/>
        <v>Desempenho Bom</v>
      </c>
      <c r="N581" s="6">
        <f t="shared" si="128"/>
        <v>0.2271654986777647</v>
      </c>
      <c r="O581" s="6">
        <f t="shared" si="128"/>
        <v>0.71582389712396544</v>
      </c>
      <c r="P581" s="6">
        <f t="shared" si="128"/>
        <v>-0.26149289976843598</v>
      </c>
      <c r="Q581" s="75">
        <v>66</v>
      </c>
      <c r="R581" s="76">
        <v>30</v>
      </c>
      <c r="S581" s="6">
        <f t="shared" si="131"/>
        <v>0.45454545454545453</v>
      </c>
      <c r="T581" s="36" t="str">
        <f t="shared" si="134"/>
        <v>Desempenho Ótimo</v>
      </c>
      <c r="U581" s="6">
        <f t="shared" si="129"/>
        <v>0.18401218302179842</v>
      </c>
      <c r="V581" s="6">
        <f t="shared" si="129"/>
        <v>0.37883088095577799</v>
      </c>
      <c r="W581" s="6">
        <f t="shared" si="129"/>
        <v>-1.0806514912181153E-2</v>
      </c>
      <c r="X581" s="6">
        <f t="shared" si="129"/>
        <v>8.6602834054808633E-2</v>
      </c>
      <c r="Y581" s="6">
        <f t="shared" si="129"/>
        <v>0.19481869793397957</v>
      </c>
    </row>
    <row r="582" spans="1:25" x14ac:dyDescent="0.25">
      <c r="A582" s="7" t="s">
        <v>153</v>
      </c>
      <c r="B582" s="7" t="s">
        <v>162</v>
      </c>
      <c r="C582" s="74">
        <v>75</v>
      </c>
      <c r="D582" s="74">
        <v>50</v>
      </c>
      <c r="E582" s="71">
        <f t="shared" si="130"/>
        <v>0.66666666666666663</v>
      </c>
      <c r="F582" s="65" t="str">
        <f t="shared" si="132"/>
        <v>Desempenho Bom</v>
      </c>
      <c r="G582" s="71">
        <f t="shared" si="122"/>
        <v>0.44825178806664662</v>
      </c>
      <c r="H582" s="71">
        <f t="shared" si="122"/>
        <v>0.78548221403733831</v>
      </c>
      <c r="I582" s="71">
        <f t="shared" si="122"/>
        <v>0.11102136209595498</v>
      </c>
      <c r="J582" s="75">
        <v>28517.09</v>
      </c>
      <c r="K582" s="75">
        <v>2532</v>
      </c>
      <c r="L582" s="6">
        <f>(SUM(K578:K582))/J581</f>
        <v>0.31695940925248683</v>
      </c>
      <c r="M582" s="36" t="str">
        <f t="shared" si="133"/>
        <v>Desempenho Bom</v>
      </c>
      <c r="N582" s="6">
        <f t="shared" ref="N582:P597" si="135">N570</f>
        <v>0.27284258705105507</v>
      </c>
      <c r="O582" s="6">
        <f t="shared" si="135"/>
        <v>0.75981161093062477</v>
      </c>
      <c r="P582" s="6">
        <f t="shared" si="135"/>
        <v>-0.21412643682851468</v>
      </c>
      <c r="Q582" s="75">
        <v>66</v>
      </c>
      <c r="R582" s="76">
        <v>30</v>
      </c>
      <c r="S582" s="6">
        <f t="shared" si="131"/>
        <v>0.45454545454545453</v>
      </c>
      <c r="T582" s="36" t="str">
        <f t="shared" si="134"/>
        <v>Desempenho Bom</v>
      </c>
      <c r="U582" s="6">
        <f t="shared" si="129"/>
        <v>0.23278475191631845</v>
      </c>
      <c r="V582" s="6">
        <f t="shared" si="129"/>
        <v>0.51017789992422413</v>
      </c>
      <c r="W582" s="6">
        <f t="shared" si="129"/>
        <v>-4.460839609158726E-2</v>
      </c>
      <c r="X582" s="6">
        <f t="shared" si="129"/>
        <v>9.4088177912365595E-2</v>
      </c>
      <c r="Y582" s="6">
        <f t="shared" si="129"/>
        <v>0.27739314800790571</v>
      </c>
    </row>
    <row r="583" spans="1:25" x14ac:dyDescent="0.25">
      <c r="A583" s="7" t="s">
        <v>153</v>
      </c>
      <c r="B583" s="7" t="s">
        <v>163</v>
      </c>
      <c r="C583" s="74">
        <v>75</v>
      </c>
      <c r="D583" s="74">
        <v>50</v>
      </c>
      <c r="E583" s="71">
        <f t="shared" si="130"/>
        <v>0.66666666666666663</v>
      </c>
      <c r="F583" s="65" t="str">
        <f t="shared" si="132"/>
        <v>Desempenho Bom</v>
      </c>
      <c r="G583" s="71">
        <f t="shared" si="122"/>
        <v>0.54231176602906361</v>
      </c>
      <c r="H583" s="71">
        <f t="shared" si="122"/>
        <v>0.92735502699565786</v>
      </c>
      <c r="I583" s="71">
        <f t="shared" si="122"/>
        <v>0.15726850506246942</v>
      </c>
      <c r="J583" s="75">
        <v>28517.09</v>
      </c>
      <c r="K583" s="75">
        <v>300</v>
      </c>
      <c r="L583" s="6">
        <f>(SUM(K578:K583))/J582</f>
        <v>0.32747941672870551</v>
      </c>
      <c r="M583" s="36" t="str">
        <f t="shared" si="133"/>
        <v>Desempenho Bom</v>
      </c>
      <c r="N583" s="6">
        <f t="shared" si="135"/>
        <v>0.31451673641638933</v>
      </c>
      <c r="O583" s="6">
        <f t="shared" si="135"/>
        <v>0.80702132782766356</v>
      </c>
      <c r="P583" s="6">
        <f t="shared" si="135"/>
        <v>-0.1779878549948849</v>
      </c>
      <c r="Q583" s="75">
        <v>66</v>
      </c>
      <c r="R583" s="76">
        <v>30</v>
      </c>
      <c r="S583" s="6">
        <f t="shared" si="131"/>
        <v>0.45454545454545453</v>
      </c>
      <c r="T583" s="36" t="str">
        <f t="shared" si="134"/>
        <v>Desempenho Médio</v>
      </c>
      <c r="U583" s="6">
        <f t="shared" si="129"/>
        <v>0.46105014853915682</v>
      </c>
      <c r="V583" s="6">
        <f t="shared" si="129"/>
        <v>0.84756736419379908</v>
      </c>
      <c r="W583" s="6">
        <f t="shared" si="129"/>
        <v>7.4532932884514569E-2</v>
      </c>
      <c r="X583" s="6">
        <f t="shared" si="129"/>
        <v>7.4532932884514569E-2</v>
      </c>
      <c r="Y583" s="6">
        <f t="shared" si="129"/>
        <v>0.38651721565464225</v>
      </c>
    </row>
    <row r="584" spans="1:25" x14ac:dyDescent="0.25">
      <c r="A584" s="7" t="s">
        <v>153</v>
      </c>
      <c r="B584" s="7" t="s">
        <v>164</v>
      </c>
      <c r="C584" s="74">
        <v>75</v>
      </c>
      <c r="D584" s="74">
        <v>53</v>
      </c>
      <c r="E584" s="71">
        <f t="shared" si="130"/>
        <v>0.70666666666666667</v>
      </c>
      <c r="F584" s="65" t="str">
        <f t="shared" si="132"/>
        <v>Desempenho Bom</v>
      </c>
      <c r="G584" s="71">
        <f t="shared" si="122"/>
        <v>0.63634637719050002</v>
      </c>
      <c r="H584" s="71">
        <f t="shared" si="122"/>
        <v>1.0512878703900039</v>
      </c>
      <c r="I584" s="71">
        <f t="shared" si="122"/>
        <v>0.22140488399099606</v>
      </c>
      <c r="J584" s="75">
        <v>28517.09</v>
      </c>
      <c r="K584" s="75">
        <v>2641.06</v>
      </c>
      <c r="L584" s="6">
        <f>(SUM(K578:K584))/J583</f>
        <v>0.42009265321251221</v>
      </c>
      <c r="M584" s="36" t="str">
        <f t="shared" si="133"/>
        <v>Desempenho Bom</v>
      </c>
      <c r="N584" s="6">
        <f t="shared" si="135"/>
        <v>0.38334713342809434</v>
      </c>
      <c r="O584" s="6">
        <f t="shared" si="135"/>
        <v>0.88375935483946089</v>
      </c>
      <c r="P584" s="6">
        <f t="shared" si="135"/>
        <v>-0.1170650879832722</v>
      </c>
      <c r="Q584" s="75">
        <v>66</v>
      </c>
      <c r="R584" s="76">
        <v>30</v>
      </c>
      <c r="S584" s="6">
        <f t="shared" si="131"/>
        <v>0.45454545454545453</v>
      </c>
      <c r="T584" s="36" t="str">
        <f t="shared" si="134"/>
        <v>Desempenho Médio</v>
      </c>
      <c r="U584" s="6">
        <f t="shared" si="129"/>
        <v>0.46105014853915682</v>
      </c>
      <c r="V584" s="6">
        <f t="shared" si="129"/>
        <v>0.84756736419379908</v>
      </c>
      <c r="W584" s="6">
        <f t="shared" si="129"/>
        <v>7.4532932884514569E-2</v>
      </c>
      <c r="X584" s="6">
        <f t="shared" si="129"/>
        <v>7.4532932884514569E-2</v>
      </c>
      <c r="Y584" s="6">
        <f t="shared" si="129"/>
        <v>0.38651721565464225</v>
      </c>
    </row>
    <row r="585" spans="1:25" x14ac:dyDescent="0.25">
      <c r="A585" s="7" t="s">
        <v>153</v>
      </c>
      <c r="B585" s="7" t="s">
        <v>165</v>
      </c>
      <c r="C585" s="74">
        <v>75</v>
      </c>
      <c r="D585" s="74">
        <v>53</v>
      </c>
      <c r="E585" s="71">
        <f t="shared" si="130"/>
        <v>0.70666666666666667</v>
      </c>
      <c r="F585" s="65" t="str">
        <f t="shared" si="132"/>
        <v>Desempenho Bom</v>
      </c>
      <c r="G585" s="71">
        <f t="shared" si="122"/>
        <v>0.70660866675940681</v>
      </c>
      <c r="H585" s="71">
        <f t="shared" si="122"/>
        <v>1.1341225514190425</v>
      </c>
      <c r="I585" s="71">
        <f t="shared" si="122"/>
        <v>0.27909478209977112</v>
      </c>
      <c r="J585" s="75">
        <v>28517.09</v>
      </c>
      <c r="K585" s="75">
        <v>0</v>
      </c>
      <c r="L585" s="6">
        <f>(SUM(K578:K585))/J584</f>
        <v>0.42009265321251221</v>
      </c>
      <c r="M585" s="36" t="str">
        <f t="shared" si="133"/>
        <v>Desempenho Médio</v>
      </c>
      <c r="N585" s="6">
        <f t="shared" si="135"/>
        <v>0.45719521320533213</v>
      </c>
      <c r="O585" s="6">
        <f t="shared" si="135"/>
        <v>0.97356755068321044</v>
      </c>
      <c r="P585" s="6">
        <f t="shared" si="135"/>
        <v>-5.9177124272546122E-2</v>
      </c>
      <c r="Q585" s="75">
        <v>66</v>
      </c>
      <c r="R585" s="76">
        <v>30</v>
      </c>
      <c r="S585" s="6">
        <f t="shared" si="131"/>
        <v>0.45454545454545453</v>
      </c>
      <c r="T585" s="36" t="str">
        <f t="shared" si="134"/>
        <v>Desempenho Médio</v>
      </c>
      <c r="U585" s="6">
        <f t="shared" si="129"/>
        <v>0.46105014853915682</v>
      </c>
      <c r="V585" s="6">
        <f t="shared" si="129"/>
        <v>0.84756736419379908</v>
      </c>
      <c r="W585" s="6">
        <f t="shared" si="129"/>
        <v>7.4532932884514569E-2</v>
      </c>
      <c r="X585" s="6">
        <f t="shared" si="129"/>
        <v>7.4532932884514569E-2</v>
      </c>
      <c r="Y585" s="6">
        <f t="shared" si="129"/>
        <v>0.38651721565464225</v>
      </c>
    </row>
    <row r="586" spans="1:25" x14ac:dyDescent="0.25">
      <c r="A586" s="7" t="s">
        <v>153</v>
      </c>
      <c r="B586" s="7" t="s">
        <v>166</v>
      </c>
      <c r="C586" s="74">
        <v>75</v>
      </c>
      <c r="D586" s="74">
        <v>53</v>
      </c>
      <c r="E586" s="71">
        <f t="shared" si="130"/>
        <v>0.70666666666666667</v>
      </c>
      <c r="F586" s="65" t="str">
        <f t="shared" si="132"/>
        <v>Desempenho Médio</v>
      </c>
      <c r="G586" s="71">
        <f t="shared" si="122"/>
        <v>0.73663014244586189</v>
      </c>
      <c r="H586" s="71">
        <f t="shared" si="122"/>
        <v>1.1737360935948695</v>
      </c>
      <c r="I586" s="71">
        <f t="shared" si="122"/>
        <v>0.29952419129685426</v>
      </c>
      <c r="J586" s="75">
        <v>28517.09</v>
      </c>
      <c r="K586" s="75">
        <v>1263</v>
      </c>
      <c r="L586" s="6">
        <f>(SUM(K578:K586))/J585</f>
        <v>0.46438188468739272</v>
      </c>
      <c r="M586" s="36" t="str">
        <f t="shared" si="133"/>
        <v>Desempenho Médio</v>
      </c>
      <c r="N586" s="6">
        <f t="shared" si="135"/>
        <v>0.50336729135060976</v>
      </c>
      <c r="O586" s="6">
        <f t="shared" si="135"/>
        <v>1.0150591886201059</v>
      </c>
      <c r="P586" s="6">
        <f t="shared" si="135"/>
        <v>-8.3246059188863963E-3</v>
      </c>
      <c r="Q586" s="75">
        <v>66</v>
      </c>
      <c r="R586" s="76">
        <v>47</v>
      </c>
      <c r="S586" s="6">
        <f t="shared" si="131"/>
        <v>0.71212121212121215</v>
      </c>
      <c r="T586" s="36" t="str">
        <f t="shared" si="134"/>
        <v>Desempenho Médio</v>
      </c>
      <c r="U586" s="6">
        <f t="shared" si="129"/>
        <v>0.74232771533595698</v>
      </c>
      <c r="V586" s="6">
        <f t="shared" si="129"/>
        <v>1.1540802341555996</v>
      </c>
      <c r="W586" s="6">
        <f t="shared" si="129"/>
        <v>0.33057519651631434</v>
      </c>
      <c r="X586" s="6">
        <f t="shared" si="129"/>
        <v>0.33057519651631434</v>
      </c>
      <c r="Y586" s="6">
        <f t="shared" si="129"/>
        <v>0.41175251881964264</v>
      </c>
    </row>
    <row r="587" spans="1:25" x14ac:dyDescent="0.25">
      <c r="A587" s="7" t="s">
        <v>153</v>
      </c>
      <c r="B587" s="7" t="s">
        <v>167</v>
      </c>
      <c r="C587" s="74">
        <v>75</v>
      </c>
      <c r="D587" s="74">
        <v>53</v>
      </c>
      <c r="E587" s="71">
        <f t="shared" si="130"/>
        <v>0.70666666666666667</v>
      </c>
      <c r="F587" s="65" t="str">
        <f t="shared" si="132"/>
        <v>Desempenho Médio</v>
      </c>
      <c r="G587" s="71">
        <f t="shared" si="122"/>
        <v>0.82061442726694189</v>
      </c>
      <c r="H587" s="71">
        <f t="shared" si="122"/>
        <v>1.2607833515834532</v>
      </c>
      <c r="I587" s="71">
        <f t="shared" si="122"/>
        <v>0.38044550295043061</v>
      </c>
      <c r="J587" s="75">
        <v>28517.09</v>
      </c>
      <c r="K587" s="75">
        <v>0</v>
      </c>
      <c r="L587" s="6">
        <f>(SUM(K578:K587))/J586</f>
        <v>0.46438188468739272</v>
      </c>
      <c r="M587" s="36" t="str">
        <f t="shared" si="133"/>
        <v>Desempenho Médio</v>
      </c>
      <c r="N587" s="6">
        <f t="shared" si="135"/>
        <v>0.58006775555216661</v>
      </c>
      <c r="O587" s="6">
        <f t="shared" si="135"/>
        <v>1.099948635873619</v>
      </c>
      <c r="P587" s="6">
        <f t="shared" si="135"/>
        <v>6.0186875230714088E-2</v>
      </c>
      <c r="Q587" s="75">
        <v>66</v>
      </c>
      <c r="R587" s="76">
        <v>47</v>
      </c>
      <c r="S587" s="6">
        <f t="shared" si="131"/>
        <v>0.71212121212121215</v>
      </c>
      <c r="T587" s="36" t="str">
        <f t="shared" si="134"/>
        <v>Desempenho Médio</v>
      </c>
      <c r="U587" s="6">
        <f t="shared" si="129"/>
        <v>0.82347447721763523</v>
      </c>
      <c r="V587" s="6">
        <f t="shared" si="129"/>
        <v>1.2398542522675045</v>
      </c>
      <c r="W587" s="6">
        <f t="shared" si="129"/>
        <v>0.40709470216776611</v>
      </c>
      <c r="X587" s="6">
        <f t="shared" si="129"/>
        <v>0.40709470216776611</v>
      </c>
      <c r="Y587" s="6">
        <f t="shared" si="129"/>
        <v>0.41637977504986912</v>
      </c>
    </row>
    <row r="588" spans="1:25" x14ac:dyDescent="0.25">
      <c r="A588" s="7" t="s">
        <v>153</v>
      </c>
      <c r="B588" s="7" t="s">
        <v>168</v>
      </c>
      <c r="C588" s="74">
        <v>75</v>
      </c>
      <c r="D588" s="74">
        <v>53</v>
      </c>
      <c r="E588" s="71">
        <f t="shared" si="130"/>
        <v>0.70666666666666667</v>
      </c>
      <c r="F588" s="65" t="str">
        <f t="shared" si="132"/>
        <v>Desempenho Médio</v>
      </c>
      <c r="G588" s="71">
        <f t="shared" si="122"/>
        <v>0.94582556715526966</v>
      </c>
      <c r="H588" s="71">
        <f t="shared" si="122"/>
        <v>1.4311117173682604</v>
      </c>
      <c r="I588" s="71">
        <f t="shared" si="122"/>
        <v>0.46053941694227907</v>
      </c>
      <c r="J588" s="75">
        <v>28517.09</v>
      </c>
      <c r="K588" s="75">
        <v>0</v>
      </c>
      <c r="L588" s="6">
        <f>(SUM(K578:K588))/J587</f>
        <v>0.46438188468739272</v>
      </c>
      <c r="M588" s="36" t="str">
        <f t="shared" si="133"/>
        <v>Desempenho Médio</v>
      </c>
      <c r="N588" s="6">
        <f t="shared" si="135"/>
        <v>0.72282137340514951</v>
      </c>
      <c r="O588" s="6">
        <f t="shared" si="135"/>
        <v>1.2463651595014014</v>
      </c>
      <c r="P588" s="6">
        <f t="shared" si="135"/>
        <v>0.19927758730889755</v>
      </c>
      <c r="Q588" s="75">
        <v>66</v>
      </c>
      <c r="R588" s="76">
        <v>56</v>
      </c>
      <c r="S588" s="6">
        <f t="shared" si="131"/>
        <v>0.84848484848484851</v>
      </c>
      <c r="T588" s="36" t="str">
        <f t="shared" si="134"/>
        <v>Desempenho Médio</v>
      </c>
      <c r="U588" s="6">
        <f t="shared" si="129"/>
        <v>0.91825333306001944</v>
      </c>
      <c r="V588" s="6">
        <f t="shared" si="129"/>
        <v>1.402047931898428</v>
      </c>
      <c r="W588" s="6">
        <f t="shared" si="129"/>
        <v>0.43445873422161085</v>
      </c>
      <c r="X588" s="6">
        <f t="shared" si="129"/>
        <v>0.43445873422161085</v>
      </c>
      <c r="Y588" s="6">
        <f t="shared" si="129"/>
        <v>0.48379459883840858</v>
      </c>
    </row>
    <row r="589" spans="1:25" x14ac:dyDescent="0.25">
      <c r="A589" s="7" t="s">
        <v>153</v>
      </c>
      <c r="B589" s="7" t="s">
        <v>169</v>
      </c>
      <c r="C589" s="74">
        <v>75</v>
      </c>
      <c r="D589" s="74">
        <v>53</v>
      </c>
      <c r="E589" s="71">
        <f t="shared" si="130"/>
        <v>0.70666666666666667</v>
      </c>
      <c r="F589" s="65" t="str">
        <f t="shared" si="132"/>
        <v>Desempenho Médio</v>
      </c>
      <c r="G589" s="71">
        <f t="shared" si="122"/>
        <v>1.0016849877757958</v>
      </c>
      <c r="H589" s="71">
        <f t="shared" si="122"/>
        <v>1.521489991464148</v>
      </c>
      <c r="I589" s="71">
        <f t="shared" si="122"/>
        <v>0.48187998408744359</v>
      </c>
      <c r="J589" s="75">
        <v>28517.09</v>
      </c>
      <c r="K589" s="75">
        <v>0</v>
      </c>
      <c r="L589" s="6">
        <f>(SUM(K578:K589))/J588</f>
        <v>0.46438188468739272</v>
      </c>
      <c r="M589" s="36" t="str">
        <f t="shared" si="133"/>
        <v>Desempenho Médio</v>
      </c>
      <c r="N589" s="6">
        <f t="shared" si="135"/>
        <v>0.82421983567812696</v>
      </c>
      <c r="O589" s="6">
        <f t="shared" si="135"/>
        <v>1.3730394926064369</v>
      </c>
      <c r="P589" s="6">
        <f t="shared" si="135"/>
        <v>0.27540017874981693</v>
      </c>
      <c r="Q589" s="75">
        <v>66</v>
      </c>
      <c r="R589" s="76">
        <v>56</v>
      </c>
      <c r="S589" s="6">
        <f t="shared" si="131"/>
        <v>0.84848484848484851</v>
      </c>
      <c r="T589" s="36" t="str">
        <f t="shared" si="134"/>
        <v>Desempenho Médio</v>
      </c>
      <c r="U589" s="6">
        <f t="shared" si="129"/>
        <v>0.91825333306001944</v>
      </c>
      <c r="V589" s="6">
        <f t="shared" si="129"/>
        <v>1.402047931898428</v>
      </c>
      <c r="W589" s="6">
        <f t="shared" si="129"/>
        <v>0.43445873422161085</v>
      </c>
      <c r="X589" s="6">
        <f t="shared" si="129"/>
        <v>0.43445873422161085</v>
      </c>
      <c r="Y589" s="6">
        <f t="shared" si="129"/>
        <v>0.48379459883840858</v>
      </c>
    </row>
    <row r="590" spans="1:25" x14ac:dyDescent="0.25">
      <c r="A590" s="7" t="s">
        <v>137</v>
      </c>
      <c r="B590" s="7" t="s">
        <v>158</v>
      </c>
      <c r="C590" s="74">
        <v>75</v>
      </c>
      <c r="D590" s="74">
        <v>10</v>
      </c>
      <c r="E590" s="71">
        <f t="shared" si="130"/>
        <v>0.13333333333333333</v>
      </c>
      <c r="F590" s="65" t="str">
        <f t="shared" si="132"/>
        <v>Desempenho Bom</v>
      </c>
      <c r="G590" s="71">
        <f t="shared" si="122"/>
        <v>0.11573204891712785</v>
      </c>
      <c r="H590" s="71">
        <f t="shared" si="122"/>
        <v>0.30218524997148988</v>
      </c>
      <c r="I590" s="71">
        <f t="shared" si="122"/>
        <v>-7.0721152137234206E-2</v>
      </c>
      <c r="J590" s="75">
        <v>25000</v>
      </c>
      <c r="K590" s="75">
        <v>2300</v>
      </c>
      <c r="L590" s="6">
        <f>K590/J590</f>
        <v>9.1999999999999998E-2</v>
      </c>
      <c r="M590" s="36" t="str">
        <f t="shared" si="133"/>
        <v>Desempenho Médio</v>
      </c>
      <c r="N590" s="6">
        <f t="shared" si="135"/>
        <v>0.11129468122233216</v>
      </c>
      <c r="O590" s="6">
        <f t="shared" si="135"/>
        <v>0.54990456699293522</v>
      </c>
      <c r="P590" s="6">
        <f t="shared" si="135"/>
        <v>-0.32731520454827095</v>
      </c>
      <c r="Q590" s="75">
        <v>70</v>
      </c>
      <c r="R590" s="76">
        <v>0</v>
      </c>
      <c r="S590" s="6">
        <f t="shared" si="131"/>
        <v>0</v>
      </c>
      <c r="T590" s="36" t="str">
        <f t="shared" si="134"/>
        <v>Desempenho Médio</v>
      </c>
      <c r="U590" s="6">
        <f t="shared" si="129"/>
        <v>6.5053670194766225E-2</v>
      </c>
      <c r="V590" s="6">
        <f t="shared" si="129"/>
        <v>0.16010348962314203</v>
      </c>
      <c r="W590" s="6">
        <f t="shared" si="129"/>
        <v>-2.9996149233609562E-2</v>
      </c>
      <c r="X590" s="6">
        <f t="shared" si="129"/>
        <v>1.7528760480578331E-2</v>
      </c>
      <c r="Y590" s="6">
        <f t="shared" si="129"/>
        <v>9.5049819428375787E-2</v>
      </c>
    </row>
    <row r="591" spans="1:25" x14ac:dyDescent="0.25">
      <c r="A591" s="7" t="s">
        <v>137</v>
      </c>
      <c r="B591" s="7" t="s">
        <v>159</v>
      </c>
      <c r="C591" s="74">
        <v>75</v>
      </c>
      <c r="D591" s="74">
        <v>10</v>
      </c>
      <c r="E591" s="71">
        <f t="shared" si="130"/>
        <v>0.13333333333333333</v>
      </c>
      <c r="F591" s="65" t="str">
        <f t="shared" si="132"/>
        <v>Desempenho Médio</v>
      </c>
      <c r="G591" s="71">
        <f t="shared" ref="G591:I649" si="136">G579</f>
        <v>0.22598075676513599</v>
      </c>
      <c r="H591" s="71">
        <f t="shared" si="136"/>
        <v>0.51894873552035481</v>
      </c>
      <c r="I591" s="71">
        <f t="shared" si="136"/>
        <v>-6.6987221990082807E-2</v>
      </c>
      <c r="J591" s="75">
        <v>25000</v>
      </c>
      <c r="K591" s="75">
        <v>0</v>
      </c>
      <c r="L591" s="6">
        <f>(SUM(K590:K591))/J590</f>
        <v>9.1999999999999998E-2</v>
      </c>
      <c r="M591" s="36" t="str">
        <f t="shared" si="133"/>
        <v>Desempenho Médio</v>
      </c>
      <c r="N591" s="6">
        <f t="shared" si="135"/>
        <v>0.14992070801509372</v>
      </c>
      <c r="O591" s="6">
        <f t="shared" si="135"/>
        <v>0.58968599072326611</v>
      </c>
      <c r="P591" s="6">
        <f t="shared" si="135"/>
        <v>-0.28984457469307867</v>
      </c>
      <c r="Q591" s="75">
        <v>70</v>
      </c>
      <c r="R591" s="76">
        <v>0</v>
      </c>
      <c r="S591" s="6">
        <f t="shared" si="131"/>
        <v>0</v>
      </c>
      <c r="T591" s="36" t="str">
        <f t="shared" si="134"/>
        <v>Desempenho Médio</v>
      </c>
      <c r="U591" s="6">
        <f t="shared" ref="U591:Y606" si="137">U579</f>
        <v>6.5053670194766225E-2</v>
      </c>
      <c r="V591" s="6">
        <f t="shared" si="137"/>
        <v>0.16010348962314203</v>
      </c>
      <c r="W591" s="6">
        <f t="shared" si="137"/>
        <v>-2.9996149233609562E-2</v>
      </c>
      <c r="X591" s="6">
        <f t="shared" si="137"/>
        <v>1.7528760480578331E-2</v>
      </c>
      <c r="Y591" s="6">
        <f t="shared" si="137"/>
        <v>9.5049819428375787E-2</v>
      </c>
    </row>
    <row r="592" spans="1:25" x14ac:dyDescent="0.25">
      <c r="A592" s="7" t="s">
        <v>137</v>
      </c>
      <c r="B592" s="7" t="s">
        <v>160</v>
      </c>
      <c r="C592" s="74">
        <v>75</v>
      </c>
      <c r="D592" s="74">
        <v>10</v>
      </c>
      <c r="E592" s="71">
        <f t="shared" si="130"/>
        <v>0.13333333333333333</v>
      </c>
      <c r="F592" s="65" t="str">
        <f t="shared" si="132"/>
        <v>Desempenho Médio</v>
      </c>
      <c r="G592" s="71">
        <f t="shared" si="136"/>
        <v>0.2827891266215985</v>
      </c>
      <c r="H592" s="71">
        <f t="shared" si="136"/>
        <v>0.59134445337262298</v>
      </c>
      <c r="I592" s="71">
        <f t="shared" si="136"/>
        <v>-2.5766200129425987E-2</v>
      </c>
      <c r="J592" s="75">
        <v>25000</v>
      </c>
      <c r="K592" s="75">
        <v>0</v>
      </c>
      <c r="L592" s="6">
        <f>(SUM(K590:K592))/J591</f>
        <v>9.1999999999999998E-2</v>
      </c>
      <c r="M592" s="36" t="str">
        <f t="shared" si="133"/>
        <v>Desempenho Médio</v>
      </c>
      <c r="N592" s="6">
        <f t="shared" si="135"/>
        <v>0.17723994755342617</v>
      </c>
      <c r="O592" s="6">
        <f t="shared" si="135"/>
        <v>0.61473682715667155</v>
      </c>
      <c r="P592" s="6">
        <f t="shared" si="135"/>
        <v>-0.26025693204981915</v>
      </c>
      <c r="Q592" s="75">
        <v>70</v>
      </c>
      <c r="R592" s="76">
        <v>3</v>
      </c>
      <c r="S592" s="6">
        <f t="shared" si="131"/>
        <v>4.2857142857142858E-2</v>
      </c>
      <c r="T592" s="36" t="str">
        <f t="shared" si="134"/>
        <v>Desempenho Médio</v>
      </c>
      <c r="U592" s="6">
        <f t="shared" si="137"/>
        <v>0.18401218302179842</v>
      </c>
      <c r="V592" s="6">
        <f t="shared" si="137"/>
        <v>0.37883088095577799</v>
      </c>
      <c r="W592" s="6">
        <f t="shared" si="137"/>
        <v>-1.0806514912181153E-2</v>
      </c>
      <c r="X592" s="6">
        <f t="shared" si="137"/>
        <v>8.6602834054808633E-2</v>
      </c>
      <c r="Y592" s="6">
        <f t="shared" si="137"/>
        <v>0.19481869793397957</v>
      </c>
    </row>
    <row r="593" spans="1:25" x14ac:dyDescent="0.25">
      <c r="A593" s="7" t="s">
        <v>137</v>
      </c>
      <c r="B593" s="7" t="s">
        <v>161</v>
      </c>
      <c r="C593" s="74">
        <v>75</v>
      </c>
      <c r="D593" s="74">
        <v>10</v>
      </c>
      <c r="E593" s="71">
        <f t="shared" si="130"/>
        <v>0.13333333333333333</v>
      </c>
      <c r="F593" s="65" t="str">
        <f t="shared" si="132"/>
        <v>Desempenho Médio</v>
      </c>
      <c r="G593" s="71">
        <f t="shared" si="136"/>
        <v>0.36222496935690102</v>
      </c>
      <c r="H593" s="71">
        <f t="shared" si="136"/>
        <v>0.67917151968337719</v>
      </c>
      <c r="I593" s="71">
        <f t="shared" si="136"/>
        <v>4.5278419030424844E-2</v>
      </c>
      <c r="J593" s="75">
        <v>25000</v>
      </c>
      <c r="K593" s="75">
        <v>0</v>
      </c>
      <c r="L593" s="6">
        <f>(SUM(K590:K593))/J592</f>
        <v>9.1999999999999998E-2</v>
      </c>
      <c r="M593" s="36" t="str">
        <f t="shared" si="133"/>
        <v>Desempenho Médio</v>
      </c>
      <c r="N593" s="6">
        <f t="shared" si="135"/>
        <v>0.2271654986777647</v>
      </c>
      <c r="O593" s="6">
        <f t="shared" si="135"/>
        <v>0.71582389712396544</v>
      </c>
      <c r="P593" s="6">
        <f t="shared" si="135"/>
        <v>-0.26149289976843598</v>
      </c>
      <c r="Q593" s="75">
        <v>70</v>
      </c>
      <c r="R593" s="76">
        <v>3</v>
      </c>
      <c r="S593" s="6">
        <f t="shared" si="131"/>
        <v>4.2857142857142858E-2</v>
      </c>
      <c r="T593" s="36" t="str">
        <f t="shared" si="134"/>
        <v>Desempenho Médio</v>
      </c>
      <c r="U593" s="6">
        <f t="shared" si="137"/>
        <v>0.18401218302179842</v>
      </c>
      <c r="V593" s="6">
        <f t="shared" si="137"/>
        <v>0.37883088095577799</v>
      </c>
      <c r="W593" s="6">
        <f t="shared" si="137"/>
        <v>-1.0806514912181153E-2</v>
      </c>
      <c r="X593" s="6">
        <f t="shared" si="137"/>
        <v>8.6602834054808633E-2</v>
      </c>
      <c r="Y593" s="6">
        <f t="shared" si="137"/>
        <v>0.19481869793397957</v>
      </c>
    </row>
    <row r="594" spans="1:25" x14ac:dyDescent="0.25">
      <c r="A594" s="7" t="s">
        <v>137</v>
      </c>
      <c r="B594" s="7" t="s">
        <v>162</v>
      </c>
      <c r="C594" s="74">
        <v>75</v>
      </c>
      <c r="D594" s="74">
        <v>10</v>
      </c>
      <c r="E594" s="71">
        <f t="shared" si="130"/>
        <v>0.13333333333333333</v>
      </c>
      <c r="F594" s="65" t="str">
        <f t="shared" si="132"/>
        <v>Desempenho Médio</v>
      </c>
      <c r="G594" s="71">
        <f t="shared" si="136"/>
        <v>0.44825178806664662</v>
      </c>
      <c r="H594" s="71">
        <f t="shared" si="136"/>
        <v>0.78548221403733831</v>
      </c>
      <c r="I594" s="71">
        <f t="shared" si="136"/>
        <v>0.11102136209595498</v>
      </c>
      <c r="J594" s="75">
        <v>25000</v>
      </c>
      <c r="K594" s="75">
        <v>0</v>
      </c>
      <c r="L594" s="6">
        <f>(SUM(K590:K594))/J593</f>
        <v>9.1999999999999998E-2</v>
      </c>
      <c r="M594" s="36" t="str">
        <f t="shared" si="133"/>
        <v>Desempenho Médio</v>
      </c>
      <c r="N594" s="6">
        <f t="shared" si="135"/>
        <v>0.27284258705105507</v>
      </c>
      <c r="O594" s="6">
        <f t="shared" si="135"/>
        <v>0.75981161093062477</v>
      </c>
      <c r="P594" s="6">
        <f t="shared" si="135"/>
        <v>-0.21412643682851468</v>
      </c>
      <c r="Q594" s="75">
        <v>70</v>
      </c>
      <c r="R594" s="76">
        <v>3</v>
      </c>
      <c r="S594" s="6">
        <f t="shared" si="131"/>
        <v>4.2857142857142858E-2</v>
      </c>
      <c r="T594" s="36" t="str">
        <f t="shared" si="134"/>
        <v>Desempenho Médio</v>
      </c>
      <c r="U594" s="6">
        <f t="shared" si="137"/>
        <v>0.23278475191631845</v>
      </c>
      <c r="V594" s="6">
        <f t="shared" si="137"/>
        <v>0.51017789992422413</v>
      </c>
      <c r="W594" s="6">
        <f t="shared" si="137"/>
        <v>-4.460839609158726E-2</v>
      </c>
      <c r="X594" s="6">
        <f t="shared" si="137"/>
        <v>9.4088177912365595E-2</v>
      </c>
      <c r="Y594" s="6">
        <f t="shared" si="137"/>
        <v>0.27739314800790571</v>
      </c>
    </row>
    <row r="595" spans="1:25" x14ac:dyDescent="0.25">
      <c r="A595" s="7" t="s">
        <v>137</v>
      </c>
      <c r="B595" s="7" t="s">
        <v>163</v>
      </c>
      <c r="C595" s="74">
        <v>75</v>
      </c>
      <c r="D595" s="74">
        <v>24</v>
      </c>
      <c r="E595" s="71">
        <f t="shared" si="130"/>
        <v>0.32</v>
      </c>
      <c r="F595" s="65" t="str">
        <f t="shared" si="132"/>
        <v>Desempenho Médio</v>
      </c>
      <c r="G595" s="71">
        <f t="shared" si="136"/>
        <v>0.54231176602906361</v>
      </c>
      <c r="H595" s="71">
        <f t="shared" si="136"/>
        <v>0.92735502699565786</v>
      </c>
      <c r="I595" s="71">
        <f t="shared" si="136"/>
        <v>0.15726850506246942</v>
      </c>
      <c r="J595" s="75">
        <v>25000</v>
      </c>
      <c r="K595" s="75">
        <v>2184</v>
      </c>
      <c r="L595" s="6">
        <f>(SUM(K590:K595))/J594</f>
        <v>0.17935999999999999</v>
      </c>
      <c r="M595" s="36" t="str">
        <f t="shared" si="133"/>
        <v>Desempenho Médio</v>
      </c>
      <c r="N595" s="6">
        <f t="shared" si="135"/>
        <v>0.31451673641638933</v>
      </c>
      <c r="O595" s="6">
        <f t="shared" si="135"/>
        <v>0.80702132782766356</v>
      </c>
      <c r="P595" s="6">
        <f t="shared" si="135"/>
        <v>-0.1779878549948849</v>
      </c>
      <c r="Q595" s="75">
        <v>70</v>
      </c>
      <c r="R595" s="76">
        <v>7</v>
      </c>
      <c r="S595" s="6">
        <f t="shared" si="131"/>
        <v>0.1</v>
      </c>
      <c r="T595" s="36" t="str">
        <f t="shared" si="134"/>
        <v>Desempenho Médio</v>
      </c>
      <c r="U595" s="6">
        <f t="shared" si="137"/>
        <v>0.46105014853915682</v>
      </c>
      <c r="V595" s="6">
        <f t="shared" si="137"/>
        <v>0.84756736419379908</v>
      </c>
      <c r="W595" s="6">
        <f t="shared" si="137"/>
        <v>7.4532932884514569E-2</v>
      </c>
      <c r="X595" s="6">
        <f t="shared" si="137"/>
        <v>7.4532932884514569E-2</v>
      </c>
      <c r="Y595" s="6">
        <f t="shared" si="137"/>
        <v>0.38651721565464225</v>
      </c>
    </row>
    <row r="596" spans="1:25" x14ac:dyDescent="0.25">
      <c r="A596" s="7" t="s">
        <v>137</v>
      </c>
      <c r="B596" s="7" t="s">
        <v>164</v>
      </c>
      <c r="C596" s="74">
        <v>75</v>
      </c>
      <c r="D596" s="74">
        <v>31</v>
      </c>
      <c r="E596" s="71">
        <f t="shared" si="130"/>
        <v>0.41333333333333333</v>
      </c>
      <c r="F596" s="65" t="str">
        <f t="shared" si="132"/>
        <v>Desempenho Médio</v>
      </c>
      <c r="G596" s="71">
        <f t="shared" si="136"/>
        <v>0.63634637719050002</v>
      </c>
      <c r="H596" s="71">
        <f t="shared" si="136"/>
        <v>1.0512878703900039</v>
      </c>
      <c r="I596" s="71">
        <f t="shared" si="136"/>
        <v>0.22140488399099606</v>
      </c>
      <c r="J596" s="75">
        <v>25000</v>
      </c>
      <c r="K596" s="75">
        <v>1400</v>
      </c>
      <c r="L596" s="6">
        <f>(SUM(K590:K596))/J595</f>
        <v>0.23536000000000001</v>
      </c>
      <c r="M596" s="36" t="str">
        <f t="shared" si="133"/>
        <v>Desempenho Médio</v>
      </c>
      <c r="N596" s="6">
        <f t="shared" si="135"/>
        <v>0.38334713342809434</v>
      </c>
      <c r="O596" s="6">
        <f t="shared" si="135"/>
        <v>0.88375935483946089</v>
      </c>
      <c r="P596" s="6">
        <f t="shared" si="135"/>
        <v>-0.1170650879832722</v>
      </c>
      <c r="Q596" s="75">
        <v>70</v>
      </c>
      <c r="R596" s="76">
        <v>7</v>
      </c>
      <c r="S596" s="6">
        <f t="shared" si="131"/>
        <v>0.1</v>
      </c>
      <c r="T596" s="36" t="str">
        <f t="shared" si="134"/>
        <v>Desempenho Médio</v>
      </c>
      <c r="U596" s="6">
        <f t="shared" si="137"/>
        <v>0.46105014853915682</v>
      </c>
      <c r="V596" s="6">
        <f t="shared" si="137"/>
        <v>0.84756736419379908</v>
      </c>
      <c r="W596" s="6">
        <f t="shared" si="137"/>
        <v>7.4532932884514569E-2</v>
      </c>
      <c r="X596" s="6">
        <f t="shared" si="137"/>
        <v>7.4532932884514569E-2</v>
      </c>
      <c r="Y596" s="6">
        <f t="shared" si="137"/>
        <v>0.38651721565464225</v>
      </c>
    </row>
    <row r="597" spans="1:25" x14ac:dyDescent="0.25">
      <c r="A597" s="7" t="s">
        <v>137</v>
      </c>
      <c r="B597" s="7" t="s">
        <v>165</v>
      </c>
      <c r="C597" s="74">
        <v>75</v>
      </c>
      <c r="D597" s="74">
        <v>31</v>
      </c>
      <c r="E597" s="71">
        <f t="shared" si="130"/>
        <v>0.41333333333333333</v>
      </c>
      <c r="F597" s="65" t="str">
        <f t="shared" si="132"/>
        <v>Desempenho Médio</v>
      </c>
      <c r="G597" s="71">
        <f t="shared" si="136"/>
        <v>0.70660866675940681</v>
      </c>
      <c r="H597" s="71">
        <f t="shared" si="136"/>
        <v>1.1341225514190425</v>
      </c>
      <c r="I597" s="71">
        <f t="shared" si="136"/>
        <v>0.27909478209977112</v>
      </c>
      <c r="J597" s="75">
        <v>25000</v>
      </c>
      <c r="K597" s="75">
        <v>0</v>
      </c>
      <c r="L597" s="6">
        <f>(SUM(K590:K597))/J596</f>
        <v>0.23536000000000001</v>
      </c>
      <c r="M597" s="36" t="str">
        <f t="shared" si="133"/>
        <v>Desempenho Médio</v>
      </c>
      <c r="N597" s="6">
        <f t="shared" si="135"/>
        <v>0.45719521320533213</v>
      </c>
      <c r="O597" s="6">
        <f t="shared" si="135"/>
        <v>0.97356755068321044</v>
      </c>
      <c r="P597" s="6">
        <f t="shared" si="135"/>
        <v>-5.9177124272546122E-2</v>
      </c>
      <c r="Q597" s="75">
        <v>70</v>
      </c>
      <c r="R597" s="76">
        <v>7</v>
      </c>
      <c r="S597" s="6">
        <f t="shared" si="131"/>
        <v>0.1</v>
      </c>
      <c r="T597" s="36" t="str">
        <f t="shared" si="134"/>
        <v>Desempenho Médio</v>
      </c>
      <c r="U597" s="6">
        <f t="shared" si="137"/>
        <v>0.46105014853915682</v>
      </c>
      <c r="V597" s="6">
        <f t="shared" si="137"/>
        <v>0.84756736419379908</v>
      </c>
      <c r="W597" s="6">
        <f t="shared" si="137"/>
        <v>7.4532932884514569E-2</v>
      </c>
      <c r="X597" s="6">
        <f t="shared" si="137"/>
        <v>7.4532932884514569E-2</v>
      </c>
      <c r="Y597" s="6">
        <f t="shared" si="137"/>
        <v>0.38651721565464225</v>
      </c>
    </row>
    <row r="598" spans="1:25" x14ac:dyDescent="0.25">
      <c r="A598" s="7" t="s">
        <v>137</v>
      </c>
      <c r="B598" s="7" t="s">
        <v>166</v>
      </c>
      <c r="C598" s="74">
        <v>75</v>
      </c>
      <c r="D598" s="74">
        <v>31</v>
      </c>
      <c r="E598" s="71">
        <f t="shared" si="130"/>
        <v>0.41333333333333333</v>
      </c>
      <c r="F598" s="65" t="str">
        <f t="shared" si="132"/>
        <v>Desempenho Médio</v>
      </c>
      <c r="G598" s="71">
        <f t="shared" si="136"/>
        <v>0.73663014244586189</v>
      </c>
      <c r="H598" s="71">
        <f t="shared" si="136"/>
        <v>1.1737360935948695</v>
      </c>
      <c r="I598" s="71">
        <f t="shared" si="136"/>
        <v>0.29952419129685426</v>
      </c>
      <c r="J598" s="75">
        <v>25000</v>
      </c>
      <c r="K598" s="75">
        <v>0</v>
      </c>
      <c r="L598" s="6">
        <f>(SUM(K590:K598))/J597</f>
        <v>0.23536000000000001</v>
      </c>
      <c r="M598" s="36" t="str">
        <f t="shared" si="133"/>
        <v>Desempenho Médio</v>
      </c>
      <c r="N598" s="6">
        <f t="shared" ref="N598:P613" si="138">N586</f>
        <v>0.50336729135060976</v>
      </c>
      <c r="O598" s="6">
        <f t="shared" si="138"/>
        <v>1.0150591886201059</v>
      </c>
      <c r="P598" s="6">
        <f t="shared" si="138"/>
        <v>-8.3246059188863963E-3</v>
      </c>
      <c r="Q598" s="75">
        <v>70</v>
      </c>
      <c r="R598" s="76">
        <v>21</v>
      </c>
      <c r="S598" s="6">
        <f t="shared" si="131"/>
        <v>0.3</v>
      </c>
      <c r="T598" s="36" t="str">
        <f t="shared" si="134"/>
        <v>Desempenho Deficitário</v>
      </c>
      <c r="U598" s="6">
        <f t="shared" si="137"/>
        <v>0.74232771533595698</v>
      </c>
      <c r="V598" s="6">
        <f t="shared" si="137"/>
        <v>1.1540802341555996</v>
      </c>
      <c r="W598" s="6">
        <f t="shared" si="137"/>
        <v>0.33057519651631434</v>
      </c>
      <c r="X598" s="6">
        <f t="shared" si="137"/>
        <v>0.33057519651631434</v>
      </c>
      <c r="Y598" s="6">
        <f t="shared" si="137"/>
        <v>0.41175251881964264</v>
      </c>
    </row>
    <row r="599" spans="1:25" x14ac:dyDescent="0.25">
      <c r="A599" s="7" t="s">
        <v>137</v>
      </c>
      <c r="B599" s="7" t="s">
        <v>167</v>
      </c>
      <c r="C599" s="74">
        <v>75</v>
      </c>
      <c r="D599" s="74">
        <v>45</v>
      </c>
      <c r="E599" s="71">
        <f t="shared" si="130"/>
        <v>0.6</v>
      </c>
      <c r="F599" s="65" t="str">
        <f t="shared" si="132"/>
        <v>Desempenho Médio</v>
      </c>
      <c r="G599" s="71">
        <f t="shared" si="136"/>
        <v>0.82061442726694189</v>
      </c>
      <c r="H599" s="71">
        <f t="shared" si="136"/>
        <v>1.2607833515834532</v>
      </c>
      <c r="I599" s="71">
        <f t="shared" si="136"/>
        <v>0.38044550295043061</v>
      </c>
      <c r="J599" s="75">
        <v>25000</v>
      </c>
      <c r="K599" s="75">
        <v>850</v>
      </c>
      <c r="L599" s="6">
        <f>(SUM(K590:K599))/J598</f>
        <v>0.26935999999999999</v>
      </c>
      <c r="M599" s="36" t="str">
        <f t="shared" si="133"/>
        <v>Desempenho Médio</v>
      </c>
      <c r="N599" s="6">
        <f t="shared" si="138"/>
        <v>0.58006775555216661</v>
      </c>
      <c r="O599" s="6">
        <f t="shared" si="138"/>
        <v>1.099948635873619</v>
      </c>
      <c r="P599" s="6">
        <f t="shared" si="138"/>
        <v>6.0186875230714088E-2</v>
      </c>
      <c r="Q599" s="75">
        <v>70</v>
      </c>
      <c r="R599" s="76">
        <v>34</v>
      </c>
      <c r="S599" s="6">
        <f t="shared" si="131"/>
        <v>0.48571428571428571</v>
      </c>
      <c r="T599" s="36" t="str">
        <f t="shared" si="134"/>
        <v>Desempenho Médio</v>
      </c>
      <c r="U599" s="6">
        <f t="shared" si="137"/>
        <v>0.82347447721763523</v>
      </c>
      <c r="V599" s="6">
        <f t="shared" si="137"/>
        <v>1.2398542522675045</v>
      </c>
      <c r="W599" s="6">
        <f t="shared" si="137"/>
        <v>0.40709470216776611</v>
      </c>
      <c r="X599" s="6">
        <f t="shared" si="137"/>
        <v>0.40709470216776611</v>
      </c>
      <c r="Y599" s="6">
        <f t="shared" si="137"/>
        <v>0.41637977504986912</v>
      </c>
    </row>
    <row r="600" spans="1:25" x14ac:dyDescent="0.25">
      <c r="A600" s="7" t="s">
        <v>137</v>
      </c>
      <c r="B600" s="7" t="s">
        <v>168</v>
      </c>
      <c r="C600" s="74">
        <v>75</v>
      </c>
      <c r="D600" s="74">
        <v>59</v>
      </c>
      <c r="E600" s="71">
        <f t="shared" si="130"/>
        <v>0.78666666666666663</v>
      </c>
      <c r="F600" s="65" t="str">
        <f t="shared" si="132"/>
        <v>Desempenho Médio</v>
      </c>
      <c r="G600" s="71">
        <f t="shared" si="136"/>
        <v>0.94582556715526966</v>
      </c>
      <c r="H600" s="71">
        <f t="shared" si="136"/>
        <v>1.4311117173682604</v>
      </c>
      <c r="I600" s="71">
        <f t="shared" si="136"/>
        <v>0.46053941694227907</v>
      </c>
      <c r="J600" s="75">
        <v>25000</v>
      </c>
      <c r="K600" s="75">
        <v>1500</v>
      </c>
      <c r="L600" s="6">
        <f>(SUM(K590:K600))/J599</f>
        <v>0.32935999999999999</v>
      </c>
      <c r="M600" s="36" t="str">
        <f t="shared" si="133"/>
        <v>Desempenho Médio</v>
      </c>
      <c r="N600" s="6">
        <f t="shared" si="138"/>
        <v>0.72282137340514951</v>
      </c>
      <c r="O600" s="6">
        <f t="shared" si="138"/>
        <v>1.2463651595014014</v>
      </c>
      <c r="P600" s="6">
        <f t="shared" si="138"/>
        <v>0.19927758730889755</v>
      </c>
      <c r="Q600" s="75">
        <v>70</v>
      </c>
      <c r="R600" s="76">
        <v>34</v>
      </c>
      <c r="S600" s="6">
        <f t="shared" si="131"/>
        <v>0.48571428571428571</v>
      </c>
      <c r="T600" s="36" t="str">
        <f t="shared" si="134"/>
        <v>Desempenho Médio</v>
      </c>
      <c r="U600" s="6">
        <f t="shared" si="137"/>
        <v>0.91825333306001944</v>
      </c>
      <c r="V600" s="6">
        <f t="shared" si="137"/>
        <v>1.402047931898428</v>
      </c>
      <c r="W600" s="6">
        <f t="shared" si="137"/>
        <v>0.43445873422161085</v>
      </c>
      <c r="X600" s="6">
        <f t="shared" si="137"/>
        <v>0.43445873422161085</v>
      </c>
      <c r="Y600" s="6">
        <f t="shared" si="137"/>
        <v>0.48379459883840858</v>
      </c>
    </row>
    <row r="601" spans="1:25" x14ac:dyDescent="0.25">
      <c r="A601" s="7" t="s">
        <v>137</v>
      </c>
      <c r="B601" s="7" t="s">
        <v>169</v>
      </c>
      <c r="C601" s="74">
        <v>75</v>
      </c>
      <c r="D601" s="74">
        <v>59</v>
      </c>
      <c r="E601" s="71">
        <f t="shared" si="130"/>
        <v>0.78666666666666663</v>
      </c>
      <c r="F601" s="65" t="str">
        <f t="shared" si="132"/>
        <v>Desempenho Médio</v>
      </c>
      <c r="G601" s="71">
        <f t="shared" si="136"/>
        <v>1.0016849877757958</v>
      </c>
      <c r="H601" s="71">
        <f t="shared" si="136"/>
        <v>1.521489991464148</v>
      </c>
      <c r="I601" s="71">
        <f t="shared" si="136"/>
        <v>0.48187998408744359</v>
      </c>
      <c r="J601" s="75">
        <v>25000</v>
      </c>
      <c r="K601" s="75">
        <v>0</v>
      </c>
      <c r="L601" s="6">
        <f>(SUM(K590:K601))/J600</f>
        <v>0.32935999999999999</v>
      </c>
      <c r="M601" s="36" t="str">
        <f t="shared" si="133"/>
        <v>Desempenho Médio</v>
      </c>
      <c r="N601" s="6">
        <f t="shared" si="138"/>
        <v>0.82421983567812696</v>
      </c>
      <c r="O601" s="6">
        <f t="shared" si="138"/>
        <v>1.3730394926064369</v>
      </c>
      <c r="P601" s="6">
        <f t="shared" si="138"/>
        <v>0.27540017874981693</v>
      </c>
      <c r="Q601" s="75">
        <v>70</v>
      </c>
      <c r="R601" s="76">
        <v>34</v>
      </c>
      <c r="S601" s="6">
        <f t="shared" si="131"/>
        <v>0.48571428571428571</v>
      </c>
      <c r="T601" s="36" t="str">
        <f t="shared" si="134"/>
        <v>Desempenho Médio</v>
      </c>
      <c r="U601" s="6">
        <f t="shared" si="137"/>
        <v>0.91825333306001944</v>
      </c>
      <c r="V601" s="6">
        <f t="shared" si="137"/>
        <v>1.402047931898428</v>
      </c>
      <c r="W601" s="6">
        <f t="shared" si="137"/>
        <v>0.43445873422161085</v>
      </c>
      <c r="X601" s="6">
        <f t="shared" si="137"/>
        <v>0.43445873422161085</v>
      </c>
      <c r="Y601" s="6">
        <f t="shared" si="137"/>
        <v>0.48379459883840858</v>
      </c>
    </row>
    <row r="602" spans="1:25" x14ac:dyDescent="0.25">
      <c r="A602" s="7" t="s">
        <v>43</v>
      </c>
      <c r="B602" s="7" t="s">
        <v>158</v>
      </c>
      <c r="C602" s="74">
        <v>75</v>
      </c>
      <c r="D602" s="74">
        <v>20</v>
      </c>
      <c r="E602" s="71">
        <f t="shared" si="130"/>
        <v>0.26666666666666666</v>
      </c>
      <c r="F602" s="65" t="str">
        <f t="shared" si="132"/>
        <v>Desempenho Bom</v>
      </c>
      <c r="G602" s="71">
        <f t="shared" si="136"/>
        <v>0.11573204891712785</v>
      </c>
      <c r="H602" s="71">
        <f t="shared" si="136"/>
        <v>0.30218524997148988</v>
      </c>
      <c r="I602" s="71">
        <f t="shared" si="136"/>
        <v>-7.0721152137234206E-2</v>
      </c>
      <c r="J602" s="75">
        <v>13178.62</v>
      </c>
      <c r="K602" s="75">
        <v>240</v>
      </c>
      <c r="L602" s="6">
        <f>K602/J602</f>
        <v>1.8211314993527395E-2</v>
      </c>
      <c r="M602" s="36" t="str">
        <f t="shared" si="133"/>
        <v>Desempenho Médio</v>
      </c>
      <c r="N602" s="6">
        <f t="shared" si="138"/>
        <v>0.11129468122233216</v>
      </c>
      <c r="O602" s="6">
        <f t="shared" si="138"/>
        <v>0.54990456699293522</v>
      </c>
      <c r="P602" s="6">
        <f t="shared" si="138"/>
        <v>-0.32731520454827095</v>
      </c>
      <c r="Q602" s="75">
        <v>75</v>
      </c>
      <c r="R602" s="76">
        <v>0</v>
      </c>
      <c r="S602" s="6">
        <f t="shared" si="131"/>
        <v>0</v>
      </c>
      <c r="T602" s="36" t="str">
        <f t="shared" si="134"/>
        <v>Desempenho Médio</v>
      </c>
      <c r="U602" s="6">
        <f t="shared" si="137"/>
        <v>6.5053670194766225E-2</v>
      </c>
      <c r="V602" s="6">
        <f t="shared" si="137"/>
        <v>0.16010348962314203</v>
      </c>
      <c r="W602" s="6">
        <f t="shared" si="137"/>
        <v>-2.9996149233609562E-2</v>
      </c>
      <c r="X602" s="6">
        <f t="shared" si="137"/>
        <v>1.7528760480578331E-2</v>
      </c>
      <c r="Y602" s="6">
        <f t="shared" si="137"/>
        <v>9.5049819428375787E-2</v>
      </c>
    </row>
    <row r="603" spans="1:25" x14ac:dyDescent="0.25">
      <c r="A603" s="7" t="s">
        <v>43</v>
      </c>
      <c r="B603" s="7" t="s">
        <v>159</v>
      </c>
      <c r="C603" s="74">
        <v>75</v>
      </c>
      <c r="D603" s="74">
        <v>20</v>
      </c>
      <c r="E603" s="71">
        <f t="shared" si="130"/>
        <v>0.26666666666666666</v>
      </c>
      <c r="F603" s="65" t="str">
        <f t="shared" si="132"/>
        <v>Desempenho Bom</v>
      </c>
      <c r="G603" s="71">
        <f t="shared" si="136"/>
        <v>0.22598075676513599</v>
      </c>
      <c r="H603" s="71">
        <f t="shared" si="136"/>
        <v>0.51894873552035481</v>
      </c>
      <c r="I603" s="71">
        <f t="shared" si="136"/>
        <v>-6.6987221990082807E-2</v>
      </c>
      <c r="J603" s="75">
        <v>13178.62</v>
      </c>
      <c r="K603" s="75">
        <v>0</v>
      </c>
      <c r="L603" s="6">
        <f>(SUM(K602:K603))/J602</f>
        <v>1.8211314993527395E-2</v>
      </c>
      <c r="M603" s="36" t="str">
        <f t="shared" si="133"/>
        <v>Desempenho Médio</v>
      </c>
      <c r="N603" s="6">
        <f t="shared" si="138"/>
        <v>0.14992070801509372</v>
      </c>
      <c r="O603" s="6">
        <f t="shared" si="138"/>
        <v>0.58968599072326611</v>
      </c>
      <c r="P603" s="6">
        <f t="shared" si="138"/>
        <v>-0.28984457469307867</v>
      </c>
      <c r="Q603" s="75">
        <v>75</v>
      </c>
      <c r="R603" s="76">
        <v>0</v>
      </c>
      <c r="S603" s="6">
        <f t="shared" si="131"/>
        <v>0</v>
      </c>
      <c r="T603" s="36" t="str">
        <f t="shared" si="134"/>
        <v>Desempenho Médio</v>
      </c>
      <c r="U603" s="6">
        <f t="shared" si="137"/>
        <v>6.5053670194766225E-2</v>
      </c>
      <c r="V603" s="6">
        <f t="shared" si="137"/>
        <v>0.16010348962314203</v>
      </c>
      <c r="W603" s="6">
        <f t="shared" si="137"/>
        <v>-2.9996149233609562E-2</v>
      </c>
      <c r="X603" s="6">
        <f t="shared" si="137"/>
        <v>1.7528760480578331E-2</v>
      </c>
      <c r="Y603" s="6">
        <f t="shared" si="137"/>
        <v>9.5049819428375787E-2</v>
      </c>
    </row>
    <row r="604" spans="1:25" x14ac:dyDescent="0.25">
      <c r="A604" s="7" t="s">
        <v>43</v>
      </c>
      <c r="B604" s="7" t="s">
        <v>160</v>
      </c>
      <c r="C604" s="74">
        <v>75</v>
      </c>
      <c r="D604" s="74">
        <v>36</v>
      </c>
      <c r="E604" s="71">
        <f t="shared" si="130"/>
        <v>0.48</v>
      </c>
      <c r="F604" s="65" t="str">
        <f t="shared" si="132"/>
        <v>Desempenho Bom</v>
      </c>
      <c r="G604" s="71">
        <f t="shared" si="136"/>
        <v>0.2827891266215985</v>
      </c>
      <c r="H604" s="71">
        <f t="shared" si="136"/>
        <v>0.59134445337262298</v>
      </c>
      <c r="I604" s="71">
        <f t="shared" si="136"/>
        <v>-2.5766200129425987E-2</v>
      </c>
      <c r="J604" s="75">
        <v>13178.62</v>
      </c>
      <c r="K604" s="75">
        <v>755</v>
      </c>
      <c r="L604" s="6">
        <f>(SUM(K602:K604))/J603</f>
        <v>7.5501076743998988E-2</v>
      </c>
      <c r="M604" s="36" t="str">
        <f t="shared" si="133"/>
        <v>Desempenho Médio</v>
      </c>
      <c r="N604" s="6">
        <f t="shared" si="138"/>
        <v>0.17723994755342617</v>
      </c>
      <c r="O604" s="6">
        <f t="shared" si="138"/>
        <v>0.61473682715667155</v>
      </c>
      <c r="P604" s="6">
        <f t="shared" si="138"/>
        <v>-0.26025693204981915</v>
      </c>
      <c r="Q604" s="75">
        <v>75</v>
      </c>
      <c r="R604" s="76">
        <v>4</v>
      </c>
      <c r="S604" s="6">
        <f t="shared" si="131"/>
        <v>5.3333333333333337E-2</v>
      </c>
      <c r="T604" s="36" t="str">
        <f t="shared" si="134"/>
        <v>Desempenho Médio</v>
      </c>
      <c r="U604" s="6">
        <f t="shared" si="137"/>
        <v>0.18401218302179842</v>
      </c>
      <c r="V604" s="6">
        <f t="shared" si="137"/>
        <v>0.37883088095577799</v>
      </c>
      <c r="W604" s="6">
        <f t="shared" si="137"/>
        <v>-1.0806514912181153E-2</v>
      </c>
      <c r="X604" s="6">
        <f t="shared" si="137"/>
        <v>8.6602834054808633E-2</v>
      </c>
      <c r="Y604" s="6">
        <f t="shared" si="137"/>
        <v>0.19481869793397957</v>
      </c>
    </row>
    <row r="605" spans="1:25" x14ac:dyDescent="0.25">
      <c r="A605" s="7" t="s">
        <v>43</v>
      </c>
      <c r="B605" s="7" t="s">
        <v>161</v>
      </c>
      <c r="C605" s="74">
        <v>75</v>
      </c>
      <c r="D605" s="74">
        <v>36</v>
      </c>
      <c r="E605" s="71">
        <f t="shared" si="130"/>
        <v>0.48</v>
      </c>
      <c r="F605" s="65" t="str">
        <f t="shared" si="132"/>
        <v>Desempenho Bom</v>
      </c>
      <c r="G605" s="71">
        <f t="shared" si="136"/>
        <v>0.36222496935690102</v>
      </c>
      <c r="H605" s="71">
        <f t="shared" si="136"/>
        <v>0.67917151968337719</v>
      </c>
      <c r="I605" s="71">
        <f t="shared" si="136"/>
        <v>4.5278419030424844E-2</v>
      </c>
      <c r="J605" s="75">
        <v>13178.62</v>
      </c>
      <c r="K605" s="75">
        <v>0</v>
      </c>
      <c r="L605" s="6">
        <f>(SUM(K602:K605))/J604</f>
        <v>7.5501076743998988E-2</v>
      </c>
      <c r="M605" s="36" t="str">
        <f t="shared" si="133"/>
        <v>Desempenho Médio</v>
      </c>
      <c r="N605" s="6">
        <f t="shared" si="138"/>
        <v>0.2271654986777647</v>
      </c>
      <c r="O605" s="6">
        <f t="shared" si="138"/>
        <v>0.71582389712396544</v>
      </c>
      <c r="P605" s="6">
        <f t="shared" si="138"/>
        <v>-0.26149289976843598</v>
      </c>
      <c r="Q605" s="75">
        <v>75</v>
      </c>
      <c r="R605" s="76">
        <v>4</v>
      </c>
      <c r="S605" s="6">
        <f t="shared" si="131"/>
        <v>5.3333333333333337E-2</v>
      </c>
      <c r="T605" s="36" t="str">
        <f t="shared" si="134"/>
        <v>Desempenho Médio</v>
      </c>
      <c r="U605" s="6">
        <f t="shared" si="137"/>
        <v>0.18401218302179842</v>
      </c>
      <c r="V605" s="6">
        <f t="shared" si="137"/>
        <v>0.37883088095577799</v>
      </c>
      <c r="W605" s="6">
        <f t="shared" si="137"/>
        <v>-1.0806514912181153E-2</v>
      </c>
      <c r="X605" s="6">
        <f t="shared" si="137"/>
        <v>8.6602834054808633E-2</v>
      </c>
      <c r="Y605" s="6">
        <f t="shared" si="137"/>
        <v>0.19481869793397957</v>
      </c>
    </row>
    <row r="606" spans="1:25" x14ac:dyDescent="0.25">
      <c r="A606" s="7" t="s">
        <v>43</v>
      </c>
      <c r="B606" s="7" t="s">
        <v>162</v>
      </c>
      <c r="C606" s="74">
        <v>75</v>
      </c>
      <c r="D606" s="74">
        <v>40</v>
      </c>
      <c r="E606" s="71">
        <f t="shared" si="130"/>
        <v>0.53333333333333333</v>
      </c>
      <c r="F606" s="65" t="str">
        <f t="shared" si="132"/>
        <v>Desempenho Bom</v>
      </c>
      <c r="G606" s="71">
        <f t="shared" si="136"/>
        <v>0.44825178806664662</v>
      </c>
      <c r="H606" s="71">
        <f t="shared" si="136"/>
        <v>0.78548221403733831</v>
      </c>
      <c r="I606" s="71">
        <f t="shared" si="136"/>
        <v>0.11102136209595498</v>
      </c>
      <c r="J606" s="75">
        <v>13178.62</v>
      </c>
      <c r="K606" s="75">
        <v>1225</v>
      </c>
      <c r="L606" s="6">
        <f>(SUM(K602:K606))/J605</f>
        <v>0.1684546636901284</v>
      </c>
      <c r="M606" s="36" t="str">
        <f t="shared" si="133"/>
        <v>Desempenho Médio</v>
      </c>
      <c r="N606" s="6">
        <f t="shared" si="138"/>
        <v>0.27284258705105507</v>
      </c>
      <c r="O606" s="6">
        <f t="shared" si="138"/>
        <v>0.75981161093062477</v>
      </c>
      <c r="P606" s="6">
        <f t="shared" si="138"/>
        <v>-0.21412643682851468</v>
      </c>
      <c r="Q606" s="75">
        <v>75</v>
      </c>
      <c r="R606" s="76">
        <v>4</v>
      </c>
      <c r="S606" s="6">
        <f t="shared" si="131"/>
        <v>5.3333333333333337E-2</v>
      </c>
      <c r="T606" s="36" t="str">
        <f t="shared" si="134"/>
        <v>Desempenho Médio</v>
      </c>
      <c r="U606" s="6">
        <f t="shared" si="137"/>
        <v>0.23278475191631845</v>
      </c>
      <c r="V606" s="6">
        <f t="shared" si="137"/>
        <v>0.51017789992422413</v>
      </c>
      <c r="W606" s="6">
        <f t="shared" si="137"/>
        <v>-4.460839609158726E-2</v>
      </c>
      <c r="X606" s="6">
        <f t="shared" si="137"/>
        <v>9.4088177912365595E-2</v>
      </c>
      <c r="Y606" s="6">
        <f t="shared" si="137"/>
        <v>0.27739314800790571</v>
      </c>
    </row>
    <row r="607" spans="1:25" x14ac:dyDescent="0.25">
      <c r="A607" s="7" t="s">
        <v>43</v>
      </c>
      <c r="B607" s="7" t="s">
        <v>163</v>
      </c>
      <c r="C607" s="74">
        <v>75</v>
      </c>
      <c r="D607" s="74">
        <v>48</v>
      </c>
      <c r="E607" s="71">
        <f t="shared" si="130"/>
        <v>0.64</v>
      </c>
      <c r="F607" s="65" t="str">
        <f t="shared" si="132"/>
        <v>Desempenho Bom</v>
      </c>
      <c r="G607" s="71">
        <f t="shared" si="136"/>
        <v>0.54231176602906361</v>
      </c>
      <c r="H607" s="71">
        <f t="shared" si="136"/>
        <v>0.92735502699565786</v>
      </c>
      <c r="I607" s="71">
        <f t="shared" si="136"/>
        <v>0.15726850506246942</v>
      </c>
      <c r="J607" s="75">
        <v>13178.62</v>
      </c>
      <c r="K607" s="75">
        <v>75</v>
      </c>
      <c r="L607" s="6">
        <f>(SUM(K602:K607))/J606</f>
        <v>0.17414569962560569</v>
      </c>
      <c r="M607" s="36" t="str">
        <f t="shared" si="133"/>
        <v>Desempenho Médio</v>
      </c>
      <c r="N607" s="6">
        <f t="shared" si="138"/>
        <v>0.31451673641638933</v>
      </c>
      <c r="O607" s="6">
        <f t="shared" si="138"/>
        <v>0.80702132782766356</v>
      </c>
      <c r="P607" s="6">
        <f t="shared" si="138"/>
        <v>-0.1779878549948849</v>
      </c>
      <c r="Q607" s="75">
        <v>75</v>
      </c>
      <c r="R607" s="76">
        <v>24</v>
      </c>
      <c r="S607" s="6">
        <f t="shared" si="131"/>
        <v>0.32</v>
      </c>
      <c r="T607" s="36" t="str">
        <f t="shared" si="134"/>
        <v>Desempenho Médio</v>
      </c>
      <c r="U607" s="6">
        <f t="shared" ref="U607:Y622" si="139">U595</f>
        <v>0.46105014853915682</v>
      </c>
      <c r="V607" s="6">
        <f t="shared" si="139"/>
        <v>0.84756736419379908</v>
      </c>
      <c r="W607" s="6">
        <f t="shared" si="139"/>
        <v>7.4532932884514569E-2</v>
      </c>
      <c r="X607" s="6">
        <f t="shared" si="139"/>
        <v>7.4532932884514569E-2</v>
      </c>
      <c r="Y607" s="6">
        <f t="shared" si="139"/>
        <v>0.38651721565464225</v>
      </c>
    </row>
    <row r="608" spans="1:25" x14ac:dyDescent="0.25">
      <c r="A608" s="7" t="s">
        <v>43</v>
      </c>
      <c r="B608" s="7" t="s">
        <v>164</v>
      </c>
      <c r="C608" s="74">
        <v>75</v>
      </c>
      <c r="D608" s="74">
        <v>80</v>
      </c>
      <c r="E608" s="71">
        <f t="shared" si="130"/>
        <v>1.0666666666666667</v>
      </c>
      <c r="F608" s="65" t="str">
        <f t="shared" si="132"/>
        <v>Desempenho Ótimo</v>
      </c>
      <c r="G608" s="71">
        <f t="shared" si="136"/>
        <v>0.63634637719050002</v>
      </c>
      <c r="H608" s="71">
        <f t="shared" si="136"/>
        <v>1.0512878703900039</v>
      </c>
      <c r="I608" s="71">
        <f t="shared" si="136"/>
        <v>0.22140488399099606</v>
      </c>
      <c r="J608" s="75">
        <v>13178.62</v>
      </c>
      <c r="K608" s="75">
        <v>6901.5</v>
      </c>
      <c r="L608" s="6">
        <f>(SUM(K602:K608))/J607</f>
        <v>0.6978348264082278</v>
      </c>
      <c r="M608" s="36" t="str">
        <f t="shared" si="133"/>
        <v>Desempenho Bom</v>
      </c>
      <c r="N608" s="6">
        <f t="shared" si="138"/>
        <v>0.38334713342809434</v>
      </c>
      <c r="O608" s="6">
        <f t="shared" si="138"/>
        <v>0.88375935483946089</v>
      </c>
      <c r="P608" s="6">
        <f t="shared" si="138"/>
        <v>-0.1170650879832722</v>
      </c>
      <c r="Q608" s="75">
        <v>75</v>
      </c>
      <c r="R608" s="76">
        <v>24</v>
      </c>
      <c r="S608" s="6">
        <f t="shared" si="131"/>
        <v>0.32</v>
      </c>
      <c r="T608" s="36" t="str">
        <f t="shared" si="134"/>
        <v>Desempenho Médio</v>
      </c>
      <c r="U608" s="6">
        <f t="shared" si="139"/>
        <v>0.46105014853915682</v>
      </c>
      <c r="V608" s="6">
        <f t="shared" si="139"/>
        <v>0.84756736419379908</v>
      </c>
      <c r="W608" s="6">
        <f t="shared" si="139"/>
        <v>7.4532932884514569E-2</v>
      </c>
      <c r="X608" s="6">
        <f t="shared" si="139"/>
        <v>7.4532932884514569E-2</v>
      </c>
      <c r="Y608" s="6">
        <f t="shared" si="139"/>
        <v>0.38651721565464225</v>
      </c>
    </row>
    <row r="609" spans="1:25" x14ac:dyDescent="0.25">
      <c r="A609" s="7" t="s">
        <v>43</v>
      </c>
      <c r="B609" s="7" t="s">
        <v>165</v>
      </c>
      <c r="C609" s="74">
        <v>75</v>
      </c>
      <c r="D609" s="74">
        <v>80</v>
      </c>
      <c r="E609" s="71">
        <f t="shared" si="130"/>
        <v>1.0666666666666667</v>
      </c>
      <c r="F609" s="65" t="str">
        <f t="shared" si="132"/>
        <v>Desempenho Bom</v>
      </c>
      <c r="G609" s="71">
        <f t="shared" si="136"/>
        <v>0.70660866675940681</v>
      </c>
      <c r="H609" s="71">
        <f t="shared" si="136"/>
        <v>1.1341225514190425</v>
      </c>
      <c r="I609" s="71">
        <f t="shared" si="136"/>
        <v>0.27909478209977112</v>
      </c>
      <c r="J609" s="75">
        <v>13178.62</v>
      </c>
      <c r="K609" s="75">
        <v>0</v>
      </c>
      <c r="L609" s="6">
        <f>(SUM(K602:K609))/J608</f>
        <v>0.6978348264082278</v>
      </c>
      <c r="M609" s="36" t="str">
        <f t="shared" si="133"/>
        <v>Desempenho Bom</v>
      </c>
      <c r="N609" s="6">
        <f t="shared" si="138"/>
        <v>0.45719521320533213</v>
      </c>
      <c r="O609" s="6">
        <f t="shared" si="138"/>
        <v>0.97356755068321044</v>
      </c>
      <c r="P609" s="6">
        <f t="shared" si="138"/>
        <v>-5.9177124272546122E-2</v>
      </c>
      <c r="Q609" s="75">
        <v>75</v>
      </c>
      <c r="R609" s="76">
        <v>24</v>
      </c>
      <c r="S609" s="6">
        <f t="shared" si="131"/>
        <v>0.32</v>
      </c>
      <c r="T609" s="36" t="str">
        <f t="shared" si="134"/>
        <v>Desempenho Médio</v>
      </c>
      <c r="U609" s="6">
        <f t="shared" si="139"/>
        <v>0.46105014853915682</v>
      </c>
      <c r="V609" s="6">
        <f t="shared" si="139"/>
        <v>0.84756736419379908</v>
      </c>
      <c r="W609" s="6">
        <f t="shared" si="139"/>
        <v>7.4532932884514569E-2</v>
      </c>
      <c r="X609" s="6">
        <f t="shared" si="139"/>
        <v>7.4532932884514569E-2</v>
      </c>
      <c r="Y609" s="6">
        <f t="shared" si="139"/>
        <v>0.38651721565464225</v>
      </c>
    </row>
    <row r="610" spans="1:25" x14ac:dyDescent="0.25">
      <c r="A610" s="7" t="s">
        <v>43</v>
      </c>
      <c r="B610" s="7" t="s">
        <v>166</v>
      </c>
      <c r="C610" s="74">
        <v>75</v>
      </c>
      <c r="D610" s="74">
        <v>80</v>
      </c>
      <c r="E610" s="71">
        <f t="shared" si="130"/>
        <v>1.0666666666666667</v>
      </c>
      <c r="F610" s="65" t="str">
        <f t="shared" si="132"/>
        <v>Desempenho Bom</v>
      </c>
      <c r="G610" s="71">
        <f t="shared" si="136"/>
        <v>0.73663014244586189</v>
      </c>
      <c r="H610" s="71">
        <f t="shared" si="136"/>
        <v>1.1737360935948695</v>
      </c>
      <c r="I610" s="71">
        <f t="shared" si="136"/>
        <v>0.29952419129685426</v>
      </c>
      <c r="J610" s="75">
        <v>13178.62</v>
      </c>
      <c r="K610" s="75">
        <v>60</v>
      </c>
      <c r="L610" s="6">
        <f>(SUM(K602:K610))/J609</f>
        <v>0.70238765515660972</v>
      </c>
      <c r="M610" s="36" t="str">
        <f t="shared" si="133"/>
        <v>Desempenho Bom</v>
      </c>
      <c r="N610" s="6">
        <f t="shared" si="138"/>
        <v>0.50336729135060976</v>
      </c>
      <c r="O610" s="6">
        <f t="shared" si="138"/>
        <v>1.0150591886201059</v>
      </c>
      <c r="P610" s="6">
        <f t="shared" si="138"/>
        <v>-8.3246059188863963E-3</v>
      </c>
      <c r="Q610" s="75">
        <v>75</v>
      </c>
      <c r="R610" s="76">
        <v>24</v>
      </c>
      <c r="S610" s="6">
        <f t="shared" si="131"/>
        <v>0.32</v>
      </c>
      <c r="T610" s="36" t="str">
        <f t="shared" si="134"/>
        <v>Desempenho Deficitário</v>
      </c>
      <c r="U610" s="6">
        <f t="shared" si="139"/>
        <v>0.74232771533595698</v>
      </c>
      <c r="V610" s="6">
        <f t="shared" si="139"/>
        <v>1.1540802341555996</v>
      </c>
      <c r="W610" s="6">
        <f t="shared" si="139"/>
        <v>0.33057519651631434</v>
      </c>
      <c r="X610" s="6">
        <f t="shared" si="139"/>
        <v>0.33057519651631434</v>
      </c>
      <c r="Y610" s="6">
        <f t="shared" si="139"/>
        <v>0.41175251881964264</v>
      </c>
    </row>
    <row r="611" spans="1:25" x14ac:dyDescent="0.25">
      <c r="A611" s="7" t="s">
        <v>43</v>
      </c>
      <c r="B611" s="7" t="s">
        <v>167</v>
      </c>
      <c r="C611" s="74">
        <v>75</v>
      </c>
      <c r="D611" s="74">
        <v>80</v>
      </c>
      <c r="E611" s="71">
        <f t="shared" si="130"/>
        <v>1.0666666666666667</v>
      </c>
      <c r="F611" s="65" t="str">
        <f t="shared" si="132"/>
        <v>Desempenho Bom</v>
      </c>
      <c r="G611" s="71">
        <f t="shared" si="136"/>
        <v>0.82061442726694189</v>
      </c>
      <c r="H611" s="71">
        <f t="shared" si="136"/>
        <v>1.2607833515834532</v>
      </c>
      <c r="I611" s="71">
        <f t="shared" si="136"/>
        <v>0.38044550295043061</v>
      </c>
      <c r="J611" s="75">
        <v>13178.62</v>
      </c>
      <c r="K611" s="75">
        <v>0</v>
      </c>
      <c r="L611" s="6">
        <f>(SUM(K602:K611))/J610</f>
        <v>0.70238765515660972</v>
      </c>
      <c r="M611" s="36" t="str">
        <f t="shared" si="133"/>
        <v>Desempenho Bom</v>
      </c>
      <c r="N611" s="6">
        <f t="shared" si="138"/>
        <v>0.58006775555216661</v>
      </c>
      <c r="O611" s="6">
        <f t="shared" si="138"/>
        <v>1.099948635873619</v>
      </c>
      <c r="P611" s="6">
        <f t="shared" si="138"/>
        <v>6.0186875230714088E-2</v>
      </c>
      <c r="Q611" s="75">
        <v>75</v>
      </c>
      <c r="R611" s="76">
        <v>24</v>
      </c>
      <c r="S611" s="6">
        <f t="shared" si="131"/>
        <v>0.32</v>
      </c>
      <c r="T611" s="36" t="str">
        <f t="shared" si="134"/>
        <v>Desempenho Deficitário</v>
      </c>
      <c r="U611" s="6">
        <f t="shared" si="139"/>
        <v>0.82347447721763523</v>
      </c>
      <c r="V611" s="6">
        <f t="shared" si="139"/>
        <v>1.2398542522675045</v>
      </c>
      <c r="W611" s="6">
        <f t="shared" si="139"/>
        <v>0.40709470216776611</v>
      </c>
      <c r="X611" s="6">
        <f t="shared" si="139"/>
        <v>0.40709470216776611</v>
      </c>
      <c r="Y611" s="6">
        <f t="shared" si="139"/>
        <v>0.41637977504986912</v>
      </c>
    </row>
    <row r="612" spans="1:25" x14ac:dyDescent="0.25">
      <c r="A612" s="7" t="s">
        <v>43</v>
      </c>
      <c r="B612" s="7" t="s">
        <v>168</v>
      </c>
      <c r="C612" s="74">
        <v>75</v>
      </c>
      <c r="D612" s="74">
        <v>96</v>
      </c>
      <c r="E612" s="71">
        <f t="shared" si="130"/>
        <v>1.28</v>
      </c>
      <c r="F612" s="65" t="str">
        <f t="shared" si="132"/>
        <v>Desempenho Bom</v>
      </c>
      <c r="G612" s="71">
        <f t="shared" si="136"/>
        <v>0.94582556715526966</v>
      </c>
      <c r="H612" s="71">
        <f t="shared" si="136"/>
        <v>1.4311117173682604</v>
      </c>
      <c r="I612" s="71">
        <f t="shared" si="136"/>
        <v>0.46053941694227907</v>
      </c>
      <c r="J612" s="75">
        <v>13178.62</v>
      </c>
      <c r="K612" s="75">
        <v>4500</v>
      </c>
      <c r="L612" s="6">
        <f>(SUM(K602:K612))/J611</f>
        <v>1.0438498112852483</v>
      </c>
      <c r="M612" s="36" t="str">
        <f t="shared" si="133"/>
        <v>Desempenho Bom</v>
      </c>
      <c r="N612" s="6">
        <f t="shared" si="138"/>
        <v>0.72282137340514951</v>
      </c>
      <c r="O612" s="6">
        <f t="shared" si="138"/>
        <v>1.2463651595014014</v>
      </c>
      <c r="P612" s="6">
        <f t="shared" si="138"/>
        <v>0.19927758730889755</v>
      </c>
      <c r="Q612" s="75">
        <v>75</v>
      </c>
      <c r="R612" s="76">
        <v>40</v>
      </c>
      <c r="S612" s="6">
        <f t="shared" si="131"/>
        <v>0.53333333333333333</v>
      </c>
      <c r="T612" s="36" t="str">
        <f t="shared" si="134"/>
        <v>Desempenho Médio</v>
      </c>
      <c r="U612" s="6">
        <f t="shared" si="139"/>
        <v>0.91825333306001944</v>
      </c>
      <c r="V612" s="6">
        <f t="shared" si="139"/>
        <v>1.402047931898428</v>
      </c>
      <c r="W612" s="6">
        <f t="shared" si="139"/>
        <v>0.43445873422161085</v>
      </c>
      <c r="X612" s="6">
        <f t="shared" si="139"/>
        <v>0.43445873422161085</v>
      </c>
      <c r="Y612" s="6">
        <f t="shared" si="139"/>
        <v>0.48379459883840858</v>
      </c>
    </row>
    <row r="613" spans="1:25" x14ac:dyDescent="0.25">
      <c r="A613" s="7" t="s">
        <v>43</v>
      </c>
      <c r="B613" s="7" t="s">
        <v>169</v>
      </c>
      <c r="C613" s="74">
        <v>75</v>
      </c>
      <c r="D613" s="74">
        <v>96</v>
      </c>
      <c r="E613" s="71">
        <f t="shared" si="130"/>
        <v>1.28</v>
      </c>
      <c r="F613" s="65" t="str">
        <f t="shared" si="132"/>
        <v>Desempenho Bom</v>
      </c>
      <c r="G613" s="71">
        <f t="shared" si="136"/>
        <v>1.0016849877757958</v>
      </c>
      <c r="H613" s="71">
        <f t="shared" si="136"/>
        <v>1.521489991464148</v>
      </c>
      <c r="I613" s="71">
        <f t="shared" si="136"/>
        <v>0.48187998408744359</v>
      </c>
      <c r="J613" s="75">
        <v>13178.62</v>
      </c>
      <c r="K613" s="75">
        <v>0</v>
      </c>
      <c r="L613" s="6">
        <f>(SUM(K602:K613))/J612</f>
        <v>1.0438498112852483</v>
      </c>
      <c r="M613" s="36" t="str">
        <f t="shared" si="133"/>
        <v>Desempenho Bom</v>
      </c>
      <c r="N613" s="6">
        <f t="shared" si="138"/>
        <v>0.82421983567812696</v>
      </c>
      <c r="O613" s="6">
        <f t="shared" si="138"/>
        <v>1.3730394926064369</v>
      </c>
      <c r="P613" s="6">
        <f t="shared" si="138"/>
        <v>0.27540017874981693</v>
      </c>
      <c r="Q613" s="75">
        <v>75</v>
      </c>
      <c r="R613" s="76">
        <v>40</v>
      </c>
      <c r="S613" s="6">
        <f t="shared" si="131"/>
        <v>0.53333333333333333</v>
      </c>
      <c r="T613" s="36" t="str">
        <f t="shared" si="134"/>
        <v>Desempenho Médio</v>
      </c>
      <c r="U613" s="6">
        <f t="shared" si="139"/>
        <v>0.91825333306001944</v>
      </c>
      <c r="V613" s="6">
        <f t="shared" si="139"/>
        <v>1.402047931898428</v>
      </c>
      <c r="W613" s="6">
        <f t="shared" si="139"/>
        <v>0.43445873422161085</v>
      </c>
      <c r="X613" s="6">
        <f t="shared" si="139"/>
        <v>0.43445873422161085</v>
      </c>
      <c r="Y613" s="6">
        <f t="shared" si="139"/>
        <v>0.48379459883840858</v>
      </c>
    </row>
    <row r="614" spans="1:25" x14ac:dyDescent="0.25">
      <c r="A614" s="7" t="s">
        <v>112</v>
      </c>
      <c r="B614" s="7" t="s">
        <v>158</v>
      </c>
      <c r="C614" s="74">
        <v>50</v>
      </c>
      <c r="D614" s="74">
        <v>21</v>
      </c>
      <c r="E614" s="71">
        <f t="shared" si="130"/>
        <v>0.42</v>
      </c>
      <c r="F614" s="65" t="str">
        <f t="shared" si="132"/>
        <v>Desempenho Ótimo</v>
      </c>
      <c r="G614" s="71">
        <f t="shared" si="136"/>
        <v>0.11573204891712785</v>
      </c>
      <c r="H614" s="71">
        <f t="shared" si="136"/>
        <v>0.30218524997148988</v>
      </c>
      <c r="I614" s="71">
        <f t="shared" si="136"/>
        <v>-7.0721152137234206E-2</v>
      </c>
      <c r="J614" s="75">
        <v>56000</v>
      </c>
      <c r="K614" s="75">
        <v>5000</v>
      </c>
      <c r="L614" s="6">
        <f>K614/J614</f>
        <v>8.9285714285714288E-2</v>
      </c>
      <c r="M614" s="36" t="str">
        <f t="shared" si="133"/>
        <v>Desempenho Médio</v>
      </c>
      <c r="N614" s="6">
        <f t="shared" ref="N614:P629" si="140">N602</f>
        <v>0.11129468122233216</v>
      </c>
      <c r="O614" s="6">
        <f t="shared" si="140"/>
        <v>0.54990456699293522</v>
      </c>
      <c r="P614" s="6">
        <f t="shared" si="140"/>
        <v>-0.32731520454827095</v>
      </c>
      <c r="Q614" s="75">
        <v>70</v>
      </c>
      <c r="R614" s="76">
        <v>0</v>
      </c>
      <c r="S614" s="6">
        <f t="shared" si="131"/>
        <v>0</v>
      </c>
      <c r="T614" s="36" t="str">
        <f t="shared" si="134"/>
        <v>Desempenho Médio</v>
      </c>
      <c r="U614" s="6">
        <f t="shared" si="139"/>
        <v>6.5053670194766225E-2</v>
      </c>
      <c r="V614" s="6">
        <f t="shared" si="139"/>
        <v>0.16010348962314203</v>
      </c>
      <c r="W614" s="6">
        <f t="shared" si="139"/>
        <v>-2.9996149233609562E-2</v>
      </c>
      <c r="X614" s="6">
        <f t="shared" si="139"/>
        <v>1.7528760480578331E-2</v>
      </c>
      <c r="Y614" s="6">
        <f t="shared" si="139"/>
        <v>9.5049819428375787E-2</v>
      </c>
    </row>
    <row r="615" spans="1:25" x14ac:dyDescent="0.25">
      <c r="A615" s="7" t="s">
        <v>112</v>
      </c>
      <c r="B615" s="7" t="s">
        <v>159</v>
      </c>
      <c r="C615" s="74">
        <v>50</v>
      </c>
      <c r="D615" s="74">
        <v>21</v>
      </c>
      <c r="E615" s="71">
        <f t="shared" si="130"/>
        <v>0.42</v>
      </c>
      <c r="F615" s="65" t="str">
        <f t="shared" si="132"/>
        <v>Desempenho Bom</v>
      </c>
      <c r="G615" s="71">
        <f t="shared" si="136"/>
        <v>0.22598075676513599</v>
      </c>
      <c r="H615" s="71">
        <f t="shared" si="136"/>
        <v>0.51894873552035481</v>
      </c>
      <c r="I615" s="71">
        <f t="shared" si="136"/>
        <v>-6.6987221990082807E-2</v>
      </c>
      <c r="J615" s="75">
        <v>56000</v>
      </c>
      <c r="K615" s="75">
        <v>0</v>
      </c>
      <c r="L615" s="6">
        <f>(SUM(K614:K615))/J614</f>
        <v>8.9285714285714288E-2</v>
      </c>
      <c r="M615" s="36" t="str">
        <f t="shared" si="133"/>
        <v>Desempenho Médio</v>
      </c>
      <c r="N615" s="6">
        <f t="shared" si="140"/>
        <v>0.14992070801509372</v>
      </c>
      <c r="O615" s="6">
        <f t="shared" si="140"/>
        <v>0.58968599072326611</v>
      </c>
      <c r="P615" s="6">
        <f t="shared" si="140"/>
        <v>-0.28984457469307867</v>
      </c>
      <c r="Q615" s="75">
        <v>70</v>
      </c>
      <c r="R615" s="76">
        <v>0</v>
      </c>
      <c r="S615" s="6">
        <f t="shared" si="131"/>
        <v>0</v>
      </c>
      <c r="T615" s="36" t="str">
        <f t="shared" si="134"/>
        <v>Desempenho Médio</v>
      </c>
      <c r="U615" s="6">
        <f t="shared" si="139"/>
        <v>6.5053670194766225E-2</v>
      </c>
      <c r="V615" s="6">
        <f t="shared" si="139"/>
        <v>0.16010348962314203</v>
      </c>
      <c r="W615" s="6">
        <f t="shared" si="139"/>
        <v>-2.9996149233609562E-2</v>
      </c>
      <c r="X615" s="6">
        <f t="shared" si="139"/>
        <v>1.7528760480578331E-2</v>
      </c>
      <c r="Y615" s="6">
        <f t="shared" si="139"/>
        <v>9.5049819428375787E-2</v>
      </c>
    </row>
    <row r="616" spans="1:25" x14ac:dyDescent="0.25">
      <c r="A616" s="7" t="s">
        <v>112</v>
      </c>
      <c r="B616" s="7" t="s">
        <v>160</v>
      </c>
      <c r="C616" s="74">
        <v>50</v>
      </c>
      <c r="D616" s="74">
        <v>21</v>
      </c>
      <c r="E616" s="71">
        <f t="shared" si="130"/>
        <v>0.42</v>
      </c>
      <c r="F616" s="65" t="str">
        <f t="shared" si="132"/>
        <v>Desempenho Bom</v>
      </c>
      <c r="G616" s="71">
        <f t="shared" si="136"/>
        <v>0.2827891266215985</v>
      </c>
      <c r="H616" s="71">
        <f t="shared" si="136"/>
        <v>0.59134445337262298</v>
      </c>
      <c r="I616" s="71">
        <f t="shared" si="136"/>
        <v>-2.5766200129425987E-2</v>
      </c>
      <c r="J616" s="75">
        <v>56000</v>
      </c>
      <c r="K616" s="75">
        <v>0</v>
      </c>
      <c r="L616" s="6">
        <f>(SUM(K614:K616))/J615</f>
        <v>8.9285714285714288E-2</v>
      </c>
      <c r="M616" s="36" t="str">
        <f t="shared" si="133"/>
        <v>Desempenho Médio</v>
      </c>
      <c r="N616" s="6">
        <f t="shared" si="140"/>
        <v>0.17723994755342617</v>
      </c>
      <c r="O616" s="6">
        <f t="shared" si="140"/>
        <v>0.61473682715667155</v>
      </c>
      <c r="P616" s="6">
        <f t="shared" si="140"/>
        <v>-0.26025693204981915</v>
      </c>
      <c r="Q616" s="75">
        <v>70</v>
      </c>
      <c r="R616" s="76">
        <v>43</v>
      </c>
      <c r="S616" s="6">
        <f t="shared" si="131"/>
        <v>0.61428571428571432</v>
      </c>
      <c r="T616" s="36" t="str">
        <f t="shared" si="134"/>
        <v>Desempenho Ótimo</v>
      </c>
      <c r="U616" s="6">
        <f t="shared" si="139"/>
        <v>0.18401218302179842</v>
      </c>
      <c r="V616" s="6">
        <f t="shared" si="139"/>
        <v>0.37883088095577799</v>
      </c>
      <c r="W616" s="6">
        <f t="shared" si="139"/>
        <v>-1.0806514912181153E-2</v>
      </c>
      <c r="X616" s="6">
        <f t="shared" si="139"/>
        <v>8.6602834054808633E-2</v>
      </c>
      <c r="Y616" s="6">
        <f t="shared" si="139"/>
        <v>0.19481869793397957</v>
      </c>
    </row>
    <row r="617" spans="1:25" x14ac:dyDescent="0.25">
      <c r="A617" s="7" t="s">
        <v>112</v>
      </c>
      <c r="B617" s="7" t="s">
        <v>161</v>
      </c>
      <c r="C617" s="74">
        <v>50</v>
      </c>
      <c r="D617" s="74">
        <v>21</v>
      </c>
      <c r="E617" s="71">
        <f t="shared" si="130"/>
        <v>0.42</v>
      </c>
      <c r="F617" s="65" t="str">
        <f t="shared" si="132"/>
        <v>Desempenho Bom</v>
      </c>
      <c r="G617" s="71">
        <f t="shared" si="136"/>
        <v>0.36222496935690102</v>
      </c>
      <c r="H617" s="71">
        <f t="shared" si="136"/>
        <v>0.67917151968337719</v>
      </c>
      <c r="I617" s="71">
        <f t="shared" si="136"/>
        <v>4.5278419030424844E-2</v>
      </c>
      <c r="J617" s="75">
        <v>56000</v>
      </c>
      <c r="K617" s="75">
        <v>0</v>
      </c>
      <c r="L617" s="6">
        <f>(SUM(K614:K617))/J616</f>
        <v>8.9285714285714288E-2</v>
      </c>
      <c r="M617" s="36" t="str">
        <f t="shared" si="133"/>
        <v>Desempenho Médio</v>
      </c>
      <c r="N617" s="6">
        <f t="shared" si="140"/>
        <v>0.2271654986777647</v>
      </c>
      <c r="O617" s="6">
        <f t="shared" si="140"/>
        <v>0.71582389712396544</v>
      </c>
      <c r="P617" s="6">
        <f t="shared" si="140"/>
        <v>-0.26149289976843598</v>
      </c>
      <c r="Q617" s="75">
        <v>70</v>
      </c>
      <c r="R617" s="76">
        <v>43</v>
      </c>
      <c r="S617" s="6">
        <f t="shared" si="131"/>
        <v>0.61428571428571432</v>
      </c>
      <c r="T617" s="36" t="str">
        <f t="shared" si="134"/>
        <v>Desempenho Ótimo</v>
      </c>
      <c r="U617" s="6">
        <f t="shared" si="139"/>
        <v>0.18401218302179842</v>
      </c>
      <c r="V617" s="6">
        <f t="shared" si="139"/>
        <v>0.37883088095577799</v>
      </c>
      <c r="W617" s="6">
        <f t="shared" si="139"/>
        <v>-1.0806514912181153E-2</v>
      </c>
      <c r="X617" s="6">
        <f t="shared" si="139"/>
        <v>8.6602834054808633E-2</v>
      </c>
      <c r="Y617" s="6">
        <f t="shared" si="139"/>
        <v>0.19481869793397957</v>
      </c>
    </row>
    <row r="618" spans="1:25" x14ac:dyDescent="0.25">
      <c r="A618" s="7" t="s">
        <v>112</v>
      </c>
      <c r="B618" s="7" t="s">
        <v>162</v>
      </c>
      <c r="C618" s="74">
        <v>50</v>
      </c>
      <c r="D618" s="74">
        <v>21</v>
      </c>
      <c r="E618" s="71">
        <f t="shared" si="130"/>
        <v>0.42</v>
      </c>
      <c r="F618" s="65" t="str">
        <f t="shared" si="132"/>
        <v>Desempenho Médio</v>
      </c>
      <c r="G618" s="71">
        <f t="shared" si="136"/>
        <v>0.44825178806664662</v>
      </c>
      <c r="H618" s="71">
        <f t="shared" si="136"/>
        <v>0.78548221403733831</v>
      </c>
      <c r="I618" s="71">
        <f t="shared" si="136"/>
        <v>0.11102136209595498</v>
      </c>
      <c r="J618" s="75">
        <v>56000</v>
      </c>
      <c r="K618" s="75">
        <v>0</v>
      </c>
      <c r="L618" s="6">
        <f>(SUM(K614:K618))/J617</f>
        <v>8.9285714285714288E-2</v>
      </c>
      <c r="M618" s="36" t="str">
        <f t="shared" si="133"/>
        <v>Desempenho Médio</v>
      </c>
      <c r="N618" s="6">
        <f t="shared" si="140"/>
        <v>0.27284258705105507</v>
      </c>
      <c r="O618" s="6">
        <f t="shared" si="140"/>
        <v>0.75981161093062477</v>
      </c>
      <c r="P618" s="6">
        <f t="shared" si="140"/>
        <v>-0.21412643682851468</v>
      </c>
      <c r="Q618" s="75">
        <v>70</v>
      </c>
      <c r="R618" s="76">
        <v>43</v>
      </c>
      <c r="S618" s="6">
        <f t="shared" si="131"/>
        <v>0.61428571428571432</v>
      </c>
      <c r="T618" s="36" t="str">
        <f t="shared" si="134"/>
        <v>Desempenho Ótimo</v>
      </c>
      <c r="U618" s="6">
        <f t="shared" si="139"/>
        <v>0.23278475191631845</v>
      </c>
      <c r="V618" s="6">
        <f t="shared" si="139"/>
        <v>0.51017789992422413</v>
      </c>
      <c r="W618" s="6">
        <f t="shared" si="139"/>
        <v>-4.460839609158726E-2</v>
      </c>
      <c r="X618" s="6">
        <f t="shared" si="139"/>
        <v>9.4088177912365595E-2</v>
      </c>
      <c r="Y618" s="6">
        <f t="shared" si="139"/>
        <v>0.27739314800790571</v>
      </c>
    </row>
    <row r="619" spans="1:25" x14ac:dyDescent="0.25">
      <c r="A619" s="7" t="s">
        <v>112</v>
      </c>
      <c r="B619" s="7" t="s">
        <v>163</v>
      </c>
      <c r="C619" s="74">
        <v>50</v>
      </c>
      <c r="D619" s="74">
        <v>21</v>
      </c>
      <c r="E619" s="71">
        <f t="shared" si="130"/>
        <v>0.42</v>
      </c>
      <c r="F619" s="65" t="str">
        <f t="shared" si="132"/>
        <v>Desempenho Médio</v>
      </c>
      <c r="G619" s="71">
        <f t="shared" si="136"/>
        <v>0.54231176602906361</v>
      </c>
      <c r="H619" s="71">
        <f t="shared" si="136"/>
        <v>0.92735502699565786</v>
      </c>
      <c r="I619" s="71">
        <f t="shared" si="136"/>
        <v>0.15726850506246942</v>
      </c>
      <c r="J619" s="75">
        <v>56000</v>
      </c>
      <c r="K619" s="75">
        <v>0</v>
      </c>
      <c r="L619" s="6">
        <f>(SUM(K614:K619))/J618</f>
        <v>8.9285714285714288E-2</v>
      </c>
      <c r="M619" s="36" t="str">
        <f t="shared" si="133"/>
        <v>Desempenho Médio</v>
      </c>
      <c r="N619" s="6">
        <f t="shared" si="140"/>
        <v>0.31451673641638933</v>
      </c>
      <c r="O619" s="6">
        <f t="shared" si="140"/>
        <v>0.80702132782766356</v>
      </c>
      <c r="P619" s="6">
        <f t="shared" si="140"/>
        <v>-0.1779878549948849</v>
      </c>
      <c r="Q619" s="75">
        <v>70</v>
      </c>
      <c r="R619" s="76">
        <v>50</v>
      </c>
      <c r="S619" s="6">
        <f t="shared" si="131"/>
        <v>0.7142857142857143</v>
      </c>
      <c r="T619" s="36" t="str">
        <f t="shared" si="134"/>
        <v>Desempenho Bom</v>
      </c>
      <c r="U619" s="6">
        <f t="shared" si="139"/>
        <v>0.46105014853915682</v>
      </c>
      <c r="V619" s="6">
        <f t="shared" si="139"/>
        <v>0.84756736419379908</v>
      </c>
      <c r="W619" s="6">
        <f t="shared" si="139"/>
        <v>7.4532932884514569E-2</v>
      </c>
      <c r="X619" s="6">
        <f t="shared" si="139"/>
        <v>7.4532932884514569E-2</v>
      </c>
      <c r="Y619" s="6">
        <f t="shared" si="139"/>
        <v>0.38651721565464225</v>
      </c>
    </row>
    <row r="620" spans="1:25" x14ac:dyDescent="0.25">
      <c r="A620" s="7" t="s">
        <v>112</v>
      </c>
      <c r="B620" s="7" t="s">
        <v>164</v>
      </c>
      <c r="C620" s="74">
        <v>50</v>
      </c>
      <c r="D620" s="74">
        <v>50</v>
      </c>
      <c r="E620" s="71">
        <f t="shared" si="130"/>
        <v>1</v>
      </c>
      <c r="F620" s="65" t="str">
        <f t="shared" si="132"/>
        <v>Desempenho Bom</v>
      </c>
      <c r="G620" s="71">
        <f t="shared" si="136"/>
        <v>0.63634637719050002</v>
      </c>
      <c r="H620" s="71">
        <f t="shared" si="136"/>
        <v>1.0512878703900039</v>
      </c>
      <c r="I620" s="71">
        <f t="shared" si="136"/>
        <v>0.22140488399099606</v>
      </c>
      <c r="J620" s="75">
        <v>56000</v>
      </c>
      <c r="K620" s="75">
        <v>2400</v>
      </c>
      <c r="L620" s="6">
        <f>(SUM(K614:K620))/J619</f>
        <v>0.13214285714285715</v>
      </c>
      <c r="M620" s="36" t="str">
        <f t="shared" si="133"/>
        <v>Desempenho Médio</v>
      </c>
      <c r="N620" s="6">
        <f t="shared" si="140"/>
        <v>0.38334713342809434</v>
      </c>
      <c r="O620" s="6">
        <f t="shared" si="140"/>
        <v>0.88375935483946089</v>
      </c>
      <c r="P620" s="6">
        <f t="shared" si="140"/>
        <v>-0.1170650879832722</v>
      </c>
      <c r="Q620" s="75">
        <v>70</v>
      </c>
      <c r="R620" s="76">
        <v>50</v>
      </c>
      <c r="S620" s="6">
        <f t="shared" si="131"/>
        <v>0.7142857142857143</v>
      </c>
      <c r="T620" s="36" t="str">
        <f t="shared" si="134"/>
        <v>Desempenho Bom</v>
      </c>
      <c r="U620" s="6">
        <f t="shared" si="139"/>
        <v>0.46105014853915682</v>
      </c>
      <c r="V620" s="6">
        <f t="shared" si="139"/>
        <v>0.84756736419379908</v>
      </c>
      <c r="W620" s="6">
        <f t="shared" si="139"/>
        <v>7.4532932884514569E-2</v>
      </c>
      <c r="X620" s="6">
        <f t="shared" si="139"/>
        <v>7.4532932884514569E-2</v>
      </c>
      <c r="Y620" s="6">
        <f t="shared" si="139"/>
        <v>0.38651721565464225</v>
      </c>
    </row>
    <row r="621" spans="1:25" x14ac:dyDescent="0.25">
      <c r="A621" s="7" t="s">
        <v>112</v>
      </c>
      <c r="B621" s="7" t="s">
        <v>165</v>
      </c>
      <c r="C621" s="74">
        <v>50</v>
      </c>
      <c r="D621" s="74">
        <v>50</v>
      </c>
      <c r="E621" s="71">
        <f t="shared" si="130"/>
        <v>1</v>
      </c>
      <c r="F621" s="65" t="str">
        <f t="shared" si="132"/>
        <v>Desempenho Bom</v>
      </c>
      <c r="G621" s="71">
        <f t="shared" si="136"/>
        <v>0.70660866675940681</v>
      </c>
      <c r="H621" s="71">
        <f t="shared" si="136"/>
        <v>1.1341225514190425</v>
      </c>
      <c r="I621" s="71">
        <f t="shared" si="136"/>
        <v>0.27909478209977112</v>
      </c>
      <c r="J621" s="75">
        <v>56000</v>
      </c>
      <c r="K621" s="75">
        <v>0</v>
      </c>
      <c r="L621" s="6">
        <f>(SUM(K614:K621))/J620</f>
        <v>0.13214285714285715</v>
      </c>
      <c r="M621" s="36" t="str">
        <f t="shared" si="133"/>
        <v>Desempenho Médio</v>
      </c>
      <c r="N621" s="6">
        <f t="shared" si="140"/>
        <v>0.45719521320533213</v>
      </c>
      <c r="O621" s="6">
        <f t="shared" si="140"/>
        <v>0.97356755068321044</v>
      </c>
      <c r="P621" s="6">
        <f t="shared" si="140"/>
        <v>-5.9177124272546122E-2</v>
      </c>
      <c r="Q621" s="75">
        <v>70</v>
      </c>
      <c r="R621" s="76">
        <v>50</v>
      </c>
      <c r="S621" s="6">
        <f t="shared" si="131"/>
        <v>0.7142857142857143</v>
      </c>
      <c r="T621" s="36" t="str">
        <f t="shared" si="134"/>
        <v>Desempenho Bom</v>
      </c>
      <c r="U621" s="6">
        <f t="shared" si="139"/>
        <v>0.46105014853915682</v>
      </c>
      <c r="V621" s="6">
        <f t="shared" si="139"/>
        <v>0.84756736419379908</v>
      </c>
      <c r="W621" s="6">
        <f t="shared" si="139"/>
        <v>7.4532932884514569E-2</v>
      </c>
      <c r="X621" s="6">
        <f t="shared" si="139"/>
        <v>7.4532932884514569E-2</v>
      </c>
      <c r="Y621" s="6">
        <f t="shared" si="139"/>
        <v>0.38651721565464225</v>
      </c>
    </row>
    <row r="622" spans="1:25" x14ac:dyDescent="0.25">
      <c r="A622" s="7" t="s">
        <v>112</v>
      </c>
      <c r="B622" s="7" t="s">
        <v>166</v>
      </c>
      <c r="C622" s="74">
        <v>50</v>
      </c>
      <c r="D622" s="74">
        <v>56</v>
      </c>
      <c r="E622" s="71">
        <f t="shared" si="130"/>
        <v>1.1200000000000001</v>
      </c>
      <c r="F622" s="65" t="str">
        <f t="shared" si="132"/>
        <v>Desempenho Bom</v>
      </c>
      <c r="G622" s="71">
        <f t="shared" si="136"/>
        <v>0.73663014244586189</v>
      </c>
      <c r="H622" s="71">
        <f t="shared" si="136"/>
        <v>1.1737360935948695</v>
      </c>
      <c r="I622" s="71">
        <f t="shared" si="136"/>
        <v>0.29952419129685426</v>
      </c>
      <c r="J622" s="75">
        <v>56000</v>
      </c>
      <c r="K622" s="75">
        <v>750</v>
      </c>
      <c r="L622" s="6">
        <f>(SUM(K614:K622))/J621</f>
        <v>0.1455357142857143</v>
      </c>
      <c r="M622" s="36" t="str">
        <f t="shared" si="133"/>
        <v>Desempenho Médio</v>
      </c>
      <c r="N622" s="6">
        <f t="shared" si="140"/>
        <v>0.50336729135060976</v>
      </c>
      <c r="O622" s="6">
        <f t="shared" si="140"/>
        <v>1.0150591886201059</v>
      </c>
      <c r="P622" s="6">
        <f t="shared" si="140"/>
        <v>-8.3246059188863963E-3</v>
      </c>
      <c r="Q622" s="75">
        <v>70</v>
      </c>
      <c r="R622" s="76">
        <v>50</v>
      </c>
      <c r="S622" s="6">
        <f t="shared" si="131"/>
        <v>0.7142857142857143</v>
      </c>
      <c r="T622" s="36" t="str">
        <f t="shared" si="134"/>
        <v>Desempenho Médio</v>
      </c>
      <c r="U622" s="6">
        <f t="shared" si="139"/>
        <v>0.74232771533595698</v>
      </c>
      <c r="V622" s="6">
        <f t="shared" si="139"/>
        <v>1.1540802341555996</v>
      </c>
      <c r="W622" s="6">
        <f t="shared" si="139"/>
        <v>0.33057519651631434</v>
      </c>
      <c r="X622" s="6">
        <f t="shared" si="139"/>
        <v>0.33057519651631434</v>
      </c>
      <c r="Y622" s="6">
        <f t="shared" si="139"/>
        <v>0.41175251881964264</v>
      </c>
    </row>
    <row r="623" spans="1:25" x14ac:dyDescent="0.25">
      <c r="A623" s="7" t="s">
        <v>112</v>
      </c>
      <c r="B623" s="7" t="s">
        <v>167</v>
      </c>
      <c r="C623" s="74">
        <v>50</v>
      </c>
      <c r="D623" s="74">
        <v>56</v>
      </c>
      <c r="E623" s="71">
        <f t="shared" si="130"/>
        <v>1.1200000000000001</v>
      </c>
      <c r="F623" s="65" t="str">
        <f t="shared" si="132"/>
        <v>Desempenho Bom</v>
      </c>
      <c r="G623" s="71">
        <f t="shared" si="136"/>
        <v>0.82061442726694189</v>
      </c>
      <c r="H623" s="71">
        <f t="shared" si="136"/>
        <v>1.2607833515834532</v>
      </c>
      <c r="I623" s="71">
        <f t="shared" si="136"/>
        <v>0.38044550295043061</v>
      </c>
      <c r="J623" s="75">
        <v>56000</v>
      </c>
      <c r="K623" s="75">
        <v>0</v>
      </c>
      <c r="L623" s="6">
        <f>(SUM(K614:K623))/J622</f>
        <v>0.1455357142857143</v>
      </c>
      <c r="M623" s="36" t="str">
        <f t="shared" si="133"/>
        <v>Desempenho Médio</v>
      </c>
      <c r="N623" s="6">
        <f t="shared" si="140"/>
        <v>0.58006775555216661</v>
      </c>
      <c r="O623" s="6">
        <f t="shared" si="140"/>
        <v>1.099948635873619</v>
      </c>
      <c r="P623" s="6">
        <f t="shared" si="140"/>
        <v>6.0186875230714088E-2</v>
      </c>
      <c r="Q623" s="75">
        <v>70</v>
      </c>
      <c r="R623" s="76">
        <v>50</v>
      </c>
      <c r="S623" s="6">
        <f t="shared" si="131"/>
        <v>0.7142857142857143</v>
      </c>
      <c r="T623" s="36" t="str">
        <f t="shared" si="134"/>
        <v>Desempenho Médio</v>
      </c>
      <c r="U623" s="6">
        <f t="shared" ref="U623:Y638" si="141">U611</f>
        <v>0.82347447721763523</v>
      </c>
      <c r="V623" s="6">
        <f t="shared" si="141"/>
        <v>1.2398542522675045</v>
      </c>
      <c r="W623" s="6">
        <f t="shared" si="141"/>
        <v>0.40709470216776611</v>
      </c>
      <c r="X623" s="6">
        <f t="shared" si="141"/>
        <v>0.40709470216776611</v>
      </c>
      <c r="Y623" s="6">
        <f t="shared" si="141"/>
        <v>0.41637977504986912</v>
      </c>
    </row>
    <row r="624" spans="1:25" x14ac:dyDescent="0.25">
      <c r="A624" s="7" t="s">
        <v>112</v>
      </c>
      <c r="B624" s="7" t="s">
        <v>168</v>
      </c>
      <c r="C624" s="74">
        <v>50</v>
      </c>
      <c r="D624" s="74">
        <v>100</v>
      </c>
      <c r="E624" s="71">
        <f t="shared" si="130"/>
        <v>2</v>
      </c>
      <c r="F624" s="65" t="str">
        <f t="shared" si="132"/>
        <v>Desempenho Ótimo</v>
      </c>
      <c r="G624" s="71">
        <f t="shared" si="136"/>
        <v>0.94582556715526966</v>
      </c>
      <c r="H624" s="71">
        <f t="shared" si="136"/>
        <v>1.4311117173682604</v>
      </c>
      <c r="I624" s="71">
        <f t="shared" si="136"/>
        <v>0.46053941694227907</v>
      </c>
      <c r="J624" s="75">
        <v>56000</v>
      </c>
      <c r="K624" s="75">
        <v>14800</v>
      </c>
      <c r="L624" s="6">
        <f>(SUM(K614:K624))/J623</f>
        <v>0.40982142857142856</v>
      </c>
      <c r="M624" s="36" t="str">
        <f t="shared" si="133"/>
        <v>Desempenho Médio</v>
      </c>
      <c r="N624" s="6">
        <f t="shared" si="140"/>
        <v>0.72282137340514951</v>
      </c>
      <c r="O624" s="6">
        <f t="shared" si="140"/>
        <v>1.2463651595014014</v>
      </c>
      <c r="P624" s="6">
        <f t="shared" si="140"/>
        <v>0.19927758730889755</v>
      </c>
      <c r="Q624" s="75">
        <v>70</v>
      </c>
      <c r="R624" s="76">
        <v>71</v>
      </c>
      <c r="S624" s="6">
        <f t="shared" si="131"/>
        <v>1.0142857142857142</v>
      </c>
      <c r="T624" s="36" t="str">
        <f t="shared" si="134"/>
        <v>Desempenho Bom</v>
      </c>
      <c r="U624" s="6">
        <f t="shared" si="141"/>
        <v>0.91825333306001944</v>
      </c>
      <c r="V624" s="6">
        <f t="shared" si="141"/>
        <v>1.402047931898428</v>
      </c>
      <c r="W624" s="6">
        <f t="shared" si="141"/>
        <v>0.43445873422161085</v>
      </c>
      <c r="X624" s="6">
        <f t="shared" si="141"/>
        <v>0.43445873422161085</v>
      </c>
      <c r="Y624" s="6">
        <f t="shared" si="141"/>
        <v>0.48379459883840858</v>
      </c>
    </row>
    <row r="625" spans="1:25" x14ac:dyDescent="0.25">
      <c r="A625" s="7" t="s">
        <v>112</v>
      </c>
      <c r="B625" s="7" t="s">
        <v>169</v>
      </c>
      <c r="C625" s="74">
        <v>50</v>
      </c>
      <c r="D625" s="74">
        <v>100</v>
      </c>
      <c r="E625" s="71">
        <f t="shared" si="130"/>
        <v>2</v>
      </c>
      <c r="F625" s="65" t="str">
        <f t="shared" si="132"/>
        <v>Desempenho Ótimo</v>
      </c>
      <c r="G625" s="71">
        <f t="shared" si="136"/>
        <v>1.0016849877757958</v>
      </c>
      <c r="H625" s="71">
        <f t="shared" si="136"/>
        <v>1.521489991464148</v>
      </c>
      <c r="I625" s="71">
        <f t="shared" si="136"/>
        <v>0.48187998408744359</v>
      </c>
      <c r="J625" s="75">
        <v>56000</v>
      </c>
      <c r="K625" s="75">
        <v>0</v>
      </c>
      <c r="L625" s="6">
        <f>(SUM(K614:K625))/J624</f>
        <v>0.40982142857142856</v>
      </c>
      <c r="M625" s="36" t="str">
        <f t="shared" si="133"/>
        <v>Desempenho Médio</v>
      </c>
      <c r="N625" s="6">
        <f t="shared" si="140"/>
        <v>0.82421983567812696</v>
      </c>
      <c r="O625" s="6">
        <f t="shared" si="140"/>
        <v>1.3730394926064369</v>
      </c>
      <c r="P625" s="6">
        <f t="shared" si="140"/>
        <v>0.27540017874981693</v>
      </c>
      <c r="Q625" s="75">
        <v>70</v>
      </c>
      <c r="R625" s="76">
        <v>71</v>
      </c>
      <c r="S625" s="6">
        <f t="shared" si="131"/>
        <v>1.0142857142857142</v>
      </c>
      <c r="T625" s="36" t="str">
        <f t="shared" si="134"/>
        <v>Desempenho Bom</v>
      </c>
      <c r="U625" s="6">
        <f t="shared" si="141"/>
        <v>0.91825333306001944</v>
      </c>
      <c r="V625" s="6">
        <f t="shared" si="141"/>
        <v>1.402047931898428</v>
      </c>
      <c r="W625" s="6">
        <f t="shared" si="141"/>
        <v>0.43445873422161085</v>
      </c>
      <c r="X625" s="6">
        <f t="shared" si="141"/>
        <v>0.43445873422161085</v>
      </c>
      <c r="Y625" s="6">
        <f t="shared" si="141"/>
        <v>0.48379459883840858</v>
      </c>
    </row>
    <row r="626" spans="1:25" x14ac:dyDescent="0.25">
      <c r="A626" s="7" t="s">
        <v>135</v>
      </c>
      <c r="B626" s="7" t="s">
        <v>158</v>
      </c>
      <c r="C626" s="74">
        <v>0</v>
      </c>
      <c r="D626" s="74">
        <v>0</v>
      </c>
      <c r="E626" s="71" t="e">
        <f t="shared" si="130"/>
        <v>#DIV/0!</v>
      </c>
      <c r="F626" s="65" t="e">
        <f t="shared" si="132"/>
        <v>#DIV/0!</v>
      </c>
      <c r="G626" s="71">
        <f t="shared" si="136"/>
        <v>0.11573204891712785</v>
      </c>
      <c r="H626" s="71">
        <f t="shared" si="136"/>
        <v>0.30218524997148988</v>
      </c>
      <c r="I626" s="71">
        <f t="shared" si="136"/>
        <v>-7.0721152137234206E-2</v>
      </c>
      <c r="J626" s="75">
        <v>0</v>
      </c>
      <c r="K626" s="75">
        <v>0</v>
      </c>
      <c r="L626" s="6" t="e">
        <f>K626/J626</f>
        <v>#DIV/0!</v>
      </c>
      <c r="M626" s="36" t="e">
        <f t="shared" si="133"/>
        <v>#DIV/0!</v>
      </c>
      <c r="N626" s="6">
        <f t="shared" si="140"/>
        <v>0.11129468122233216</v>
      </c>
      <c r="O626" s="6">
        <f t="shared" si="140"/>
        <v>0.54990456699293522</v>
      </c>
      <c r="P626" s="6">
        <f t="shared" si="140"/>
        <v>-0.32731520454827095</v>
      </c>
      <c r="Q626" s="75">
        <v>0</v>
      </c>
      <c r="R626" s="76">
        <v>0</v>
      </c>
      <c r="S626" s="6" t="e">
        <f t="shared" si="131"/>
        <v>#DIV/0!</v>
      </c>
      <c r="T626" s="36" t="e">
        <f t="shared" si="134"/>
        <v>#DIV/0!</v>
      </c>
      <c r="U626" s="6">
        <f t="shared" si="141"/>
        <v>6.5053670194766225E-2</v>
      </c>
      <c r="V626" s="6">
        <f t="shared" si="141"/>
        <v>0.16010348962314203</v>
      </c>
      <c r="W626" s="6">
        <f t="shared" si="141"/>
        <v>-2.9996149233609562E-2</v>
      </c>
      <c r="X626" s="6">
        <f t="shared" si="141"/>
        <v>1.7528760480578331E-2</v>
      </c>
      <c r="Y626" s="6">
        <f t="shared" si="141"/>
        <v>9.5049819428375787E-2</v>
      </c>
    </row>
    <row r="627" spans="1:25" x14ac:dyDescent="0.25">
      <c r="A627" s="7" t="s">
        <v>135</v>
      </c>
      <c r="B627" s="7" t="s">
        <v>159</v>
      </c>
      <c r="C627" s="74">
        <v>0</v>
      </c>
      <c r="D627" s="74">
        <v>0</v>
      </c>
      <c r="E627" s="71" t="e">
        <f t="shared" si="130"/>
        <v>#DIV/0!</v>
      </c>
      <c r="F627" s="65" t="e">
        <f t="shared" si="132"/>
        <v>#DIV/0!</v>
      </c>
      <c r="G627" s="71">
        <f t="shared" si="136"/>
        <v>0.22598075676513599</v>
      </c>
      <c r="H627" s="71">
        <f t="shared" si="136"/>
        <v>0.51894873552035481</v>
      </c>
      <c r="I627" s="71">
        <f t="shared" si="136"/>
        <v>-6.6987221990082807E-2</v>
      </c>
      <c r="J627" s="75">
        <v>0</v>
      </c>
      <c r="K627" s="75">
        <v>0</v>
      </c>
      <c r="L627" s="6" t="e">
        <f>(SUM(K626:K627))/J626</f>
        <v>#DIV/0!</v>
      </c>
      <c r="M627" s="36" t="e">
        <f t="shared" si="133"/>
        <v>#DIV/0!</v>
      </c>
      <c r="N627" s="6">
        <f t="shared" si="140"/>
        <v>0.14992070801509372</v>
      </c>
      <c r="O627" s="6">
        <f t="shared" si="140"/>
        <v>0.58968599072326611</v>
      </c>
      <c r="P627" s="6">
        <f t="shared" si="140"/>
        <v>-0.28984457469307867</v>
      </c>
      <c r="Q627" s="75">
        <v>0</v>
      </c>
      <c r="R627" s="76">
        <v>0</v>
      </c>
      <c r="S627" s="6" t="e">
        <f t="shared" si="131"/>
        <v>#DIV/0!</v>
      </c>
      <c r="T627" s="36" t="e">
        <f t="shared" si="134"/>
        <v>#DIV/0!</v>
      </c>
      <c r="U627" s="6">
        <f t="shared" si="141"/>
        <v>6.5053670194766225E-2</v>
      </c>
      <c r="V627" s="6">
        <f t="shared" si="141"/>
        <v>0.16010348962314203</v>
      </c>
      <c r="W627" s="6">
        <f t="shared" si="141"/>
        <v>-2.9996149233609562E-2</v>
      </c>
      <c r="X627" s="6">
        <f t="shared" si="141"/>
        <v>1.7528760480578331E-2</v>
      </c>
      <c r="Y627" s="6">
        <f t="shared" si="141"/>
        <v>9.5049819428375787E-2</v>
      </c>
    </row>
    <row r="628" spans="1:25" x14ac:dyDescent="0.25">
      <c r="A628" s="7" t="s">
        <v>135</v>
      </c>
      <c r="B628" s="7" t="s">
        <v>160</v>
      </c>
      <c r="C628" s="74">
        <v>0</v>
      </c>
      <c r="D628" s="74">
        <v>0</v>
      </c>
      <c r="E628" s="71" t="e">
        <f t="shared" si="130"/>
        <v>#DIV/0!</v>
      </c>
      <c r="F628" s="65" t="e">
        <f t="shared" si="132"/>
        <v>#DIV/0!</v>
      </c>
      <c r="G628" s="71">
        <f t="shared" si="136"/>
        <v>0.2827891266215985</v>
      </c>
      <c r="H628" s="71">
        <f t="shared" si="136"/>
        <v>0.59134445337262298</v>
      </c>
      <c r="I628" s="71">
        <f t="shared" si="136"/>
        <v>-2.5766200129425987E-2</v>
      </c>
      <c r="J628" s="75">
        <v>0</v>
      </c>
      <c r="K628" s="75">
        <v>0</v>
      </c>
      <c r="L628" s="6" t="e">
        <f>(SUM(K626:K628))/J627</f>
        <v>#DIV/0!</v>
      </c>
      <c r="M628" s="36" t="e">
        <f t="shared" si="133"/>
        <v>#DIV/0!</v>
      </c>
      <c r="N628" s="6">
        <f t="shared" si="140"/>
        <v>0.17723994755342617</v>
      </c>
      <c r="O628" s="6">
        <f t="shared" si="140"/>
        <v>0.61473682715667155</v>
      </c>
      <c r="P628" s="6">
        <f t="shared" si="140"/>
        <v>-0.26025693204981915</v>
      </c>
      <c r="Q628" s="75">
        <v>0</v>
      </c>
      <c r="R628" s="76">
        <v>0</v>
      </c>
      <c r="S628" s="6" t="e">
        <f t="shared" si="131"/>
        <v>#DIV/0!</v>
      </c>
      <c r="T628" s="36" t="e">
        <f t="shared" si="134"/>
        <v>#DIV/0!</v>
      </c>
      <c r="U628" s="6">
        <f t="shared" si="141"/>
        <v>0.18401218302179842</v>
      </c>
      <c r="V628" s="6">
        <f t="shared" si="141"/>
        <v>0.37883088095577799</v>
      </c>
      <c r="W628" s="6">
        <f t="shared" si="141"/>
        <v>-1.0806514912181153E-2</v>
      </c>
      <c r="X628" s="6">
        <f t="shared" si="141"/>
        <v>8.6602834054808633E-2</v>
      </c>
      <c r="Y628" s="6">
        <f t="shared" si="141"/>
        <v>0.19481869793397957</v>
      </c>
    </row>
    <row r="629" spans="1:25" x14ac:dyDescent="0.25">
      <c r="A629" s="7" t="s">
        <v>135</v>
      </c>
      <c r="B629" s="7" t="s">
        <v>161</v>
      </c>
      <c r="C629" s="74">
        <v>0</v>
      </c>
      <c r="D629" s="74">
        <v>0</v>
      </c>
      <c r="E629" s="71" t="e">
        <f t="shared" si="130"/>
        <v>#DIV/0!</v>
      </c>
      <c r="F629" s="65" t="e">
        <f t="shared" si="132"/>
        <v>#DIV/0!</v>
      </c>
      <c r="G629" s="71">
        <f t="shared" si="136"/>
        <v>0.36222496935690102</v>
      </c>
      <c r="H629" s="71">
        <f t="shared" si="136"/>
        <v>0.67917151968337719</v>
      </c>
      <c r="I629" s="71">
        <f t="shared" si="136"/>
        <v>4.5278419030424844E-2</v>
      </c>
      <c r="J629" s="75">
        <v>0</v>
      </c>
      <c r="K629" s="75">
        <v>0</v>
      </c>
      <c r="L629" s="6" t="e">
        <f>(SUM(K626:K629))/J628</f>
        <v>#DIV/0!</v>
      </c>
      <c r="M629" s="36" t="e">
        <f t="shared" si="133"/>
        <v>#DIV/0!</v>
      </c>
      <c r="N629" s="6">
        <f t="shared" si="140"/>
        <v>0.2271654986777647</v>
      </c>
      <c r="O629" s="6">
        <f t="shared" si="140"/>
        <v>0.71582389712396544</v>
      </c>
      <c r="P629" s="6">
        <f t="shared" si="140"/>
        <v>-0.26149289976843598</v>
      </c>
      <c r="Q629" s="75">
        <v>0</v>
      </c>
      <c r="R629" s="76">
        <v>0</v>
      </c>
      <c r="S629" s="6" t="e">
        <f t="shared" si="131"/>
        <v>#DIV/0!</v>
      </c>
      <c r="T629" s="36" t="e">
        <f t="shared" si="134"/>
        <v>#DIV/0!</v>
      </c>
      <c r="U629" s="6">
        <f t="shared" si="141"/>
        <v>0.18401218302179842</v>
      </c>
      <c r="V629" s="6">
        <f t="shared" si="141"/>
        <v>0.37883088095577799</v>
      </c>
      <c r="W629" s="6">
        <f t="shared" si="141"/>
        <v>-1.0806514912181153E-2</v>
      </c>
      <c r="X629" s="6">
        <f t="shared" si="141"/>
        <v>8.6602834054808633E-2</v>
      </c>
      <c r="Y629" s="6">
        <f t="shared" si="141"/>
        <v>0.19481869793397957</v>
      </c>
    </row>
    <row r="630" spans="1:25" x14ac:dyDescent="0.25">
      <c r="A630" s="7" t="s">
        <v>135</v>
      </c>
      <c r="B630" s="7" t="s">
        <v>162</v>
      </c>
      <c r="C630" s="74">
        <v>0</v>
      </c>
      <c r="D630" s="74">
        <v>0</v>
      </c>
      <c r="E630" s="71" t="e">
        <f t="shared" si="130"/>
        <v>#DIV/0!</v>
      </c>
      <c r="F630" s="65" t="e">
        <f t="shared" si="132"/>
        <v>#DIV/0!</v>
      </c>
      <c r="G630" s="71">
        <f t="shared" si="136"/>
        <v>0.44825178806664662</v>
      </c>
      <c r="H630" s="71">
        <f t="shared" si="136"/>
        <v>0.78548221403733831</v>
      </c>
      <c r="I630" s="71">
        <f t="shared" si="136"/>
        <v>0.11102136209595498</v>
      </c>
      <c r="J630" s="75">
        <v>0</v>
      </c>
      <c r="K630" s="75">
        <v>0</v>
      </c>
      <c r="L630" s="6" t="e">
        <f>(SUM(K626:K630))/J629</f>
        <v>#DIV/0!</v>
      </c>
      <c r="M630" s="36" t="e">
        <f t="shared" si="133"/>
        <v>#DIV/0!</v>
      </c>
      <c r="N630" s="6">
        <f t="shared" ref="N630:P645" si="142">N618</f>
        <v>0.27284258705105507</v>
      </c>
      <c r="O630" s="6">
        <f t="shared" si="142"/>
        <v>0.75981161093062477</v>
      </c>
      <c r="P630" s="6">
        <f t="shared" si="142"/>
        <v>-0.21412643682851468</v>
      </c>
      <c r="Q630" s="75">
        <v>0</v>
      </c>
      <c r="R630" s="76">
        <v>0</v>
      </c>
      <c r="S630" s="6" t="e">
        <f t="shared" si="131"/>
        <v>#DIV/0!</v>
      </c>
      <c r="T630" s="36" t="e">
        <f t="shared" si="134"/>
        <v>#DIV/0!</v>
      </c>
      <c r="U630" s="6">
        <f t="shared" si="141"/>
        <v>0.23278475191631845</v>
      </c>
      <c r="V630" s="6">
        <f t="shared" si="141"/>
        <v>0.51017789992422413</v>
      </c>
      <c r="W630" s="6">
        <f t="shared" si="141"/>
        <v>-4.460839609158726E-2</v>
      </c>
      <c r="X630" s="6">
        <f t="shared" si="141"/>
        <v>9.4088177912365595E-2</v>
      </c>
      <c r="Y630" s="6">
        <f t="shared" si="141"/>
        <v>0.27739314800790571</v>
      </c>
    </row>
    <row r="631" spans="1:25" x14ac:dyDescent="0.25">
      <c r="A631" s="7" t="s">
        <v>135</v>
      </c>
      <c r="B631" s="7" t="s">
        <v>163</v>
      </c>
      <c r="C631" s="74">
        <v>0</v>
      </c>
      <c r="D631" s="74">
        <v>0</v>
      </c>
      <c r="E631" s="71" t="e">
        <f t="shared" si="130"/>
        <v>#DIV/0!</v>
      </c>
      <c r="F631" s="65" t="e">
        <f t="shared" si="132"/>
        <v>#DIV/0!</v>
      </c>
      <c r="G631" s="71">
        <f t="shared" si="136"/>
        <v>0.54231176602906361</v>
      </c>
      <c r="H631" s="71">
        <f t="shared" si="136"/>
        <v>0.92735502699565786</v>
      </c>
      <c r="I631" s="71">
        <f t="shared" si="136"/>
        <v>0.15726850506246942</v>
      </c>
      <c r="J631" s="75">
        <v>0</v>
      </c>
      <c r="K631" s="75">
        <v>0</v>
      </c>
      <c r="L631" s="6" t="e">
        <f>(SUM(K626:K631))/J630</f>
        <v>#DIV/0!</v>
      </c>
      <c r="M631" s="36" t="e">
        <f t="shared" si="133"/>
        <v>#DIV/0!</v>
      </c>
      <c r="N631" s="6">
        <f t="shared" si="142"/>
        <v>0.31451673641638933</v>
      </c>
      <c r="O631" s="6">
        <f t="shared" si="142"/>
        <v>0.80702132782766356</v>
      </c>
      <c r="P631" s="6">
        <f t="shared" si="142"/>
        <v>-0.1779878549948849</v>
      </c>
      <c r="Q631" s="75">
        <v>0</v>
      </c>
      <c r="R631" s="76">
        <v>0</v>
      </c>
      <c r="S631" s="6" t="e">
        <f t="shared" si="131"/>
        <v>#DIV/0!</v>
      </c>
      <c r="T631" s="36" t="e">
        <f t="shared" si="134"/>
        <v>#DIV/0!</v>
      </c>
      <c r="U631" s="6">
        <f t="shared" si="141"/>
        <v>0.46105014853915682</v>
      </c>
      <c r="V631" s="6">
        <f t="shared" si="141"/>
        <v>0.84756736419379908</v>
      </c>
      <c r="W631" s="6">
        <f t="shared" si="141"/>
        <v>7.4532932884514569E-2</v>
      </c>
      <c r="X631" s="6">
        <f t="shared" si="141"/>
        <v>7.4532932884514569E-2</v>
      </c>
      <c r="Y631" s="6">
        <f t="shared" si="141"/>
        <v>0.38651721565464225</v>
      </c>
    </row>
    <row r="632" spans="1:25" x14ac:dyDescent="0.25">
      <c r="A632" s="7" t="s">
        <v>135</v>
      </c>
      <c r="B632" s="7" t="s">
        <v>164</v>
      </c>
      <c r="C632" s="74">
        <v>0</v>
      </c>
      <c r="D632" s="74">
        <v>0</v>
      </c>
      <c r="E632" s="71" t="e">
        <f t="shared" si="130"/>
        <v>#DIV/0!</v>
      </c>
      <c r="F632" s="65" t="e">
        <f t="shared" si="132"/>
        <v>#DIV/0!</v>
      </c>
      <c r="G632" s="71">
        <f t="shared" si="136"/>
        <v>0.63634637719050002</v>
      </c>
      <c r="H632" s="71">
        <f t="shared" si="136"/>
        <v>1.0512878703900039</v>
      </c>
      <c r="I632" s="71">
        <f t="shared" si="136"/>
        <v>0.22140488399099606</v>
      </c>
      <c r="J632" s="75">
        <v>0</v>
      </c>
      <c r="K632" s="75">
        <v>0</v>
      </c>
      <c r="L632" s="6" t="e">
        <f>(SUM(K626:K632))/J631</f>
        <v>#DIV/0!</v>
      </c>
      <c r="M632" s="36" t="e">
        <f t="shared" si="133"/>
        <v>#DIV/0!</v>
      </c>
      <c r="N632" s="6">
        <f t="shared" si="142"/>
        <v>0.38334713342809434</v>
      </c>
      <c r="O632" s="6">
        <f t="shared" si="142"/>
        <v>0.88375935483946089</v>
      </c>
      <c r="P632" s="6">
        <f t="shared" si="142"/>
        <v>-0.1170650879832722</v>
      </c>
      <c r="Q632" s="75">
        <v>0</v>
      </c>
      <c r="R632" s="76">
        <v>0</v>
      </c>
      <c r="S632" s="6" t="e">
        <f t="shared" si="131"/>
        <v>#DIV/0!</v>
      </c>
      <c r="T632" s="36" t="e">
        <f t="shared" si="134"/>
        <v>#DIV/0!</v>
      </c>
      <c r="U632" s="6">
        <f t="shared" si="141"/>
        <v>0.46105014853915682</v>
      </c>
      <c r="V632" s="6">
        <f t="shared" si="141"/>
        <v>0.84756736419379908</v>
      </c>
      <c r="W632" s="6">
        <f t="shared" si="141"/>
        <v>7.4532932884514569E-2</v>
      </c>
      <c r="X632" s="6">
        <f t="shared" si="141"/>
        <v>7.4532932884514569E-2</v>
      </c>
      <c r="Y632" s="6">
        <f t="shared" si="141"/>
        <v>0.38651721565464225</v>
      </c>
    </row>
    <row r="633" spans="1:25" x14ac:dyDescent="0.25">
      <c r="A633" s="7" t="s">
        <v>135</v>
      </c>
      <c r="B633" s="7" t="s">
        <v>165</v>
      </c>
      <c r="C633" s="74">
        <v>0</v>
      </c>
      <c r="D633" s="74">
        <v>0</v>
      </c>
      <c r="E633" s="71" t="e">
        <f t="shared" si="130"/>
        <v>#DIV/0!</v>
      </c>
      <c r="F633" s="65" t="e">
        <f t="shared" si="132"/>
        <v>#DIV/0!</v>
      </c>
      <c r="G633" s="71">
        <f t="shared" si="136"/>
        <v>0.70660866675940681</v>
      </c>
      <c r="H633" s="71">
        <f t="shared" si="136"/>
        <v>1.1341225514190425</v>
      </c>
      <c r="I633" s="71">
        <f t="shared" si="136"/>
        <v>0.27909478209977112</v>
      </c>
      <c r="J633" s="75">
        <v>0</v>
      </c>
      <c r="K633" s="75">
        <v>0</v>
      </c>
      <c r="L633" s="6" t="e">
        <f>(SUM(K626:K633))/J632</f>
        <v>#DIV/0!</v>
      </c>
      <c r="M633" s="36" t="e">
        <f t="shared" si="133"/>
        <v>#DIV/0!</v>
      </c>
      <c r="N633" s="6">
        <f t="shared" si="142"/>
        <v>0.45719521320533213</v>
      </c>
      <c r="O633" s="6">
        <f t="shared" si="142"/>
        <v>0.97356755068321044</v>
      </c>
      <c r="P633" s="6">
        <f t="shared" si="142"/>
        <v>-5.9177124272546122E-2</v>
      </c>
      <c r="Q633" s="75">
        <v>0</v>
      </c>
      <c r="R633" s="76">
        <v>0</v>
      </c>
      <c r="S633" s="6" t="e">
        <f t="shared" si="131"/>
        <v>#DIV/0!</v>
      </c>
      <c r="T633" s="36" t="e">
        <f t="shared" si="134"/>
        <v>#DIV/0!</v>
      </c>
      <c r="U633" s="6">
        <f t="shared" si="141"/>
        <v>0.46105014853915682</v>
      </c>
      <c r="V633" s="6">
        <f t="shared" si="141"/>
        <v>0.84756736419379908</v>
      </c>
      <c r="W633" s="6">
        <f t="shared" si="141"/>
        <v>7.4532932884514569E-2</v>
      </c>
      <c r="X633" s="6">
        <f t="shared" si="141"/>
        <v>7.4532932884514569E-2</v>
      </c>
      <c r="Y633" s="6">
        <f t="shared" si="141"/>
        <v>0.38651721565464225</v>
      </c>
    </row>
    <row r="634" spans="1:25" x14ac:dyDescent="0.25">
      <c r="A634" s="7" t="s">
        <v>135</v>
      </c>
      <c r="B634" s="7" t="s">
        <v>166</v>
      </c>
      <c r="C634" s="74">
        <v>0</v>
      </c>
      <c r="D634" s="74">
        <v>0</v>
      </c>
      <c r="E634" s="71" t="e">
        <f t="shared" si="130"/>
        <v>#DIV/0!</v>
      </c>
      <c r="F634" s="65" t="e">
        <f t="shared" si="132"/>
        <v>#DIV/0!</v>
      </c>
      <c r="G634" s="71">
        <f t="shared" si="136"/>
        <v>0.73663014244586189</v>
      </c>
      <c r="H634" s="71">
        <f t="shared" si="136"/>
        <v>1.1737360935948695</v>
      </c>
      <c r="I634" s="71">
        <f t="shared" si="136"/>
        <v>0.29952419129685426</v>
      </c>
      <c r="J634" s="75">
        <v>0</v>
      </c>
      <c r="K634" s="75">
        <v>0</v>
      </c>
      <c r="L634" s="6" t="e">
        <f>(SUM(K626:K634))/J633</f>
        <v>#DIV/0!</v>
      </c>
      <c r="M634" s="36" t="e">
        <f t="shared" si="133"/>
        <v>#DIV/0!</v>
      </c>
      <c r="N634" s="6">
        <f t="shared" si="142"/>
        <v>0.50336729135060976</v>
      </c>
      <c r="O634" s="6">
        <f t="shared" si="142"/>
        <v>1.0150591886201059</v>
      </c>
      <c r="P634" s="6">
        <f t="shared" si="142"/>
        <v>-8.3246059188863963E-3</v>
      </c>
      <c r="Q634" s="75">
        <v>0</v>
      </c>
      <c r="R634" s="76">
        <v>28</v>
      </c>
      <c r="S634" s="6" t="e">
        <f t="shared" si="131"/>
        <v>#DIV/0!</v>
      </c>
      <c r="T634" s="36" t="e">
        <f t="shared" si="134"/>
        <v>#DIV/0!</v>
      </c>
      <c r="U634" s="6">
        <f t="shared" si="141"/>
        <v>0.74232771533595698</v>
      </c>
      <c r="V634" s="6">
        <f t="shared" si="141"/>
        <v>1.1540802341555996</v>
      </c>
      <c r="W634" s="6">
        <f t="shared" si="141"/>
        <v>0.33057519651631434</v>
      </c>
      <c r="X634" s="6">
        <f t="shared" si="141"/>
        <v>0.33057519651631434</v>
      </c>
      <c r="Y634" s="6">
        <f t="shared" si="141"/>
        <v>0.41175251881964264</v>
      </c>
    </row>
    <row r="635" spans="1:25" x14ac:dyDescent="0.25">
      <c r="A635" s="7" t="s">
        <v>135</v>
      </c>
      <c r="B635" s="7" t="s">
        <v>167</v>
      </c>
      <c r="C635" s="74">
        <v>0</v>
      </c>
      <c r="D635" s="74">
        <v>0</v>
      </c>
      <c r="E635" s="71" t="e">
        <f t="shared" si="130"/>
        <v>#DIV/0!</v>
      </c>
      <c r="F635" s="65" t="e">
        <f t="shared" si="132"/>
        <v>#DIV/0!</v>
      </c>
      <c r="G635" s="71">
        <f t="shared" si="136"/>
        <v>0.82061442726694189</v>
      </c>
      <c r="H635" s="71">
        <f t="shared" si="136"/>
        <v>1.2607833515834532</v>
      </c>
      <c r="I635" s="71">
        <f t="shared" si="136"/>
        <v>0.38044550295043061</v>
      </c>
      <c r="J635" s="75">
        <v>0</v>
      </c>
      <c r="K635" s="75">
        <v>0</v>
      </c>
      <c r="L635" s="6" t="e">
        <f>(SUM(K626:K635))/J634</f>
        <v>#DIV/0!</v>
      </c>
      <c r="M635" s="36" t="e">
        <f t="shared" si="133"/>
        <v>#DIV/0!</v>
      </c>
      <c r="N635" s="6">
        <f t="shared" si="142"/>
        <v>0.58006775555216661</v>
      </c>
      <c r="O635" s="6">
        <f t="shared" si="142"/>
        <v>1.099948635873619</v>
      </c>
      <c r="P635" s="6">
        <f t="shared" si="142"/>
        <v>6.0186875230714088E-2</v>
      </c>
      <c r="Q635" s="75">
        <v>0</v>
      </c>
      <c r="R635" s="76">
        <v>28</v>
      </c>
      <c r="S635" s="6" t="e">
        <f t="shared" si="131"/>
        <v>#DIV/0!</v>
      </c>
      <c r="T635" s="36" t="e">
        <f t="shared" si="134"/>
        <v>#DIV/0!</v>
      </c>
      <c r="U635" s="6">
        <f t="shared" si="141"/>
        <v>0.82347447721763523</v>
      </c>
      <c r="V635" s="6">
        <f t="shared" si="141"/>
        <v>1.2398542522675045</v>
      </c>
      <c r="W635" s="6">
        <f t="shared" si="141"/>
        <v>0.40709470216776611</v>
      </c>
      <c r="X635" s="6">
        <f t="shared" si="141"/>
        <v>0.40709470216776611</v>
      </c>
      <c r="Y635" s="6">
        <f t="shared" si="141"/>
        <v>0.41637977504986912</v>
      </c>
    </row>
    <row r="636" spans="1:25" x14ac:dyDescent="0.25">
      <c r="A636" s="7" t="s">
        <v>135</v>
      </c>
      <c r="B636" s="7" t="s">
        <v>168</v>
      </c>
      <c r="C636" s="74">
        <v>0</v>
      </c>
      <c r="D636" s="74">
        <v>0</v>
      </c>
      <c r="E636" s="71" t="e">
        <f t="shared" si="130"/>
        <v>#DIV/0!</v>
      </c>
      <c r="F636" s="65" t="e">
        <f t="shared" si="132"/>
        <v>#DIV/0!</v>
      </c>
      <c r="G636" s="71">
        <f t="shared" si="136"/>
        <v>0.94582556715526966</v>
      </c>
      <c r="H636" s="71">
        <f t="shared" si="136"/>
        <v>1.4311117173682604</v>
      </c>
      <c r="I636" s="71">
        <f t="shared" si="136"/>
        <v>0.46053941694227907</v>
      </c>
      <c r="J636" s="75">
        <v>0</v>
      </c>
      <c r="K636" s="75">
        <v>0</v>
      </c>
      <c r="L636" s="6" t="e">
        <f>(SUM(K626:K636))/J635</f>
        <v>#DIV/0!</v>
      </c>
      <c r="M636" s="36" t="e">
        <f t="shared" si="133"/>
        <v>#DIV/0!</v>
      </c>
      <c r="N636" s="6">
        <f t="shared" si="142"/>
        <v>0.72282137340514951</v>
      </c>
      <c r="O636" s="6">
        <f t="shared" si="142"/>
        <v>1.2463651595014014</v>
      </c>
      <c r="P636" s="6">
        <f t="shared" si="142"/>
        <v>0.19927758730889755</v>
      </c>
      <c r="Q636" s="75">
        <v>0</v>
      </c>
      <c r="R636" s="76">
        <v>33</v>
      </c>
      <c r="S636" s="6" t="e">
        <f t="shared" si="131"/>
        <v>#DIV/0!</v>
      </c>
      <c r="T636" s="36" t="e">
        <f t="shared" si="134"/>
        <v>#DIV/0!</v>
      </c>
      <c r="U636" s="6">
        <f t="shared" si="141"/>
        <v>0.91825333306001944</v>
      </c>
      <c r="V636" s="6">
        <f t="shared" si="141"/>
        <v>1.402047931898428</v>
      </c>
      <c r="W636" s="6">
        <f t="shared" si="141"/>
        <v>0.43445873422161085</v>
      </c>
      <c r="X636" s="6">
        <f t="shared" si="141"/>
        <v>0.43445873422161085</v>
      </c>
      <c r="Y636" s="6">
        <f t="shared" si="141"/>
        <v>0.48379459883840858</v>
      </c>
    </row>
    <row r="637" spans="1:25" x14ac:dyDescent="0.25">
      <c r="A637" s="7" t="s">
        <v>135</v>
      </c>
      <c r="B637" s="7" t="s">
        <v>169</v>
      </c>
      <c r="C637" s="74">
        <v>0</v>
      </c>
      <c r="D637" s="74">
        <v>0</v>
      </c>
      <c r="E637" s="71" t="e">
        <f t="shared" si="130"/>
        <v>#DIV/0!</v>
      </c>
      <c r="F637" s="65" t="e">
        <f t="shared" si="132"/>
        <v>#DIV/0!</v>
      </c>
      <c r="G637" s="71">
        <f t="shared" si="136"/>
        <v>1.0016849877757958</v>
      </c>
      <c r="H637" s="71">
        <f t="shared" si="136"/>
        <v>1.521489991464148</v>
      </c>
      <c r="I637" s="71">
        <f t="shared" si="136"/>
        <v>0.48187998408744359</v>
      </c>
      <c r="J637" s="75">
        <v>0</v>
      </c>
      <c r="K637" s="75">
        <v>0</v>
      </c>
      <c r="L637" s="6" t="e">
        <f>(SUM(K626:K637))/J636</f>
        <v>#DIV/0!</v>
      </c>
      <c r="M637" s="36" t="e">
        <f t="shared" si="133"/>
        <v>#DIV/0!</v>
      </c>
      <c r="N637" s="6">
        <f t="shared" si="142"/>
        <v>0.82421983567812696</v>
      </c>
      <c r="O637" s="6">
        <f t="shared" si="142"/>
        <v>1.3730394926064369</v>
      </c>
      <c r="P637" s="6">
        <f t="shared" si="142"/>
        <v>0.27540017874981693</v>
      </c>
      <c r="Q637" s="75">
        <v>0</v>
      </c>
      <c r="R637" s="76">
        <v>33</v>
      </c>
      <c r="S637" s="6" t="e">
        <f t="shared" si="131"/>
        <v>#DIV/0!</v>
      </c>
      <c r="T637" s="36" t="e">
        <f t="shared" si="134"/>
        <v>#DIV/0!</v>
      </c>
      <c r="U637" s="6">
        <f t="shared" si="141"/>
        <v>0.91825333306001944</v>
      </c>
      <c r="V637" s="6">
        <f t="shared" si="141"/>
        <v>1.402047931898428</v>
      </c>
      <c r="W637" s="6">
        <f t="shared" si="141"/>
        <v>0.43445873422161085</v>
      </c>
      <c r="X637" s="6">
        <f t="shared" si="141"/>
        <v>0.43445873422161085</v>
      </c>
      <c r="Y637" s="6">
        <f t="shared" si="141"/>
        <v>0.48379459883840858</v>
      </c>
    </row>
    <row r="638" spans="1:25" x14ac:dyDescent="0.25">
      <c r="A638" s="7" t="s">
        <v>131</v>
      </c>
      <c r="B638" s="7" t="s">
        <v>158</v>
      </c>
      <c r="C638" s="74">
        <v>65</v>
      </c>
      <c r="D638" s="74">
        <v>0</v>
      </c>
      <c r="E638" s="71">
        <f t="shared" si="130"/>
        <v>0</v>
      </c>
      <c r="F638" s="65" t="str">
        <f t="shared" si="132"/>
        <v>Desempenho Médio</v>
      </c>
      <c r="G638" s="71">
        <f t="shared" si="136"/>
        <v>0.11573204891712785</v>
      </c>
      <c r="H638" s="71">
        <f t="shared" si="136"/>
        <v>0.30218524997148988</v>
      </c>
      <c r="I638" s="71">
        <f t="shared" si="136"/>
        <v>-7.0721152137234206E-2</v>
      </c>
      <c r="J638" s="75">
        <v>26145</v>
      </c>
      <c r="K638" s="75">
        <v>0</v>
      </c>
      <c r="L638" s="6">
        <f>K638/J638</f>
        <v>0</v>
      </c>
      <c r="M638" s="36" t="str">
        <f t="shared" si="133"/>
        <v>Desempenho Médio</v>
      </c>
      <c r="N638" s="6">
        <f t="shared" si="142"/>
        <v>0.11129468122233216</v>
      </c>
      <c r="O638" s="6">
        <f t="shared" si="142"/>
        <v>0.54990456699293522</v>
      </c>
      <c r="P638" s="6">
        <f t="shared" si="142"/>
        <v>-0.32731520454827095</v>
      </c>
      <c r="Q638" s="75">
        <v>58</v>
      </c>
      <c r="R638" s="76">
        <v>11</v>
      </c>
      <c r="S638" s="6">
        <f t="shared" si="131"/>
        <v>0.18965517241379309</v>
      </c>
      <c r="T638" s="36" t="str">
        <f t="shared" si="134"/>
        <v>Desempenho Ótimo</v>
      </c>
      <c r="U638" s="6">
        <f t="shared" si="141"/>
        <v>6.5053670194766225E-2</v>
      </c>
      <c r="V638" s="6">
        <f t="shared" si="141"/>
        <v>0.16010348962314203</v>
      </c>
      <c r="W638" s="6">
        <f t="shared" si="141"/>
        <v>-2.9996149233609562E-2</v>
      </c>
      <c r="X638" s="6">
        <f t="shared" si="141"/>
        <v>1.7528760480578331E-2</v>
      </c>
      <c r="Y638" s="6">
        <f t="shared" si="141"/>
        <v>9.5049819428375787E-2</v>
      </c>
    </row>
    <row r="639" spans="1:25" x14ac:dyDescent="0.25">
      <c r="A639" s="7" t="s">
        <v>131</v>
      </c>
      <c r="B639" s="7" t="s">
        <v>159</v>
      </c>
      <c r="C639" s="74">
        <v>65</v>
      </c>
      <c r="D639" s="74">
        <v>33</v>
      </c>
      <c r="E639" s="71">
        <f t="shared" si="130"/>
        <v>0.50769230769230766</v>
      </c>
      <c r="F639" s="65" t="str">
        <f t="shared" si="132"/>
        <v>Desempenho Bom</v>
      </c>
      <c r="G639" s="71">
        <f t="shared" si="136"/>
        <v>0.22598075676513599</v>
      </c>
      <c r="H639" s="71">
        <f t="shared" si="136"/>
        <v>0.51894873552035481</v>
      </c>
      <c r="I639" s="71">
        <f t="shared" si="136"/>
        <v>-6.6987221990082807E-2</v>
      </c>
      <c r="J639" s="75">
        <v>26145</v>
      </c>
      <c r="K639" s="75">
        <v>4706.1000000000004</v>
      </c>
      <c r="L639" s="6">
        <f>(SUM(K638:K639))/J638</f>
        <v>0.18000000000000002</v>
      </c>
      <c r="M639" s="36" t="str">
        <f t="shared" si="133"/>
        <v>Desempenho Bom</v>
      </c>
      <c r="N639" s="6">
        <f t="shared" si="142"/>
        <v>0.14992070801509372</v>
      </c>
      <c r="O639" s="6">
        <f t="shared" si="142"/>
        <v>0.58968599072326611</v>
      </c>
      <c r="P639" s="6">
        <f t="shared" si="142"/>
        <v>-0.28984457469307867</v>
      </c>
      <c r="Q639" s="75">
        <v>58</v>
      </c>
      <c r="R639" s="76">
        <v>11</v>
      </c>
      <c r="S639" s="6">
        <f t="shared" si="131"/>
        <v>0.18965517241379309</v>
      </c>
      <c r="T639" s="36" t="str">
        <f t="shared" si="134"/>
        <v>Desempenho Ótimo</v>
      </c>
      <c r="U639" s="6">
        <f t="shared" ref="U639:Y649" si="143">U627</f>
        <v>6.5053670194766225E-2</v>
      </c>
      <c r="V639" s="6">
        <f t="shared" si="143"/>
        <v>0.16010348962314203</v>
      </c>
      <c r="W639" s="6">
        <f t="shared" si="143"/>
        <v>-2.9996149233609562E-2</v>
      </c>
      <c r="X639" s="6">
        <f t="shared" si="143"/>
        <v>1.7528760480578331E-2</v>
      </c>
      <c r="Y639" s="6">
        <f t="shared" si="143"/>
        <v>9.5049819428375787E-2</v>
      </c>
    </row>
    <row r="640" spans="1:25" x14ac:dyDescent="0.25">
      <c r="A640" s="7" t="s">
        <v>131</v>
      </c>
      <c r="B640" s="7" t="s">
        <v>160</v>
      </c>
      <c r="C640" s="74">
        <v>65</v>
      </c>
      <c r="D640" s="74">
        <v>33</v>
      </c>
      <c r="E640" s="71">
        <f t="shared" si="130"/>
        <v>0.50769230769230766</v>
      </c>
      <c r="F640" s="65" t="str">
        <f t="shared" si="132"/>
        <v>Desempenho Bom</v>
      </c>
      <c r="G640" s="71">
        <f t="shared" si="136"/>
        <v>0.2827891266215985</v>
      </c>
      <c r="H640" s="71">
        <f t="shared" si="136"/>
        <v>0.59134445337262298</v>
      </c>
      <c r="I640" s="71">
        <f t="shared" si="136"/>
        <v>-2.5766200129425987E-2</v>
      </c>
      <c r="J640" s="75">
        <v>26145</v>
      </c>
      <c r="K640" s="75">
        <v>0</v>
      </c>
      <c r="L640" s="6">
        <f>(SUM(K638:K640))/J639</f>
        <v>0.18000000000000002</v>
      </c>
      <c r="M640" s="36" t="str">
        <f t="shared" si="133"/>
        <v>Desempenho Bom</v>
      </c>
      <c r="N640" s="6">
        <f t="shared" si="142"/>
        <v>0.17723994755342617</v>
      </c>
      <c r="O640" s="6">
        <f t="shared" si="142"/>
        <v>0.61473682715667155</v>
      </c>
      <c r="P640" s="6">
        <f t="shared" si="142"/>
        <v>-0.26025693204981915</v>
      </c>
      <c r="Q640" s="75">
        <v>58</v>
      </c>
      <c r="R640" s="76">
        <v>22</v>
      </c>
      <c r="S640" s="6">
        <f t="shared" si="131"/>
        <v>0.37931034482758619</v>
      </c>
      <c r="T640" s="36" t="str">
        <f t="shared" si="134"/>
        <v>Desempenho Ótimo</v>
      </c>
      <c r="U640" s="6">
        <f t="shared" si="143"/>
        <v>0.18401218302179842</v>
      </c>
      <c r="V640" s="6">
        <f t="shared" si="143"/>
        <v>0.37883088095577799</v>
      </c>
      <c r="W640" s="6">
        <f t="shared" si="143"/>
        <v>-1.0806514912181153E-2</v>
      </c>
      <c r="X640" s="6">
        <f t="shared" si="143"/>
        <v>8.6602834054808633E-2</v>
      </c>
      <c r="Y640" s="6">
        <f t="shared" si="143"/>
        <v>0.19481869793397957</v>
      </c>
    </row>
    <row r="641" spans="1:25" x14ac:dyDescent="0.25">
      <c r="A641" s="7" t="s">
        <v>131</v>
      </c>
      <c r="B641" s="7" t="s">
        <v>161</v>
      </c>
      <c r="C641" s="74">
        <v>65</v>
      </c>
      <c r="D641" s="74">
        <v>33</v>
      </c>
      <c r="E641" s="71">
        <f t="shared" si="130"/>
        <v>0.50769230769230766</v>
      </c>
      <c r="F641" s="65" t="str">
        <f t="shared" si="132"/>
        <v>Desempenho Bom</v>
      </c>
      <c r="G641" s="71">
        <f t="shared" si="136"/>
        <v>0.36222496935690102</v>
      </c>
      <c r="H641" s="71">
        <f t="shared" si="136"/>
        <v>0.67917151968337719</v>
      </c>
      <c r="I641" s="71">
        <f t="shared" si="136"/>
        <v>4.5278419030424844E-2</v>
      </c>
      <c r="J641" s="75">
        <v>26145</v>
      </c>
      <c r="K641" s="75">
        <v>0</v>
      </c>
      <c r="L641" s="6">
        <f>(SUM(K638:K641))/J640</f>
        <v>0.18000000000000002</v>
      </c>
      <c r="M641" s="36" t="str">
        <f t="shared" si="133"/>
        <v>Desempenho Médio</v>
      </c>
      <c r="N641" s="6">
        <f t="shared" si="142"/>
        <v>0.2271654986777647</v>
      </c>
      <c r="O641" s="6">
        <f t="shared" si="142"/>
        <v>0.71582389712396544</v>
      </c>
      <c r="P641" s="6">
        <f t="shared" si="142"/>
        <v>-0.26149289976843598</v>
      </c>
      <c r="Q641" s="75">
        <v>58</v>
      </c>
      <c r="R641" s="76">
        <v>22</v>
      </c>
      <c r="S641" s="6">
        <f t="shared" si="131"/>
        <v>0.37931034482758619</v>
      </c>
      <c r="T641" s="36" t="str">
        <f t="shared" si="134"/>
        <v>Desempenho Ótimo</v>
      </c>
      <c r="U641" s="6">
        <f t="shared" si="143"/>
        <v>0.18401218302179842</v>
      </c>
      <c r="V641" s="6">
        <f t="shared" si="143"/>
        <v>0.37883088095577799</v>
      </c>
      <c r="W641" s="6">
        <f t="shared" si="143"/>
        <v>-1.0806514912181153E-2</v>
      </c>
      <c r="X641" s="6">
        <f t="shared" si="143"/>
        <v>8.6602834054808633E-2</v>
      </c>
      <c r="Y641" s="6">
        <f t="shared" si="143"/>
        <v>0.19481869793397957</v>
      </c>
    </row>
    <row r="642" spans="1:25" x14ac:dyDescent="0.25">
      <c r="A642" s="7" t="s">
        <v>131</v>
      </c>
      <c r="B642" s="7" t="s">
        <v>162</v>
      </c>
      <c r="C642" s="74">
        <v>65</v>
      </c>
      <c r="D642" s="74">
        <v>33</v>
      </c>
      <c r="E642" s="71">
        <f>D642/C642</f>
        <v>0.50769230769230766</v>
      </c>
      <c r="F642" s="65" t="str">
        <f t="shared" si="132"/>
        <v>Desempenho Bom</v>
      </c>
      <c r="G642" s="71">
        <f t="shared" si="136"/>
        <v>0.44825178806664662</v>
      </c>
      <c r="H642" s="71">
        <f t="shared" si="136"/>
        <v>0.78548221403733831</v>
      </c>
      <c r="I642" s="71">
        <f t="shared" si="136"/>
        <v>0.11102136209595498</v>
      </c>
      <c r="J642" s="75">
        <v>26145</v>
      </c>
      <c r="K642" s="75">
        <v>0</v>
      </c>
      <c r="L642" s="6">
        <f>(SUM(K638:K642))/J641</f>
        <v>0.18000000000000002</v>
      </c>
      <c r="M642" s="36" t="str">
        <f t="shared" si="133"/>
        <v>Desempenho Médio</v>
      </c>
      <c r="N642" s="6">
        <f t="shared" si="142"/>
        <v>0.27284258705105507</v>
      </c>
      <c r="O642" s="6">
        <f t="shared" si="142"/>
        <v>0.75981161093062477</v>
      </c>
      <c r="P642" s="6">
        <f t="shared" si="142"/>
        <v>-0.21412643682851468</v>
      </c>
      <c r="Q642" s="75">
        <v>58</v>
      </c>
      <c r="R642" s="76">
        <v>22</v>
      </c>
      <c r="S642" s="6">
        <f t="shared" ref="S642" si="144">R642/Q642</f>
        <v>0.37931034482758619</v>
      </c>
      <c r="T642" s="36" t="str">
        <f t="shared" si="134"/>
        <v>Desempenho Bom</v>
      </c>
      <c r="U642" s="6">
        <f t="shared" si="143"/>
        <v>0.23278475191631845</v>
      </c>
      <c r="V642" s="6">
        <f t="shared" si="143"/>
        <v>0.51017789992422413</v>
      </c>
      <c r="W642" s="6">
        <f t="shared" si="143"/>
        <v>-4.460839609158726E-2</v>
      </c>
      <c r="X642" s="6">
        <f t="shared" si="143"/>
        <v>9.4088177912365595E-2</v>
      </c>
      <c r="Y642" s="6">
        <f t="shared" si="143"/>
        <v>0.27739314800790571</v>
      </c>
    </row>
    <row r="643" spans="1:25" x14ac:dyDescent="0.25">
      <c r="A643" s="7" t="s">
        <v>131</v>
      </c>
      <c r="B643" s="7" t="s">
        <v>163</v>
      </c>
      <c r="C643" s="74">
        <v>65</v>
      </c>
      <c r="D643" s="74">
        <v>89</v>
      </c>
      <c r="E643" s="71">
        <f t="shared" ref="E643:E649" si="145">D643/C643</f>
        <v>1.3692307692307693</v>
      </c>
      <c r="F643" s="65" t="str">
        <f t="shared" ref="F643:F649" si="146">IF(E643&gt;=H643,"Desempenho Ótimo",(IF(E643&gt;G643,"Desempenho Bom",(IF(E643&gt;I643,"Desempenho Médio",IF(E643&lt;=I643,"Desempenho Deficitário",0))))))</f>
        <v>Desempenho Ótimo</v>
      </c>
      <c r="G643" s="71">
        <f t="shared" si="136"/>
        <v>0.54231176602906361</v>
      </c>
      <c r="H643" s="71">
        <f t="shared" si="136"/>
        <v>0.92735502699565786</v>
      </c>
      <c r="I643" s="71">
        <f t="shared" si="136"/>
        <v>0.15726850506246942</v>
      </c>
      <c r="J643" s="75">
        <v>26145</v>
      </c>
      <c r="K643" s="75">
        <v>2650</v>
      </c>
      <c r="L643" s="6">
        <f>(SUM(K638:K643))/J642</f>
        <v>0.28135781220118572</v>
      </c>
      <c r="M643" s="36" t="str">
        <f t="shared" ref="M643:M649" si="147">IF(L643&gt;=O643,"Desempenho Ótimo",(IF(L643&gt;N643,"Desempenho Bom",(IF(L643&gt;P643,"Desempenho Médio",IF(L643&lt;=P643,"Desempenho Deficitário",0))))))</f>
        <v>Desempenho Médio</v>
      </c>
      <c r="N643" s="6">
        <f t="shared" si="142"/>
        <v>0.31451673641638933</v>
      </c>
      <c r="O643" s="6">
        <f t="shared" si="142"/>
        <v>0.80702132782766356</v>
      </c>
      <c r="P643" s="6">
        <f t="shared" si="142"/>
        <v>-0.1779878549948849</v>
      </c>
      <c r="Q643" s="75">
        <v>58</v>
      </c>
      <c r="R643" s="76">
        <v>56</v>
      </c>
      <c r="S643" s="6">
        <f t="shared" ref="S643:S649" si="148">R643/Q643</f>
        <v>0.96551724137931039</v>
      </c>
      <c r="T643" s="36" t="str">
        <f t="shared" ref="T643:T649" si="149">IF(S643&gt;=V643,"Desempenho Ótimo",(IF(S643&gt;U643,"Desempenho Bom",(IF(S643&gt;W643,"Desempenho Médio",IF(S643&lt;=W643,"Desempenho Deficitário",0))))))</f>
        <v>Desempenho Ótimo</v>
      </c>
      <c r="U643" s="6">
        <f t="shared" si="143"/>
        <v>0.46105014853915682</v>
      </c>
      <c r="V643" s="6">
        <f t="shared" si="143"/>
        <v>0.84756736419379908</v>
      </c>
      <c r="W643" s="6">
        <f t="shared" si="143"/>
        <v>7.4532932884514569E-2</v>
      </c>
      <c r="X643" s="6">
        <f t="shared" si="143"/>
        <v>7.4532932884514569E-2</v>
      </c>
      <c r="Y643" s="6">
        <f t="shared" si="143"/>
        <v>0.38651721565464225</v>
      </c>
    </row>
    <row r="644" spans="1:25" x14ac:dyDescent="0.25">
      <c r="A644" s="7" t="s">
        <v>131</v>
      </c>
      <c r="B644" s="7" t="s">
        <v>164</v>
      </c>
      <c r="C644" s="74">
        <v>65</v>
      </c>
      <c r="D644" s="74">
        <v>89</v>
      </c>
      <c r="E644" s="71">
        <f t="shared" si="145"/>
        <v>1.3692307692307693</v>
      </c>
      <c r="F644" s="65" t="str">
        <f t="shared" si="146"/>
        <v>Desempenho Ótimo</v>
      </c>
      <c r="G644" s="71">
        <f t="shared" si="136"/>
        <v>0.63634637719050002</v>
      </c>
      <c r="H644" s="71">
        <f t="shared" si="136"/>
        <v>1.0512878703900039</v>
      </c>
      <c r="I644" s="71">
        <f t="shared" si="136"/>
        <v>0.22140488399099606</v>
      </c>
      <c r="J644" s="75">
        <v>26145</v>
      </c>
      <c r="K644" s="75">
        <v>100</v>
      </c>
      <c r="L644" s="6">
        <f>(SUM(K638:K644))/J643</f>
        <v>0.28518263530311727</v>
      </c>
      <c r="M644" s="36" t="str">
        <f t="shared" si="147"/>
        <v>Desempenho Médio</v>
      </c>
      <c r="N644" s="6">
        <f t="shared" si="142"/>
        <v>0.38334713342809434</v>
      </c>
      <c r="O644" s="6">
        <f t="shared" si="142"/>
        <v>0.88375935483946089</v>
      </c>
      <c r="P644" s="6">
        <f t="shared" si="142"/>
        <v>-0.1170650879832722</v>
      </c>
      <c r="Q644" s="75">
        <v>58</v>
      </c>
      <c r="R644" s="76">
        <v>56</v>
      </c>
      <c r="S644" s="6">
        <f t="shared" si="148"/>
        <v>0.96551724137931039</v>
      </c>
      <c r="T644" s="36" t="str">
        <f t="shared" si="149"/>
        <v>Desempenho Ótimo</v>
      </c>
      <c r="U644" s="6">
        <f t="shared" si="143"/>
        <v>0.46105014853915682</v>
      </c>
      <c r="V644" s="6">
        <f t="shared" si="143"/>
        <v>0.84756736419379908</v>
      </c>
      <c r="W644" s="6">
        <f t="shared" si="143"/>
        <v>7.4532932884514569E-2</v>
      </c>
      <c r="X644" s="6">
        <f t="shared" si="143"/>
        <v>7.4532932884514569E-2</v>
      </c>
      <c r="Y644" s="6">
        <f t="shared" si="143"/>
        <v>0.38651721565464225</v>
      </c>
    </row>
    <row r="645" spans="1:25" x14ac:dyDescent="0.25">
      <c r="A645" s="7" t="s">
        <v>131</v>
      </c>
      <c r="B645" s="7" t="s">
        <v>165</v>
      </c>
      <c r="C645" s="74">
        <v>65</v>
      </c>
      <c r="D645" s="74">
        <v>89</v>
      </c>
      <c r="E645" s="71">
        <f t="shared" si="145"/>
        <v>1.3692307692307693</v>
      </c>
      <c r="F645" s="65" t="str">
        <f t="shared" si="146"/>
        <v>Desempenho Ótimo</v>
      </c>
      <c r="G645" s="71">
        <f t="shared" si="136"/>
        <v>0.70660866675940681</v>
      </c>
      <c r="H645" s="71">
        <f t="shared" si="136"/>
        <v>1.1341225514190425</v>
      </c>
      <c r="I645" s="71">
        <f t="shared" si="136"/>
        <v>0.27909478209977112</v>
      </c>
      <c r="J645" s="75">
        <v>26145</v>
      </c>
      <c r="K645" s="75">
        <v>1623.47</v>
      </c>
      <c r="L645" s="6">
        <f>(SUM(K638:K645))/J644</f>
        <v>0.3472774909160451</v>
      </c>
      <c r="M645" s="36" t="str">
        <f t="shared" si="147"/>
        <v>Desempenho Médio</v>
      </c>
      <c r="N645" s="6">
        <f t="shared" si="142"/>
        <v>0.45719521320533213</v>
      </c>
      <c r="O645" s="6">
        <f t="shared" si="142"/>
        <v>0.97356755068321044</v>
      </c>
      <c r="P645" s="6">
        <f t="shared" si="142"/>
        <v>-5.9177124272546122E-2</v>
      </c>
      <c r="Q645" s="75">
        <v>58</v>
      </c>
      <c r="R645" s="76">
        <v>56</v>
      </c>
      <c r="S645" s="6">
        <f t="shared" si="148"/>
        <v>0.96551724137931039</v>
      </c>
      <c r="T645" s="36" t="str">
        <f t="shared" si="149"/>
        <v>Desempenho Ótimo</v>
      </c>
      <c r="U645" s="6">
        <f t="shared" si="143"/>
        <v>0.46105014853915682</v>
      </c>
      <c r="V645" s="6">
        <f t="shared" si="143"/>
        <v>0.84756736419379908</v>
      </c>
      <c r="W645" s="6">
        <f t="shared" si="143"/>
        <v>7.4532932884514569E-2</v>
      </c>
      <c r="X645" s="6">
        <f t="shared" si="143"/>
        <v>7.4532932884514569E-2</v>
      </c>
      <c r="Y645" s="6">
        <f t="shared" si="143"/>
        <v>0.38651721565464225</v>
      </c>
    </row>
    <row r="646" spans="1:25" x14ac:dyDescent="0.25">
      <c r="A646" s="7" t="s">
        <v>131</v>
      </c>
      <c r="B646" s="7" t="s">
        <v>166</v>
      </c>
      <c r="C646" s="74">
        <v>65</v>
      </c>
      <c r="D646" s="74">
        <v>89</v>
      </c>
      <c r="E646" s="71">
        <f t="shared" si="145"/>
        <v>1.3692307692307693</v>
      </c>
      <c r="F646" s="65" t="str">
        <f t="shared" si="146"/>
        <v>Desempenho Ótimo</v>
      </c>
      <c r="G646" s="71">
        <f t="shared" si="136"/>
        <v>0.73663014244586189</v>
      </c>
      <c r="H646" s="71">
        <f t="shared" si="136"/>
        <v>1.1737360935948695</v>
      </c>
      <c r="I646" s="71">
        <f t="shared" si="136"/>
        <v>0.29952419129685426</v>
      </c>
      <c r="J646" s="75">
        <v>26145</v>
      </c>
      <c r="K646" s="75">
        <v>90</v>
      </c>
      <c r="L646" s="6">
        <f>(SUM(K638:K646))/J645</f>
        <v>0.35071983170778348</v>
      </c>
      <c r="M646" s="36" t="str">
        <f t="shared" si="147"/>
        <v>Desempenho Médio</v>
      </c>
      <c r="N646" s="6">
        <f t="shared" ref="N646:P649" si="150">N634</f>
        <v>0.50336729135060976</v>
      </c>
      <c r="O646" s="6">
        <f t="shared" si="150"/>
        <v>1.0150591886201059</v>
      </c>
      <c r="P646" s="6">
        <f t="shared" si="150"/>
        <v>-8.3246059188863963E-3</v>
      </c>
      <c r="Q646" s="75">
        <v>58</v>
      </c>
      <c r="R646" s="76">
        <v>78</v>
      </c>
      <c r="S646" s="6">
        <f t="shared" si="148"/>
        <v>1.3448275862068966</v>
      </c>
      <c r="T646" s="36" t="str">
        <f t="shared" si="149"/>
        <v>Desempenho Ótimo</v>
      </c>
      <c r="U646" s="6">
        <f t="shared" si="143"/>
        <v>0.74232771533595698</v>
      </c>
      <c r="V646" s="6">
        <f t="shared" si="143"/>
        <v>1.1540802341555996</v>
      </c>
      <c r="W646" s="6">
        <f t="shared" si="143"/>
        <v>0.33057519651631434</v>
      </c>
      <c r="X646" s="6">
        <f t="shared" si="143"/>
        <v>0.33057519651631434</v>
      </c>
      <c r="Y646" s="6">
        <f t="shared" si="143"/>
        <v>0.41175251881964264</v>
      </c>
    </row>
    <row r="647" spans="1:25" x14ac:dyDescent="0.25">
      <c r="A647" s="7" t="s">
        <v>131</v>
      </c>
      <c r="B647" s="7" t="s">
        <v>167</v>
      </c>
      <c r="C647" s="74">
        <v>65</v>
      </c>
      <c r="D647" s="74">
        <v>89</v>
      </c>
      <c r="E647" s="71">
        <f t="shared" si="145"/>
        <v>1.3692307692307693</v>
      </c>
      <c r="F647" s="65" t="str">
        <f t="shared" si="146"/>
        <v>Desempenho Ótimo</v>
      </c>
      <c r="G647" s="71">
        <f t="shared" si="136"/>
        <v>0.82061442726694189</v>
      </c>
      <c r="H647" s="71">
        <f t="shared" si="136"/>
        <v>1.2607833515834532</v>
      </c>
      <c r="I647" s="71">
        <f t="shared" si="136"/>
        <v>0.38044550295043061</v>
      </c>
      <c r="J647" s="75">
        <v>26145</v>
      </c>
      <c r="K647" s="75">
        <v>549.02</v>
      </c>
      <c r="L647" s="6">
        <f>(SUM(K638:K647))/J646</f>
        <v>0.37171887550200805</v>
      </c>
      <c r="M647" s="36" t="str">
        <f t="shared" si="147"/>
        <v>Desempenho Médio</v>
      </c>
      <c r="N647" s="6">
        <f t="shared" si="150"/>
        <v>0.58006775555216661</v>
      </c>
      <c r="O647" s="6">
        <f t="shared" si="150"/>
        <v>1.099948635873619</v>
      </c>
      <c r="P647" s="6">
        <f t="shared" si="150"/>
        <v>6.0186875230714088E-2</v>
      </c>
      <c r="Q647" s="75">
        <v>58</v>
      </c>
      <c r="R647" s="76">
        <v>78</v>
      </c>
      <c r="S647" s="6">
        <f t="shared" si="148"/>
        <v>1.3448275862068966</v>
      </c>
      <c r="T647" s="36" t="str">
        <f t="shared" si="149"/>
        <v>Desempenho Ótimo</v>
      </c>
      <c r="U647" s="6">
        <f t="shared" si="143"/>
        <v>0.82347447721763523</v>
      </c>
      <c r="V647" s="6">
        <f t="shared" si="143"/>
        <v>1.2398542522675045</v>
      </c>
      <c r="W647" s="6">
        <f t="shared" si="143"/>
        <v>0.40709470216776611</v>
      </c>
      <c r="X647" s="6">
        <f t="shared" si="143"/>
        <v>0.40709470216776611</v>
      </c>
      <c r="Y647" s="6">
        <f t="shared" si="143"/>
        <v>0.41637977504986912</v>
      </c>
    </row>
    <row r="648" spans="1:25" x14ac:dyDescent="0.25">
      <c r="A648" s="7" t="s">
        <v>131</v>
      </c>
      <c r="B648" s="7" t="s">
        <v>168</v>
      </c>
      <c r="C648" s="74">
        <v>65</v>
      </c>
      <c r="D648" s="74">
        <v>89</v>
      </c>
      <c r="E648" s="71">
        <f t="shared" si="145"/>
        <v>1.3692307692307693</v>
      </c>
      <c r="F648" s="65" t="str">
        <f t="shared" si="146"/>
        <v>Desempenho Bom</v>
      </c>
      <c r="G648" s="71">
        <f t="shared" si="136"/>
        <v>0.94582556715526966</v>
      </c>
      <c r="H648" s="71">
        <f t="shared" si="136"/>
        <v>1.4311117173682604</v>
      </c>
      <c r="I648" s="71">
        <f t="shared" si="136"/>
        <v>0.46053941694227907</v>
      </c>
      <c r="J648" s="75">
        <v>26145</v>
      </c>
      <c r="K648" s="75">
        <v>0</v>
      </c>
      <c r="L648" s="6">
        <f>(SUM(K638:K648))/J647</f>
        <v>0.37171887550200805</v>
      </c>
      <c r="M648" s="36" t="str">
        <f t="shared" si="147"/>
        <v>Desempenho Médio</v>
      </c>
      <c r="N648" s="6">
        <f t="shared" si="150"/>
        <v>0.72282137340514951</v>
      </c>
      <c r="O648" s="6">
        <f t="shared" si="150"/>
        <v>1.2463651595014014</v>
      </c>
      <c r="P648" s="6">
        <f t="shared" si="150"/>
        <v>0.19927758730889755</v>
      </c>
      <c r="Q648" s="75">
        <v>58</v>
      </c>
      <c r="R648" s="76">
        <v>78</v>
      </c>
      <c r="S648" s="6">
        <f t="shared" si="148"/>
        <v>1.3448275862068966</v>
      </c>
      <c r="T648" s="36" t="str">
        <f t="shared" si="149"/>
        <v>Desempenho Bom</v>
      </c>
      <c r="U648" s="6">
        <f t="shared" si="143"/>
        <v>0.91825333306001944</v>
      </c>
      <c r="V648" s="6">
        <f t="shared" si="143"/>
        <v>1.402047931898428</v>
      </c>
      <c r="W648" s="6">
        <f>W636</f>
        <v>0.43445873422161085</v>
      </c>
      <c r="X648" s="6">
        <f t="shared" si="143"/>
        <v>0.43445873422161085</v>
      </c>
      <c r="Y648" s="6">
        <f t="shared" si="143"/>
        <v>0.48379459883840858</v>
      </c>
    </row>
    <row r="649" spans="1:25" x14ac:dyDescent="0.25">
      <c r="A649" s="7" t="s">
        <v>131</v>
      </c>
      <c r="B649" s="7" t="s">
        <v>169</v>
      </c>
      <c r="C649" s="74">
        <v>65</v>
      </c>
      <c r="D649" s="74">
        <v>89</v>
      </c>
      <c r="E649" s="71">
        <f t="shared" si="145"/>
        <v>1.3692307692307693</v>
      </c>
      <c r="F649" s="65" t="str">
        <f t="shared" si="146"/>
        <v>Desempenho Bom</v>
      </c>
      <c r="G649" s="71">
        <f t="shared" si="136"/>
        <v>1.0016849877757958</v>
      </c>
      <c r="H649" s="71">
        <f t="shared" si="136"/>
        <v>1.521489991464148</v>
      </c>
      <c r="I649" s="71">
        <f t="shared" si="136"/>
        <v>0.48187998408744359</v>
      </c>
      <c r="J649" s="75">
        <v>26145</v>
      </c>
      <c r="K649" s="75">
        <v>0</v>
      </c>
      <c r="L649" s="6">
        <f>(SUM(K638:K649))/J648</f>
        <v>0.37171887550200805</v>
      </c>
      <c r="M649" s="36" t="str">
        <f t="shared" si="147"/>
        <v>Desempenho Médio</v>
      </c>
      <c r="N649" s="6">
        <f t="shared" si="150"/>
        <v>0.82421983567812696</v>
      </c>
      <c r="O649" s="6">
        <f t="shared" si="150"/>
        <v>1.3730394926064369</v>
      </c>
      <c r="P649" s="6">
        <f t="shared" si="150"/>
        <v>0.27540017874981693</v>
      </c>
      <c r="Q649" s="75">
        <v>58</v>
      </c>
      <c r="R649" s="76">
        <v>78</v>
      </c>
      <c r="S649" s="6">
        <f t="shared" si="148"/>
        <v>1.3448275862068966</v>
      </c>
      <c r="T649" s="36" t="str">
        <f t="shared" si="149"/>
        <v>Desempenho Bom</v>
      </c>
      <c r="U649" s="6">
        <f t="shared" si="143"/>
        <v>0.91825333306001944</v>
      </c>
      <c r="V649" s="6">
        <f t="shared" si="143"/>
        <v>1.402047931898428</v>
      </c>
      <c r="W649" s="6">
        <f t="shared" si="143"/>
        <v>0.43445873422161085</v>
      </c>
      <c r="X649" s="6">
        <f t="shared" si="143"/>
        <v>0.43445873422161085</v>
      </c>
      <c r="Y649" s="6">
        <f t="shared" si="143"/>
        <v>0.48379459883840858</v>
      </c>
    </row>
  </sheetData>
  <sheetProtection sheet="1" objects="1" scenarios="1"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600E8-F2EA-45FC-843C-13FE4442A72E}">
  <dimension ref="A1:BG13"/>
  <sheetViews>
    <sheetView showGridLines="0" workbookViewId="0">
      <pane xSplit="1" ySplit="1" topLeftCell="B2" activePane="bottomRight" state="frozen"/>
      <selection pane="topRight" activeCell="B1" sqref="B1"/>
      <selection pane="bottomLeft" activeCell="A2" sqref="A2"/>
      <selection pane="bottomRight" activeCell="E30" sqref="E30"/>
    </sheetView>
  </sheetViews>
  <sheetFormatPr defaultColWidth="16.796875" defaultRowHeight="13.8" x14ac:dyDescent="0.25"/>
  <cols>
    <col min="1" max="16384" width="16.796875" style="3"/>
  </cols>
  <sheetData>
    <row r="1" spans="1:59" s="29" customFormat="1" ht="14.4" x14ac:dyDescent="0.25">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4.4" x14ac:dyDescent="0.25">
      <c r="A2" s="20" t="s">
        <v>158</v>
      </c>
      <c r="B2" s="21">
        <f>Indicadores!S2</f>
        <v>6.25E-2</v>
      </c>
      <c r="C2" s="21" t="e">
        <f>Indicadores!$S14</f>
        <v>#DIV/0!</v>
      </c>
      <c r="D2" s="21">
        <f>Indicadores!$S26</f>
        <v>0</v>
      </c>
      <c r="E2" s="21">
        <f>Indicadores!$S38</f>
        <v>0.26250000000000001</v>
      </c>
      <c r="F2" s="21" t="e">
        <f>Indicadores!$S50</f>
        <v>#DIV/0!</v>
      </c>
      <c r="G2" s="21">
        <f>Indicadores!$S62</f>
        <v>0.10666666666666667</v>
      </c>
      <c r="H2" s="21" t="e">
        <f>Indicadores!$S74</f>
        <v>#DIV/0!</v>
      </c>
      <c r="I2" s="21">
        <f>Indicadores!S$86</f>
        <v>0</v>
      </c>
      <c r="J2" s="21">
        <f>Indicadores!$S98</f>
        <v>0.17105263157894737</v>
      </c>
      <c r="K2" s="21">
        <f>Indicadores!$S110</f>
        <v>0.22500000000000001</v>
      </c>
      <c r="L2" s="21">
        <f>Indicadores!$S122</f>
        <v>0</v>
      </c>
      <c r="M2" s="21">
        <f>Indicadores!$S134</f>
        <v>0.22500000000000001</v>
      </c>
      <c r="N2" s="21" t="e">
        <f>Indicadores!$S146</f>
        <v>#DIV/0!</v>
      </c>
      <c r="O2" s="21">
        <f>Indicadores!$S158</f>
        <v>0</v>
      </c>
      <c r="P2" s="21">
        <f>Indicadores!S170</f>
        <v>0</v>
      </c>
      <c r="Q2" s="21">
        <f>Indicadores!S182</f>
        <v>0</v>
      </c>
      <c r="R2" s="21">
        <f>Indicadores!S194</f>
        <v>0.27692307692307694</v>
      </c>
      <c r="S2" s="21">
        <f>Indicadores!$S206</f>
        <v>0</v>
      </c>
      <c r="T2" s="21">
        <f>Indicadores!$S218</f>
        <v>0</v>
      </c>
      <c r="U2" s="21">
        <f>Indicadores!$S230</f>
        <v>0</v>
      </c>
      <c r="V2" s="21">
        <f>Indicadores!$S242</f>
        <v>0.16250000000000001</v>
      </c>
      <c r="W2" s="21">
        <f>Indicadores!$S254</f>
        <v>9.2307692307692313E-2</v>
      </c>
      <c r="X2" s="21" t="e">
        <f>Indicadores!$S266</f>
        <v>#DIV/0!</v>
      </c>
      <c r="Y2" s="21">
        <f>Indicadores!$S278</f>
        <v>0</v>
      </c>
      <c r="Z2" s="21">
        <f>Indicadores!$S290</f>
        <v>3.7499999999999999E-2</v>
      </c>
      <c r="AA2" s="21">
        <f>Indicadores!$S302</f>
        <v>0</v>
      </c>
      <c r="AB2" s="21">
        <f>Indicadores!$S314</f>
        <v>0.27142857142857141</v>
      </c>
      <c r="AC2" s="21" t="e">
        <f>Indicadores!$S326</f>
        <v>#DIV/0!</v>
      </c>
      <c r="AD2" s="21">
        <f>Indicadores!$S338</f>
        <v>0</v>
      </c>
      <c r="AE2" s="21" t="e">
        <f>Indicadores!$S350</f>
        <v>#DIV/0!</v>
      </c>
      <c r="AF2" s="21">
        <f>Indicadores!$S362</f>
        <v>0.13750000000000001</v>
      </c>
      <c r="AG2" s="21" t="e">
        <f>Indicadores!$S374</f>
        <v>#DIV/0!</v>
      </c>
      <c r="AH2" s="21">
        <f>Indicadores!$S386</f>
        <v>0</v>
      </c>
      <c r="AI2" s="21">
        <f>Indicadores!$S398</f>
        <v>0</v>
      </c>
      <c r="AJ2" s="21" t="e">
        <f>Indicadores!$S410</f>
        <v>#DIV/0!</v>
      </c>
      <c r="AK2" s="21" t="e">
        <f>Indicadores!$S422</f>
        <v>#DIV/0!</v>
      </c>
      <c r="AL2" s="21">
        <f>Indicadores!$S434</f>
        <v>0.23333333333333334</v>
      </c>
      <c r="AM2" s="21" t="e">
        <f>Indicadores!$S446</f>
        <v>#DIV/0!</v>
      </c>
      <c r="AN2" s="21">
        <f>Indicadores!$S458</f>
        <v>0.08</v>
      </c>
      <c r="AO2" s="21" t="e">
        <f>Indicadores!$S470</f>
        <v>#DIV/0!</v>
      </c>
      <c r="AP2" s="21">
        <f>Indicadores!$S482</f>
        <v>0</v>
      </c>
      <c r="AQ2" s="21">
        <f>Indicadores!$S494</f>
        <v>0</v>
      </c>
      <c r="AR2" s="21">
        <f>Indicadores!$S506</f>
        <v>0</v>
      </c>
      <c r="AS2" s="21">
        <f>Indicadores!$S518</f>
        <v>0</v>
      </c>
      <c r="AT2" s="21">
        <f>Indicadores!$S530</f>
        <v>0</v>
      </c>
      <c r="AU2" s="21">
        <f>Indicadores!$S542</f>
        <v>0</v>
      </c>
      <c r="AV2" s="21">
        <f>Indicadores!$S554</f>
        <v>0.13333333333333333</v>
      </c>
      <c r="AW2" s="21">
        <f>Indicadores!$S566</f>
        <v>0</v>
      </c>
      <c r="AX2" s="21">
        <f>Indicadores!$S578</f>
        <v>0</v>
      </c>
      <c r="AY2" s="21">
        <f>Indicadores!$S590</f>
        <v>0</v>
      </c>
      <c r="AZ2" s="21">
        <f>Indicadores!$S602</f>
        <v>0</v>
      </c>
      <c r="BA2" s="21">
        <f>Indicadores!$S614</f>
        <v>0</v>
      </c>
      <c r="BB2" s="21" t="e">
        <f>Indicadores!$S626</f>
        <v>#DIV/0!</v>
      </c>
      <c r="BC2" s="21">
        <f>Indicadores!$S638</f>
        <v>0.18965517241379309</v>
      </c>
      <c r="BD2" s="4">
        <f>AVERAGE(B2,D2:E2,G2,I2:K2,L2:M2,O2:W2,Y2:AB2,AD2,AF2,AH2:AI2,AL2,AN2,AP2:BA2,BC2)</f>
        <v>6.5053670194766225E-2</v>
      </c>
      <c r="BE2" s="4">
        <f>BD2+BG2</f>
        <v>0.16010348962314203</v>
      </c>
      <c r="BF2" s="4">
        <f t="shared" ref="BF2:BF13" si="0">BD2-BG2</f>
        <v>-2.9996149233609562E-2</v>
      </c>
      <c r="BG2" s="3">
        <f>STDEV(B2,D2:E2,G2,I2:K2,L2:M2,O2:W2,Y2:AB2,AD2,AF2,AH2:AI2,AL2,AN2,AP2:BA2,BC2)</f>
        <v>9.5049819428375787E-2</v>
      </c>
    </row>
    <row r="3" spans="1:59" ht="14.4" x14ac:dyDescent="0.25">
      <c r="A3" s="20" t="s">
        <v>159</v>
      </c>
      <c r="B3" s="21">
        <f>Indicadores!S3</f>
        <v>6.25E-2</v>
      </c>
      <c r="C3" s="21" t="e">
        <f>Indicadores!$S15</f>
        <v>#DIV/0!</v>
      </c>
      <c r="D3" s="21">
        <f>Indicadores!$S27</f>
        <v>0</v>
      </c>
      <c r="E3" s="21">
        <f>Indicadores!$S39</f>
        <v>0.26250000000000001</v>
      </c>
      <c r="F3" s="21" t="e">
        <f>Indicadores!$S51</f>
        <v>#DIV/0!</v>
      </c>
      <c r="G3" s="21">
        <f>Indicadores!$S63</f>
        <v>0.10666666666666667</v>
      </c>
      <c r="H3" s="21" t="e">
        <f>Indicadores!$S75</f>
        <v>#DIV/0!</v>
      </c>
      <c r="I3" s="21">
        <f>Indicadores!S$86</f>
        <v>0</v>
      </c>
      <c r="J3" s="21">
        <f>Indicadores!$S99</f>
        <v>0.17105263157894737</v>
      </c>
      <c r="K3" s="21">
        <f>Indicadores!$S111</f>
        <v>0.22500000000000001</v>
      </c>
      <c r="L3" s="21">
        <f>Indicadores!$S123</f>
        <v>0</v>
      </c>
      <c r="M3" s="21">
        <f>Indicadores!$S135</f>
        <v>0.22500000000000001</v>
      </c>
      <c r="N3" s="21" t="e">
        <f>Indicadores!$S147</f>
        <v>#DIV/0!</v>
      </c>
      <c r="O3" s="21">
        <f>Indicadores!$S159</f>
        <v>0</v>
      </c>
      <c r="P3" s="21">
        <f>Indicadores!S171</f>
        <v>0</v>
      </c>
      <c r="Q3" s="21">
        <f>Indicadores!S183</f>
        <v>0</v>
      </c>
      <c r="R3" s="21">
        <f>Indicadores!S195</f>
        <v>0.27692307692307694</v>
      </c>
      <c r="S3" s="21">
        <f>Indicadores!$S207</f>
        <v>0</v>
      </c>
      <c r="T3" s="21">
        <f>Indicadores!$S219</f>
        <v>0</v>
      </c>
      <c r="U3" s="21">
        <f>Indicadores!$S231</f>
        <v>0</v>
      </c>
      <c r="V3" s="21">
        <f>Indicadores!$S243</f>
        <v>0.16250000000000001</v>
      </c>
      <c r="W3" s="21">
        <f>Indicadores!$S255</f>
        <v>9.2307692307692313E-2</v>
      </c>
      <c r="X3" s="21" t="e">
        <f>Indicadores!$S267</f>
        <v>#DIV/0!</v>
      </c>
      <c r="Y3" s="21">
        <f>Indicadores!$S279</f>
        <v>0</v>
      </c>
      <c r="Z3" s="21">
        <f>Indicadores!$S291</f>
        <v>3.7499999999999999E-2</v>
      </c>
      <c r="AA3" s="21">
        <f>Indicadores!$S303</f>
        <v>0</v>
      </c>
      <c r="AB3" s="21">
        <f>Indicadores!$S315</f>
        <v>0.27142857142857141</v>
      </c>
      <c r="AC3" s="21" t="e">
        <f>Indicadores!$S327</f>
        <v>#DIV/0!</v>
      </c>
      <c r="AD3" s="21">
        <f>Indicadores!$S339</f>
        <v>0</v>
      </c>
      <c r="AE3" s="21" t="e">
        <f>Indicadores!$S351</f>
        <v>#DIV/0!</v>
      </c>
      <c r="AF3" s="21">
        <f>Indicadores!$S363</f>
        <v>0.13750000000000001</v>
      </c>
      <c r="AG3" s="21" t="e">
        <f>Indicadores!$S375</f>
        <v>#DIV/0!</v>
      </c>
      <c r="AH3" s="21">
        <f>Indicadores!$S387</f>
        <v>0</v>
      </c>
      <c r="AI3" s="21">
        <f>Indicadores!$S399</f>
        <v>0</v>
      </c>
      <c r="AJ3" s="21" t="e">
        <f>Indicadores!$S411</f>
        <v>#DIV/0!</v>
      </c>
      <c r="AK3" s="21" t="e">
        <f>Indicadores!$S423</f>
        <v>#DIV/0!</v>
      </c>
      <c r="AL3" s="21">
        <f>Indicadores!$S435</f>
        <v>0.23333333333333334</v>
      </c>
      <c r="AM3" s="21" t="e">
        <f>Indicadores!$S447</f>
        <v>#DIV/0!</v>
      </c>
      <c r="AN3" s="21">
        <f>Indicadores!$S459</f>
        <v>0.08</v>
      </c>
      <c r="AO3" s="21" t="e">
        <f>Indicadores!$S471</f>
        <v>#DIV/0!</v>
      </c>
      <c r="AP3" s="21">
        <f>Indicadores!$S483</f>
        <v>0</v>
      </c>
      <c r="AQ3" s="21">
        <f>Indicadores!$S495</f>
        <v>0</v>
      </c>
      <c r="AR3" s="21">
        <f>Indicadores!$S507</f>
        <v>0</v>
      </c>
      <c r="AS3" s="21">
        <f>Indicadores!$S519</f>
        <v>0</v>
      </c>
      <c r="AT3" s="21">
        <f>Indicadores!$S531</f>
        <v>0</v>
      </c>
      <c r="AU3" s="21">
        <f>Indicadores!$S543</f>
        <v>0</v>
      </c>
      <c r="AV3" s="21">
        <f>Indicadores!$S555</f>
        <v>0.13333333333333333</v>
      </c>
      <c r="AW3" s="21">
        <f>Indicadores!$S567</f>
        <v>0</v>
      </c>
      <c r="AX3" s="21">
        <f>Indicadores!$S579</f>
        <v>0</v>
      </c>
      <c r="AY3" s="21">
        <f>Indicadores!$S591</f>
        <v>0</v>
      </c>
      <c r="AZ3" s="21">
        <f>Indicadores!$S603</f>
        <v>0</v>
      </c>
      <c r="BA3" s="21">
        <f>Indicadores!$S615</f>
        <v>0</v>
      </c>
      <c r="BB3" s="21" t="e">
        <f>Indicadores!$S627</f>
        <v>#DIV/0!</v>
      </c>
      <c r="BC3" s="21">
        <f>Indicadores!$S639</f>
        <v>0.18965517241379309</v>
      </c>
      <c r="BD3" s="4">
        <f t="shared" ref="BD3:BD10" si="1">AVERAGE(B3,D3:E3,G3,I3:K3,L3:M3,O3:W3,Y3:AB3,AD3,AF3,AH3:AI3,AL3,AN3,AP3:BA3,BC3)</f>
        <v>6.5053670194766225E-2</v>
      </c>
      <c r="BE3" s="4">
        <f t="shared" ref="BE3:BE13" si="2">BD3+BG3</f>
        <v>0.16010348962314203</v>
      </c>
      <c r="BF3" s="4">
        <f t="shared" si="0"/>
        <v>-2.9996149233609562E-2</v>
      </c>
      <c r="BG3" s="3">
        <f t="shared" ref="BG3:BG13" si="3">STDEV(B3,D3:E3,G3,I3:K3,L3:M3,O3:W3,Y3:AB3,AD3,AF3,AH3:AI3,AL3,AN3,AP3:BA3,BC3)</f>
        <v>9.5049819428375787E-2</v>
      </c>
    </row>
    <row r="4" spans="1:59" ht="14.4" x14ac:dyDescent="0.25">
      <c r="A4" s="20" t="s">
        <v>160</v>
      </c>
      <c r="B4" s="21">
        <f>Indicadores!S4</f>
        <v>0.4</v>
      </c>
      <c r="C4" s="21" t="e">
        <f>Indicadores!$S16</f>
        <v>#DIV/0!</v>
      </c>
      <c r="D4" s="21">
        <f>Indicadores!$S28</f>
        <v>0.30357142857142855</v>
      </c>
      <c r="E4" s="21">
        <f>Indicadores!$S40</f>
        <v>0.52500000000000002</v>
      </c>
      <c r="F4" s="21" t="e">
        <f>Indicadores!$S52</f>
        <v>#DIV/0!</v>
      </c>
      <c r="G4" s="21">
        <f>Indicadores!$S64</f>
        <v>0.34666666666666668</v>
      </c>
      <c r="H4" s="21" t="e">
        <f>Indicadores!$S76</f>
        <v>#DIV/0!</v>
      </c>
      <c r="I4" s="21">
        <f>Indicadores!S$86</f>
        <v>0</v>
      </c>
      <c r="J4" s="21">
        <f>Indicadores!$S100</f>
        <v>0.22368421052631579</v>
      </c>
      <c r="K4" s="21">
        <f>Indicadores!$S112</f>
        <v>0.26250000000000001</v>
      </c>
      <c r="L4" s="21">
        <f>Indicadores!$S124</f>
        <v>0.33333333333333331</v>
      </c>
      <c r="M4" s="21">
        <f>Indicadores!$S136</f>
        <v>0.3125</v>
      </c>
      <c r="N4" s="21" t="e">
        <f>Indicadores!$S148</f>
        <v>#DIV/0!</v>
      </c>
      <c r="O4" s="21">
        <f>Indicadores!$S160</f>
        <v>0</v>
      </c>
      <c r="P4" s="21">
        <f>Indicadores!S172</f>
        <v>0</v>
      </c>
      <c r="Q4" s="21">
        <f>Indicadores!S184</f>
        <v>0</v>
      </c>
      <c r="R4" s="21">
        <f>Indicadores!S196</f>
        <v>0.27692307692307694</v>
      </c>
      <c r="S4" s="21">
        <f>Indicadores!$S208</f>
        <v>0</v>
      </c>
      <c r="T4" s="21">
        <f>Indicadores!$S220</f>
        <v>0</v>
      </c>
      <c r="U4" s="21">
        <f>Indicadores!$S232</f>
        <v>0</v>
      </c>
      <c r="V4" s="21">
        <f>Indicadores!$S244</f>
        <v>0.16250000000000001</v>
      </c>
      <c r="W4" s="21">
        <f>Indicadores!$S256</f>
        <v>0.36923076923076925</v>
      </c>
      <c r="X4" s="21" t="e">
        <f>Indicadores!$S268</f>
        <v>#DIV/0!</v>
      </c>
      <c r="Y4" s="21">
        <f>Indicadores!$S280</f>
        <v>0</v>
      </c>
      <c r="Z4" s="21">
        <f>Indicadores!$S292</f>
        <v>3.7499999999999999E-2</v>
      </c>
      <c r="AA4" s="21">
        <f>Indicadores!$S304</f>
        <v>0</v>
      </c>
      <c r="AB4" s="21">
        <f>Indicadores!$S316</f>
        <v>0.27142857142857141</v>
      </c>
      <c r="AC4" s="21" t="e">
        <f>Indicadores!$S328</f>
        <v>#DIV/0!</v>
      </c>
      <c r="AD4" s="21">
        <f>Indicadores!$S340</f>
        <v>0.26250000000000001</v>
      </c>
      <c r="AE4" s="21" t="e">
        <f>Indicadores!$S352</f>
        <v>#DIV/0!</v>
      </c>
      <c r="AF4" s="21">
        <f>Indicadores!$S364</f>
        <v>0.27500000000000002</v>
      </c>
      <c r="AG4" s="21" t="e">
        <f>Indicadores!$S376</f>
        <v>#DIV/0!</v>
      </c>
      <c r="AH4" s="21">
        <f>Indicadores!$S388</f>
        <v>0</v>
      </c>
      <c r="AI4" s="21">
        <f>Indicadores!$S400</f>
        <v>0.65116279069767447</v>
      </c>
      <c r="AJ4" s="21" t="e">
        <f>Indicadores!$S412</f>
        <v>#DIV/0!</v>
      </c>
      <c r="AK4" s="21" t="e">
        <f>Indicadores!$S424</f>
        <v>#DIV/0!</v>
      </c>
      <c r="AL4" s="21">
        <f>Indicadores!$S436</f>
        <v>0.4</v>
      </c>
      <c r="AM4" s="21" t="e">
        <f>Indicadores!$S448</f>
        <v>#DIV/0!</v>
      </c>
      <c r="AN4" s="21">
        <f>Indicadores!$S460</f>
        <v>0.08</v>
      </c>
      <c r="AO4" s="21" t="e">
        <f>Indicadores!$S472</f>
        <v>#DIV/0!</v>
      </c>
      <c r="AP4" s="21">
        <f>Indicadores!$S484</f>
        <v>0</v>
      </c>
      <c r="AQ4" s="21">
        <f>Indicadores!$S496</f>
        <v>8.3333333333333329E-2</v>
      </c>
      <c r="AR4" s="21">
        <f>Indicadores!$S508</f>
        <v>0</v>
      </c>
      <c r="AS4" s="21">
        <f>Indicadores!$S520</f>
        <v>0</v>
      </c>
      <c r="AT4" s="21">
        <f>Indicadores!$S532</f>
        <v>0</v>
      </c>
      <c r="AU4" s="21">
        <f>Indicadores!$S544</f>
        <v>0.05</v>
      </c>
      <c r="AV4" s="21">
        <f>Indicadores!$S556</f>
        <v>0.37333333333333335</v>
      </c>
      <c r="AW4" s="21">
        <f>Indicadores!$S568</f>
        <v>0</v>
      </c>
      <c r="AX4" s="21">
        <f>Indicadores!$S580</f>
        <v>0.45454545454545453</v>
      </c>
      <c r="AY4" s="21">
        <f>Indicadores!$S592</f>
        <v>4.2857142857142858E-2</v>
      </c>
      <c r="AZ4" s="21">
        <f>Indicadores!$S604</f>
        <v>5.3333333333333337E-2</v>
      </c>
      <c r="BA4" s="21">
        <f>Indicadores!$S616</f>
        <v>0.61428571428571432</v>
      </c>
      <c r="BB4" s="21" t="e">
        <f>Indicadores!$S628</f>
        <v>#DIV/0!</v>
      </c>
      <c r="BC4" s="21">
        <f>Indicadores!$S640</f>
        <v>0.37931034482758619</v>
      </c>
      <c r="BD4" s="4">
        <f t="shared" si="1"/>
        <v>0.18401218302179842</v>
      </c>
      <c r="BE4" s="4">
        <f t="shared" si="2"/>
        <v>0.37883088095577799</v>
      </c>
      <c r="BF4" s="4">
        <f t="shared" si="0"/>
        <v>-1.0806514912181153E-2</v>
      </c>
      <c r="BG4" s="3">
        <f t="shared" si="3"/>
        <v>0.19481869793397957</v>
      </c>
    </row>
    <row r="5" spans="1:59" ht="14.4" x14ac:dyDescent="0.25">
      <c r="A5" s="20" t="s">
        <v>161</v>
      </c>
      <c r="B5" s="21">
        <f>Indicadores!S5</f>
        <v>0.4</v>
      </c>
      <c r="C5" s="21" t="e">
        <f>Indicadores!$S17</f>
        <v>#DIV/0!</v>
      </c>
      <c r="D5" s="21">
        <f>Indicadores!$S29</f>
        <v>0.30357142857142855</v>
      </c>
      <c r="E5" s="21">
        <f>Indicadores!$S41</f>
        <v>0.52500000000000002</v>
      </c>
      <c r="F5" s="21" t="e">
        <f>Indicadores!$S53</f>
        <v>#DIV/0!</v>
      </c>
      <c r="G5" s="21">
        <f>Indicadores!$S65</f>
        <v>0.34666666666666668</v>
      </c>
      <c r="H5" s="21" t="e">
        <f>Indicadores!$S77</f>
        <v>#DIV/0!</v>
      </c>
      <c r="I5" s="21">
        <f>Indicadores!S$86</f>
        <v>0</v>
      </c>
      <c r="J5" s="21">
        <f>Indicadores!$S101</f>
        <v>0.22368421052631579</v>
      </c>
      <c r="K5" s="21">
        <f>Indicadores!$S113</f>
        <v>0.26250000000000001</v>
      </c>
      <c r="L5" s="21">
        <f>Indicadores!$S125</f>
        <v>0.33333333333333331</v>
      </c>
      <c r="M5" s="21">
        <f>Indicadores!$S137</f>
        <v>0.3125</v>
      </c>
      <c r="N5" s="21" t="e">
        <f>Indicadores!$S149</f>
        <v>#DIV/0!</v>
      </c>
      <c r="O5" s="21">
        <f>Indicadores!$S161</f>
        <v>0</v>
      </c>
      <c r="P5" s="21">
        <f>Indicadores!S173</f>
        <v>0</v>
      </c>
      <c r="Q5" s="21">
        <f>Indicadores!S185</f>
        <v>0</v>
      </c>
      <c r="R5" s="21">
        <f>Indicadores!S197</f>
        <v>0.27692307692307694</v>
      </c>
      <c r="S5" s="21">
        <f>Indicadores!$S209</f>
        <v>0</v>
      </c>
      <c r="T5" s="21">
        <f>Indicadores!$S221</f>
        <v>0</v>
      </c>
      <c r="U5" s="21">
        <f>Indicadores!$S233</f>
        <v>0</v>
      </c>
      <c r="V5" s="21">
        <f>Indicadores!$S245</f>
        <v>0.16250000000000001</v>
      </c>
      <c r="W5" s="21">
        <f>Indicadores!$S257</f>
        <v>0.36923076923076925</v>
      </c>
      <c r="X5" s="21" t="e">
        <f>Indicadores!$S269</f>
        <v>#DIV/0!</v>
      </c>
      <c r="Y5" s="21">
        <f>Indicadores!$S281</f>
        <v>0</v>
      </c>
      <c r="Z5" s="21">
        <f>Indicadores!$S293</f>
        <v>3.7499999999999999E-2</v>
      </c>
      <c r="AA5" s="21">
        <f>Indicadores!$S305</f>
        <v>0</v>
      </c>
      <c r="AB5" s="21">
        <f>Indicadores!$S317</f>
        <v>0.27142857142857141</v>
      </c>
      <c r="AC5" s="21" t="e">
        <f>Indicadores!$S329</f>
        <v>#DIV/0!</v>
      </c>
      <c r="AD5" s="21">
        <f>Indicadores!$S341</f>
        <v>0.26250000000000001</v>
      </c>
      <c r="AE5" s="21" t="e">
        <f>Indicadores!$S353</f>
        <v>#DIV/0!</v>
      </c>
      <c r="AF5" s="21">
        <f>Indicadores!$S365</f>
        <v>0.27500000000000002</v>
      </c>
      <c r="AG5" s="21" t="e">
        <f>Indicadores!$S377</f>
        <v>#DIV/0!</v>
      </c>
      <c r="AH5" s="21">
        <f>Indicadores!$S389</f>
        <v>0</v>
      </c>
      <c r="AI5" s="21">
        <f>Indicadores!$S401</f>
        <v>0.65116279069767447</v>
      </c>
      <c r="AJ5" s="21" t="e">
        <f>Indicadores!$S413</f>
        <v>#DIV/0!</v>
      </c>
      <c r="AK5" s="21" t="e">
        <f>Indicadores!$S425</f>
        <v>#DIV/0!</v>
      </c>
      <c r="AL5" s="21">
        <f>Indicadores!$S437</f>
        <v>0.4</v>
      </c>
      <c r="AM5" s="21" t="e">
        <f>Indicadores!$S449</f>
        <v>#DIV/0!</v>
      </c>
      <c r="AN5" s="21">
        <f>Indicadores!$S461</f>
        <v>0.08</v>
      </c>
      <c r="AO5" s="21" t="e">
        <f>Indicadores!$S473</f>
        <v>#DIV/0!</v>
      </c>
      <c r="AP5" s="21">
        <f>Indicadores!$S485</f>
        <v>0</v>
      </c>
      <c r="AQ5" s="21">
        <f>Indicadores!$S497</f>
        <v>8.3333333333333329E-2</v>
      </c>
      <c r="AR5" s="21">
        <f>Indicadores!$S509</f>
        <v>0</v>
      </c>
      <c r="AS5" s="21">
        <f>Indicadores!$S521</f>
        <v>0</v>
      </c>
      <c r="AT5" s="21">
        <f>Indicadores!$S533</f>
        <v>0</v>
      </c>
      <c r="AU5" s="21">
        <f>Indicadores!$S545</f>
        <v>0.05</v>
      </c>
      <c r="AV5" s="21">
        <f>Indicadores!$S557</f>
        <v>0.37333333333333335</v>
      </c>
      <c r="AW5" s="21">
        <f>Indicadores!$S569</f>
        <v>0</v>
      </c>
      <c r="AX5" s="21">
        <f>Indicadores!$S581</f>
        <v>0.45454545454545453</v>
      </c>
      <c r="AY5" s="21">
        <f>Indicadores!$S593</f>
        <v>4.2857142857142858E-2</v>
      </c>
      <c r="AZ5" s="21">
        <f>Indicadores!$S605</f>
        <v>5.3333333333333337E-2</v>
      </c>
      <c r="BA5" s="21">
        <f>Indicadores!$S617</f>
        <v>0.61428571428571432</v>
      </c>
      <c r="BB5" s="21" t="e">
        <f>Indicadores!$S629</f>
        <v>#DIV/0!</v>
      </c>
      <c r="BC5" s="21">
        <f>Indicadores!$S641</f>
        <v>0.37931034482758619</v>
      </c>
      <c r="BD5" s="4">
        <f t="shared" si="1"/>
        <v>0.18401218302179842</v>
      </c>
      <c r="BE5" s="4">
        <f t="shared" si="2"/>
        <v>0.37883088095577799</v>
      </c>
      <c r="BF5" s="4">
        <f t="shared" si="0"/>
        <v>-1.0806514912181153E-2</v>
      </c>
      <c r="BG5" s="3">
        <f t="shared" si="3"/>
        <v>0.19481869793397957</v>
      </c>
    </row>
    <row r="6" spans="1:59" ht="14.4" x14ac:dyDescent="0.25">
      <c r="A6" s="20" t="s">
        <v>162</v>
      </c>
      <c r="B6" s="21">
        <f>Indicadores!S6</f>
        <v>1.0249999999999999</v>
      </c>
      <c r="C6" s="21" t="e">
        <f>Indicadores!$S18</f>
        <v>#DIV/0!</v>
      </c>
      <c r="D6" s="21">
        <f>Indicadores!$S30</f>
        <v>0.30357142857142855</v>
      </c>
      <c r="E6" s="21">
        <f>Indicadores!$S42</f>
        <v>0.52500000000000002</v>
      </c>
      <c r="F6" s="21" t="e">
        <f>Indicadores!$S54</f>
        <v>#DIV/0!</v>
      </c>
      <c r="G6" s="21">
        <f>Indicadores!$S66</f>
        <v>0.34666666666666668</v>
      </c>
      <c r="H6" s="21" t="e">
        <f>Indicadores!$S78</f>
        <v>#DIV/0!</v>
      </c>
      <c r="I6" s="21">
        <f>Indicadores!S$86</f>
        <v>0</v>
      </c>
      <c r="J6" s="21">
        <f>Indicadores!$S102</f>
        <v>0.22368421052631579</v>
      </c>
      <c r="K6" s="21">
        <f>Indicadores!$S114</f>
        <v>0.26250000000000001</v>
      </c>
      <c r="L6" s="21">
        <f>Indicadores!$S126</f>
        <v>1.1818181818181819</v>
      </c>
      <c r="M6" s="21">
        <f>Indicadores!$S138</f>
        <v>0.3125</v>
      </c>
      <c r="N6" s="21" t="e">
        <f>Indicadores!$S150</f>
        <v>#DIV/0!</v>
      </c>
      <c r="O6" s="21">
        <f>Indicadores!$S162</f>
        <v>0</v>
      </c>
      <c r="P6" s="21">
        <f>Indicadores!S174</f>
        <v>0</v>
      </c>
      <c r="Q6" s="21">
        <f>Indicadores!S186</f>
        <v>0</v>
      </c>
      <c r="R6" s="21">
        <f>Indicadores!S198</f>
        <v>0.27692307692307694</v>
      </c>
      <c r="S6" s="21">
        <f>Indicadores!$S210</f>
        <v>0</v>
      </c>
      <c r="T6" s="21">
        <f>Indicadores!$S222</f>
        <v>0</v>
      </c>
      <c r="U6" s="21">
        <f>Indicadores!$S234</f>
        <v>0</v>
      </c>
      <c r="V6" s="21">
        <f>Indicadores!$S246</f>
        <v>0.16250000000000001</v>
      </c>
      <c r="W6" s="21">
        <f>Indicadores!$S258</f>
        <v>0.36923076923076925</v>
      </c>
      <c r="X6" s="21" t="e">
        <f>Indicadores!$S270</f>
        <v>#DIV/0!</v>
      </c>
      <c r="Y6" s="21">
        <f>Indicadores!$S282</f>
        <v>0</v>
      </c>
      <c r="Z6" s="21">
        <f>Indicadores!$S294</f>
        <v>3.7499999999999999E-2</v>
      </c>
      <c r="AA6" s="21">
        <f>Indicadores!$S306</f>
        <v>0</v>
      </c>
      <c r="AB6" s="21">
        <f>Indicadores!$S318</f>
        <v>0.27142857142857141</v>
      </c>
      <c r="AC6" s="21" t="e">
        <f>Indicadores!$S330</f>
        <v>#DIV/0!</v>
      </c>
      <c r="AD6" s="21">
        <f>Indicadores!$S342</f>
        <v>0.26250000000000001</v>
      </c>
      <c r="AE6" s="21" t="e">
        <f>Indicadores!$S354</f>
        <v>#DIV/0!</v>
      </c>
      <c r="AF6" s="21">
        <f>Indicadores!$S366</f>
        <v>0.27500000000000002</v>
      </c>
      <c r="AG6" s="21" t="e">
        <f>Indicadores!$S378</f>
        <v>#DIV/0!</v>
      </c>
      <c r="AH6" s="21">
        <f>Indicadores!$S390</f>
        <v>0</v>
      </c>
      <c r="AI6" s="21">
        <f>Indicadores!$S402</f>
        <v>0.65116279069767447</v>
      </c>
      <c r="AJ6" s="21" t="e">
        <f>Indicadores!$S414</f>
        <v>#DIV/0!</v>
      </c>
      <c r="AK6" s="21" t="e">
        <f>Indicadores!$S426</f>
        <v>#DIV/0!</v>
      </c>
      <c r="AL6" s="21">
        <f>Indicadores!$S438</f>
        <v>0.4</v>
      </c>
      <c r="AM6" s="21" t="e">
        <f>Indicadores!$S450</f>
        <v>#DIV/0!</v>
      </c>
      <c r="AN6" s="21">
        <f>Indicadores!$S462</f>
        <v>0.08</v>
      </c>
      <c r="AO6" s="21" t="e">
        <f>Indicadores!$S474</f>
        <v>#DIV/0!</v>
      </c>
      <c r="AP6" s="21">
        <f>Indicadores!$S486</f>
        <v>0</v>
      </c>
      <c r="AQ6" s="21">
        <f>Indicadores!$S498</f>
        <v>0.16666666666666666</v>
      </c>
      <c r="AR6" s="21">
        <f>Indicadores!$S510</f>
        <v>0</v>
      </c>
      <c r="AS6" s="21">
        <f>Indicadores!$S522</f>
        <v>0</v>
      </c>
      <c r="AT6" s="21">
        <f>Indicadores!$S534</f>
        <v>0</v>
      </c>
      <c r="AU6" s="21">
        <f>Indicadores!$S546</f>
        <v>0.05</v>
      </c>
      <c r="AV6" s="21">
        <f>Indicadores!$S558</f>
        <v>0.37333333333333335</v>
      </c>
      <c r="AW6" s="21">
        <f>Indicadores!$S570</f>
        <v>0.44285714285714284</v>
      </c>
      <c r="AX6" s="21">
        <f>Indicadores!$S582</f>
        <v>0.45454545454545453</v>
      </c>
      <c r="AY6" s="21">
        <f>Indicadores!$S594</f>
        <v>4.2857142857142858E-2</v>
      </c>
      <c r="AZ6" s="21">
        <f>Indicadores!$S606</f>
        <v>5.3333333333333337E-2</v>
      </c>
      <c r="BA6" s="21">
        <f>Indicadores!$S618</f>
        <v>0.61428571428571432</v>
      </c>
      <c r="BB6" s="21" t="e">
        <f>Indicadores!$S630</f>
        <v>#DIV/0!</v>
      </c>
      <c r="BC6" s="21">
        <f>Indicadores!$S642</f>
        <v>0.37931034482758619</v>
      </c>
      <c r="BD6" s="4">
        <f t="shared" si="1"/>
        <v>0.23278475191631845</v>
      </c>
      <c r="BE6" s="4">
        <f t="shared" si="2"/>
        <v>0.51017789992422413</v>
      </c>
      <c r="BF6" s="4">
        <f t="shared" si="0"/>
        <v>-4.460839609158726E-2</v>
      </c>
      <c r="BG6" s="3">
        <f t="shared" si="3"/>
        <v>0.27739314800790571</v>
      </c>
    </row>
    <row r="7" spans="1:59" ht="14.4" x14ac:dyDescent="0.25">
      <c r="A7" s="20" t="s">
        <v>163</v>
      </c>
      <c r="B7" s="21">
        <f>Indicadores!S7</f>
        <v>1.0249999999999999</v>
      </c>
      <c r="C7" s="21" t="e">
        <f>Indicadores!$S19</f>
        <v>#DIV/0!</v>
      </c>
      <c r="D7" s="21">
        <f>Indicadores!$S31</f>
        <v>0.75</v>
      </c>
      <c r="E7" s="21">
        <f>Indicadores!$S43</f>
        <v>0.83750000000000002</v>
      </c>
      <c r="F7" s="21" t="e">
        <f>Indicadores!$S55</f>
        <v>#DIV/0!</v>
      </c>
      <c r="G7" s="21">
        <f>Indicadores!$S67</f>
        <v>0.6</v>
      </c>
      <c r="H7" s="21" t="e">
        <f>Indicadores!$S79</f>
        <v>#DIV/0!</v>
      </c>
      <c r="I7" s="21">
        <f>Indicadores!S$86</f>
        <v>0</v>
      </c>
      <c r="J7" s="21">
        <f>Indicadores!$S103</f>
        <v>0.61842105263157898</v>
      </c>
      <c r="K7" s="21">
        <f>Indicadores!$S115</f>
        <v>0.51249999999999996</v>
      </c>
      <c r="L7" s="21">
        <f>Indicadores!$S127</f>
        <v>1.1818181818181819</v>
      </c>
      <c r="M7" s="21">
        <f>Indicadores!$S139</f>
        <v>0.45</v>
      </c>
      <c r="N7" s="21" t="e">
        <f>Indicadores!$S151</f>
        <v>#DIV/0!</v>
      </c>
      <c r="O7" s="21">
        <f>Indicadores!$S163</f>
        <v>1.1081081081081081</v>
      </c>
      <c r="P7" s="21">
        <f>Indicadores!S175</f>
        <v>0</v>
      </c>
      <c r="Q7" s="21">
        <f>Indicadores!S187</f>
        <v>0</v>
      </c>
      <c r="R7" s="21">
        <f>Indicadores!S199</f>
        <v>0.93846153846153846</v>
      </c>
      <c r="S7" s="21">
        <f>Indicadores!$S211</f>
        <v>0</v>
      </c>
      <c r="T7" s="21">
        <f>Indicadores!$S223</f>
        <v>0.17499999999999999</v>
      </c>
      <c r="U7" s="21">
        <f>Indicadores!$S235</f>
        <v>0</v>
      </c>
      <c r="V7" s="21">
        <f>Indicadores!$S247</f>
        <v>0.6875</v>
      </c>
      <c r="W7" s="21">
        <f>Indicadores!$S259</f>
        <v>0.43076923076923079</v>
      </c>
      <c r="X7" s="21" t="e">
        <f>Indicadores!$S271</f>
        <v>#DIV/0!</v>
      </c>
      <c r="Y7" s="21">
        <f>Indicadores!$S283</f>
        <v>0.125</v>
      </c>
      <c r="Z7" s="21">
        <f>Indicadores!$S295</f>
        <v>0.35</v>
      </c>
      <c r="AA7" s="21">
        <f>Indicadores!$S307</f>
        <v>0</v>
      </c>
      <c r="AB7" s="21">
        <f>Indicadores!$S319</f>
        <v>0.47142857142857142</v>
      </c>
      <c r="AC7" s="21" t="e">
        <f>Indicadores!$S331</f>
        <v>#DIV/0!</v>
      </c>
      <c r="AD7" s="21">
        <f>Indicadores!$S343</f>
        <v>0.35</v>
      </c>
      <c r="AE7" s="21" t="e">
        <f>Indicadores!$S355</f>
        <v>#DIV/0!</v>
      </c>
      <c r="AF7" s="21">
        <f>Indicadores!$S367</f>
        <v>0.77500000000000002</v>
      </c>
      <c r="AG7" s="21" t="e">
        <f>Indicadores!$S379</f>
        <v>#DIV/0!</v>
      </c>
      <c r="AH7" s="21">
        <f>Indicadores!$S391</f>
        <v>0</v>
      </c>
      <c r="AI7" s="21">
        <f>Indicadores!$S403</f>
        <v>1.2325581395348837</v>
      </c>
      <c r="AJ7" s="21" t="e">
        <f>Indicadores!$S415</f>
        <v>#DIV/0!</v>
      </c>
      <c r="AK7" s="21" t="e">
        <f>Indicadores!$S427</f>
        <v>#DIV/0!</v>
      </c>
      <c r="AL7" s="21">
        <f>Indicadores!$S439</f>
        <v>0.98333333333333328</v>
      </c>
      <c r="AM7" s="21" t="e">
        <f>Indicadores!$S451</f>
        <v>#DIV/0!</v>
      </c>
      <c r="AN7" s="21">
        <f>Indicadores!$S463</f>
        <v>0.46</v>
      </c>
      <c r="AO7" s="21" t="e">
        <f>Indicadores!$S475</f>
        <v>#DIV/0!</v>
      </c>
      <c r="AP7" s="21">
        <f>Indicadores!$S487</f>
        <v>0</v>
      </c>
      <c r="AQ7" s="21">
        <f>Indicadores!$S499</f>
        <v>0.16666666666666666</v>
      </c>
      <c r="AR7" s="21">
        <f>Indicadores!$S511</f>
        <v>0.11428571428571428</v>
      </c>
      <c r="AS7" s="21">
        <f>Indicadores!$S523</f>
        <v>0.91249999999999998</v>
      </c>
      <c r="AT7" s="21">
        <f>Indicadores!$S535</f>
        <v>0</v>
      </c>
      <c r="AU7" s="21">
        <f>Indicadores!$S547</f>
        <v>0.05</v>
      </c>
      <c r="AV7" s="21">
        <f>Indicadores!$S559</f>
        <v>0.6</v>
      </c>
      <c r="AW7" s="21">
        <f>Indicadores!$S571</f>
        <v>0.44285714285714284</v>
      </c>
      <c r="AX7" s="21">
        <f>Indicadores!$S583</f>
        <v>0.45454545454545453</v>
      </c>
      <c r="AY7" s="21">
        <f>Indicadores!$S595</f>
        <v>0.1</v>
      </c>
      <c r="AZ7" s="21">
        <f>Indicadores!$S607</f>
        <v>0.32</v>
      </c>
      <c r="BA7" s="21">
        <f>Indicadores!$S619</f>
        <v>0.7142857142857143</v>
      </c>
      <c r="BB7" s="21" t="e">
        <f>Indicadores!$S631</f>
        <v>#DIV/0!</v>
      </c>
      <c r="BC7" s="21">
        <f>Indicadores!$S643</f>
        <v>0.96551724137931039</v>
      </c>
      <c r="BD7" s="4">
        <f t="shared" si="1"/>
        <v>0.46105014853915682</v>
      </c>
      <c r="BE7" s="4">
        <f t="shared" si="2"/>
        <v>0.84756736419379908</v>
      </c>
      <c r="BF7" s="4">
        <f t="shared" si="0"/>
        <v>7.4532932884514569E-2</v>
      </c>
      <c r="BG7" s="3">
        <f t="shared" si="3"/>
        <v>0.38651721565464225</v>
      </c>
    </row>
    <row r="8" spans="1:59" ht="14.4" x14ac:dyDescent="0.25">
      <c r="A8" s="20" t="s">
        <v>164</v>
      </c>
      <c r="B8" s="21">
        <f>Indicadores!S8</f>
        <v>1.0249999999999999</v>
      </c>
      <c r="C8" s="21" t="e">
        <f>Indicadores!$S20</f>
        <v>#DIV/0!</v>
      </c>
      <c r="D8" s="21">
        <f>Indicadores!$S32</f>
        <v>0.75</v>
      </c>
      <c r="E8" s="21">
        <f>Indicadores!$S44</f>
        <v>0.83750000000000002</v>
      </c>
      <c r="F8" s="21" t="e">
        <f>Indicadores!$S56</f>
        <v>#DIV/0!</v>
      </c>
      <c r="G8" s="21">
        <f>Indicadores!$S68</f>
        <v>0.6</v>
      </c>
      <c r="H8" s="21" t="e">
        <f>Indicadores!$S80</f>
        <v>#DIV/0!</v>
      </c>
      <c r="I8" s="21">
        <f>Indicadores!S$86</f>
        <v>0</v>
      </c>
      <c r="J8" s="21">
        <f>Indicadores!$S104</f>
        <v>0.61842105263157898</v>
      </c>
      <c r="K8" s="21">
        <f>Indicadores!$S116</f>
        <v>0.51249999999999996</v>
      </c>
      <c r="L8" s="21">
        <f>Indicadores!$S128</f>
        <v>1.1818181818181819</v>
      </c>
      <c r="M8" s="21">
        <f>Indicadores!$S140</f>
        <v>0.45</v>
      </c>
      <c r="N8" s="21" t="e">
        <f>Indicadores!$S152</f>
        <v>#DIV/0!</v>
      </c>
      <c r="O8" s="21">
        <f>Indicadores!$S164</f>
        <v>1.1081081081081081</v>
      </c>
      <c r="P8" s="21">
        <f>Indicadores!S176</f>
        <v>0</v>
      </c>
      <c r="Q8" s="21">
        <f>Indicadores!S188</f>
        <v>0</v>
      </c>
      <c r="R8" s="21">
        <f>Indicadores!S200</f>
        <v>0.93846153846153846</v>
      </c>
      <c r="S8" s="21">
        <f>Indicadores!$S212</f>
        <v>0</v>
      </c>
      <c r="T8" s="21">
        <f>Indicadores!$S224</f>
        <v>0.17499999999999999</v>
      </c>
      <c r="U8" s="21">
        <f>Indicadores!$S236</f>
        <v>0</v>
      </c>
      <c r="V8" s="21">
        <f>Indicadores!$S248</f>
        <v>0.6875</v>
      </c>
      <c r="W8" s="21">
        <f>Indicadores!$S260</f>
        <v>0.43076923076923079</v>
      </c>
      <c r="X8" s="21" t="e">
        <f>Indicadores!$S272</f>
        <v>#DIV/0!</v>
      </c>
      <c r="Y8" s="21">
        <f>Indicadores!$S284</f>
        <v>0.125</v>
      </c>
      <c r="Z8" s="21">
        <f>Indicadores!$S296</f>
        <v>0.35</v>
      </c>
      <c r="AA8" s="21">
        <f>Indicadores!$S308</f>
        <v>0</v>
      </c>
      <c r="AB8" s="21">
        <f>Indicadores!$S320</f>
        <v>0.47142857142857142</v>
      </c>
      <c r="AC8" s="21" t="e">
        <f>Indicadores!$S332</f>
        <v>#DIV/0!</v>
      </c>
      <c r="AD8" s="21">
        <f>Indicadores!$S344</f>
        <v>0.35</v>
      </c>
      <c r="AE8" s="21" t="e">
        <f>Indicadores!$S356</f>
        <v>#DIV/0!</v>
      </c>
      <c r="AF8" s="21">
        <f>Indicadores!$S368</f>
        <v>0.77500000000000002</v>
      </c>
      <c r="AG8" s="21" t="e">
        <f>Indicadores!$S380</f>
        <v>#DIV/0!</v>
      </c>
      <c r="AH8" s="21">
        <f>Indicadores!$S392</f>
        <v>0</v>
      </c>
      <c r="AI8" s="21">
        <f>Indicadores!$S404</f>
        <v>1.2325581395348837</v>
      </c>
      <c r="AJ8" s="21" t="e">
        <f>Indicadores!$S416</f>
        <v>#DIV/0!</v>
      </c>
      <c r="AK8" s="21" t="e">
        <f>Indicadores!$S428</f>
        <v>#DIV/0!</v>
      </c>
      <c r="AL8" s="21">
        <f>Indicadores!$S440</f>
        <v>0.98333333333333328</v>
      </c>
      <c r="AM8" s="21" t="e">
        <f>Indicadores!$S452</f>
        <v>#DIV/0!</v>
      </c>
      <c r="AN8" s="21">
        <f>Indicadores!$S464</f>
        <v>0.46</v>
      </c>
      <c r="AO8" s="21" t="e">
        <f>Indicadores!$S476</f>
        <v>#DIV/0!</v>
      </c>
      <c r="AP8" s="21">
        <f>Indicadores!$S488</f>
        <v>0</v>
      </c>
      <c r="AQ8" s="21">
        <f>Indicadores!$S500</f>
        <v>0.16666666666666666</v>
      </c>
      <c r="AR8" s="21">
        <f>Indicadores!$S512</f>
        <v>0.11428571428571428</v>
      </c>
      <c r="AS8" s="21">
        <f>Indicadores!$S524</f>
        <v>0.91249999999999998</v>
      </c>
      <c r="AT8" s="21">
        <f>Indicadores!$S536</f>
        <v>0</v>
      </c>
      <c r="AU8" s="21">
        <f>Indicadores!$S548</f>
        <v>0.05</v>
      </c>
      <c r="AV8" s="21">
        <f>Indicadores!$S560</f>
        <v>0.6</v>
      </c>
      <c r="AW8" s="21">
        <f>Indicadores!$S572</f>
        <v>0.44285714285714284</v>
      </c>
      <c r="AX8" s="21">
        <f>Indicadores!$S584</f>
        <v>0.45454545454545453</v>
      </c>
      <c r="AY8" s="21">
        <f>Indicadores!$S596</f>
        <v>0.1</v>
      </c>
      <c r="AZ8" s="21">
        <f>Indicadores!$S608</f>
        <v>0.32</v>
      </c>
      <c r="BA8" s="21">
        <f>Indicadores!$S620</f>
        <v>0.7142857142857143</v>
      </c>
      <c r="BB8" s="21" t="e">
        <f>Indicadores!$S632</f>
        <v>#DIV/0!</v>
      </c>
      <c r="BC8" s="21">
        <f>Indicadores!$S644</f>
        <v>0.96551724137931039</v>
      </c>
      <c r="BD8" s="4">
        <f t="shared" si="1"/>
        <v>0.46105014853915682</v>
      </c>
      <c r="BE8" s="4">
        <f t="shared" si="2"/>
        <v>0.84756736419379908</v>
      </c>
      <c r="BF8" s="4">
        <f t="shared" si="0"/>
        <v>7.4532932884514569E-2</v>
      </c>
      <c r="BG8" s="3">
        <f t="shared" si="3"/>
        <v>0.38651721565464225</v>
      </c>
    </row>
    <row r="9" spans="1:59" ht="14.4" x14ac:dyDescent="0.25">
      <c r="A9" s="20" t="s">
        <v>165</v>
      </c>
      <c r="B9" s="21">
        <f>Indicadores!S9</f>
        <v>1.0249999999999999</v>
      </c>
      <c r="C9" s="21" t="e">
        <f>Indicadores!$S21</f>
        <v>#DIV/0!</v>
      </c>
      <c r="D9" s="21">
        <f>Indicadores!$S33</f>
        <v>0.75</v>
      </c>
      <c r="E9" s="21">
        <f>Indicadores!$S45</f>
        <v>0.83750000000000002</v>
      </c>
      <c r="F9" s="21" t="e">
        <f>Indicadores!$S57</f>
        <v>#DIV/0!</v>
      </c>
      <c r="G9" s="21">
        <f>Indicadores!$S69</f>
        <v>0.6</v>
      </c>
      <c r="H9" s="21" t="e">
        <f>Indicadores!$S81</f>
        <v>#DIV/0!</v>
      </c>
      <c r="I9" s="21">
        <f>Indicadores!S$86</f>
        <v>0</v>
      </c>
      <c r="J9" s="21">
        <f>Indicadores!$S105</f>
        <v>0.61842105263157898</v>
      </c>
      <c r="K9" s="21">
        <f>Indicadores!$S117</f>
        <v>0.51249999999999996</v>
      </c>
      <c r="L9" s="21">
        <f>Indicadores!$S129</f>
        <v>1.1818181818181819</v>
      </c>
      <c r="M9" s="21">
        <f>Indicadores!$S141</f>
        <v>0.45</v>
      </c>
      <c r="N9" s="21" t="e">
        <f>Indicadores!$S153</f>
        <v>#DIV/0!</v>
      </c>
      <c r="O9" s="21">
        <f>Indicadores!$S165</f>
        <v>1.1081081081081081</v>
      </c>
      <c r="P9" s="21">
        <f>Indicadores!S177</f>
        <v>0</v>
      </c>
      <c r="Q9" s="21">
        <f>Indicadores!S189</f>
        <v>0</v>
      </c>
      <c r="R9" s="21">
        <f>Indicadores!S201</f>
        <v>0.93846153846153846</v>
      </c>
      <c r="S9" s="21">
        <f>Indicadores!$S213</f>
        <v>0</v>
      </c>
      <c r="T9" s="21">
        <f>Indicadores!$S225</f>
        <v>0.17499999999999999</v>
      </c>
      <c r="U9" s="21">
        <f>Indicadores!$S237</f>
        <v>0</v>
      </c>
      <c r="V9" s="21">
        <f>Indicadores!$S249</f>
        <v>0.6875</v>
      </c>
      <c r="W9" s="21">
        <f>Indicadores!$S261</f>
        <v>0.43076923076923079</v>
      </c>
      <c r="X9" s="21" t="e">
        <f>Indicadores!$S273</f>
        <v>#DIV/0!</v>
      </c>
      <c r="Y9" s="21">
        <f>Indicadores!$S285</f>
        <v>0.125</v>
      </c>
      <c r="Z9" s="21">
        <f>Indicadores!$S297</f>
        <v>0.35</v>
      </c>
      <c r="AA9" s="21">
        <f>Indicadores!$S309</f>
        <v>0</v>
      </c>
      <c r="AB9" s="21">
        <f>Indicadores!$S321</f>
        <v>0.47142857142857142</v>
      </c>
      <c r="AC9" s="21" t="e">
        <f>Indicadores!$S333</f>
        <v>#DIV/0!</v>
      </c>
      <c r="AD9" s="21">
        <f>Indicadores!$S345</f>
        <v>0.35</v>
      </c>
      <c r="AE9" s="21" t="e">
        <f>Indicadores!$S357</f>
        <v>#DIV/0!</v>
      </c>
      <c r="AF9" s="21">
        <f>Indicadores!$S369</f>
        <v>0.77500000000000002</v>
      </c>
      <c r="AG9" s="21" t="e">
        <f>Indicadores!$S381</f>
        <v>#DIV/0!</v>
      </c>
      <c r="AH9" s="21">
        <f>Indicadores!$S393</f>
        <v>0</v>
      </c>
      <c r="AI9" s="21">
        <f>Indicadores!$S405</f>
        <v>1.2325581395348837</v>
      </c>
      <c r="AJ9" s="21" t="e">
        <f>Indicadores!$S417</f>
        <v>#DIV/0!</v>
      </c>
      <c r="AK9" s="21" t="e">
        <f>Indicadores!$S429</f>
        <v>#DIV/0!</v>
      </c>
      <c r="AL9" s="21">
        <f>Indicadores!$S441</f>
        <v>0.98333333333333328</v>
      </c>
      <c r="AM9" s="21" t="e">
        <f>Indicadores!$S453</f>
        <v>#DIV/0!</v>
      </c>
      <c r="AN9" s="21">
        <f>Indicadores!$S465</f>
        <v>0.46</v>
      </c>
      <c r="AO9" s="21" t="e">
        <f>Indicadores!$S477</f>
        <v>#DIV/0!</v>
      </c>
      <c r="AP9" s="21">
        <f>Indicadores!$S489</f>
        <v>0</v>
      </c>
      <c r="AQ9" s="21">
        <f>Indicadores!$S501</f>
        <v>0.16666666666666666</v>
      </c>
      <c r="AR9" s="21">
        <f>Indicadores!$S513</f>
        <v>0.11428571428571428</v>
      </c>
      <c r="AS9" s="21">
        <f>Indicadores!$S525</f>
        <v>0.91249999999999998</v>
      </c>
      <c r="AT9" s="21">
        <f>Indicadores!$S537</f>
        <v>0</v>
      </c>
      <c r="AU9" s="21">
        <f>Indicadores!$S549</f>
        <v>0.05</v>
      </c>
      <c r="AV9" s="21">
        <f>Indicadores!$S561</f>
        <v>0.6</v>
      </c>
      <c r="AW9" s="21">
        <f>Indicadores!$S573</f>
        <v>0.44285714285714284</v>
      </c>
      <c r="AX9" s="21">
        <f>Indicadores!$S585</f>
        <v>0.45454545454545453</v>
      </c>
      <c r="AY9" s="21">
        <f>Indicadores!$S597</f>
        <v>0.1</v>
      </c>
      <c r="AZ9" s="21">
        <f>Indicadores!$S609</f>
        <v>0.32</v>
      </c>
      <c r="BA9" s="21">
        <f>Indicadores!$S621</f>
        <v>0.7142857142857143</v>
      </c>
      <c r="BB9" s="21" t="e">
        <f>Indicadores!$S633</f>
        <v>#DIV/0!</v>
      </c>
      <c r="BC9" s="21">
        <f>Indicadores!$S645</f>
        <v>0.96551724137931039</v>
      </c>
      <c r="BD9" s="4">
        <f t="shared" si="1"/>
        <v>0.46105014853915682</v>
      </c>
      <c r="BE9" s="4">
        <f t="shared" si="2"/>
        <v>0.84756736419379908</v>
      </c>
      <c r="BF9" s="4">
        <f t="shared" si="0"/>
        <v>7.4532932884514569E-2</v>
      </c>
      <c r="BG9" s="3">
        <f t="shared" si="3"/>
        <v>0.38651721565464225</v>
      </c>
    </row>
    <row r="10" spans="1:59" ht="14.4" x14ac:dyDescent="0.25">
      <c r="A10" s="20" t="s">
        <v>166</v>
      </c>
      <c r="B10" s="21">
        <f>Indicadores!S10</f>
        <v>1.075</v>
      </c>
      <c r="C10" s="21" t="e">
        <f>Indicadores!$S22</f>
        <v>#DIV/0!</v>
      </c>
      <c r="D10" s="21">
        <f>Indicadores!$S34</f>
        <v>0.9642857142857143</v>
      </c>
      <c r="E10" s="21">
        <f>Indicadores!$S46</f>
        <v>0.88749999999999996</v>
      </c>
      <c r="F10" s="21" t="e">
        <f>Indicadores!$S58</f>
        <v>#DIV/0!</v>
      </c>
      <c r="G10" s="21">
        <f>Indicadores!$S70</f>
        <v>0.84</v>
      </c>
      <c r="H10" s="21" t="e">
        <f>Indicadores!$S82</f>
        <v>#DIV/0!</v>
      </c>
      <c r="I10" s="21">
        <f>Indicadores!S$86</f>
        <v>0</v>
      </c>
      <c r="J10" s="21">
        <f>Indicadores!$S106</f>
        <v>0.65789473684210531</v>
      </c>
      <c r="K10" s="21">
        <f>Indicadores!$S118</f>
        <v>0.66249999999999998</v>
      </c>
      <c r="L10" s="21">
        <f>Indicadores!$S130</f>
        <v>1.1818181818181819</v>
      </c>
      <c r="M10" s="21">
        <f>Indicadores!$S142</f>
        <v>1.1125</v>
      </c>
      <c r="N10" s="21" t="e">
        <f>Indicadores!$S154</f>
        <v>#DIV/0!</v>
      </c>
      <c r="O10" s="21">
        <f>Indicadores!$S166</f>
        <v>1.1891891891891893</v>
      </c>
      <c r="P10" s="21">
        <f>Indicadores!S178</f>
        <v>0</v>
      </c>
      <c r="Q10" s="21">
        <f>Indicadores!S190</f>
        <v>0.75862068965517238</v>
      </c>
      <c r="R10" s="21">
        <f>Indicadores!S202</f>
        <v>0.98461538461538467</v>
      </c>
      <c r="S10" s="21">
        <f>Indicadores!$S214</f>
        <v>0</v>
      </c>
      <c r="T10" s="21">
        <f>Indicadores!$S226</f>
        <v>0.98750000000000004</v>
      </c>
      <c r="U10" s="21">
        <f>Indicadores!$S238</f>
        <v>0.7857142857142857</v>
      </c>
      <c r="V10" s="21">
        <f>Indicadores!$S250</f>
        <v>1.1125</v>
      </c>
      <c r="W10" s="21">
        <f>Indicadores!$S262</f>
        <v>0.72307692307692306</v>
      </c>
      <c r="X10" s="21" t="e">
        <f>Indicadores!$S274</f>
        <v>#DIV/0!</v>
      </c>
      <c r="Y10" s="21">
        <f>Indicadores!$S286</f>
        <v>1.05</v>
      </c>
      <c r="Z10" s="21">
        <f>Indicadores!$S298</f>
        <v>0.58750000000000002</v>
      </c>
      <c r="AA10" s="21">
        <f>Indicadores!$S310</f>
        <v>0</v>
      </c>
      <c r="AB10" s="21">
        <f>Indicadores!$S322</f>
        <v>0.68571428571428572</v>
      </c>
      <c r="AC10" s="21" t="e">
        <f>Indicadores!$S334</f>
        <v>#DIV/0!</v>
      </c>
      <c r="AD10" s="21">
        <f>Indicadores!$S346</f>
        <v>0.41249999999999998</v>
      </c>
      <c r="AE10" s="21" t="e">
        <f>Indicadores!$S358</f>
        <v>#DIV/0!</v>
      </c>
      <c r="AF10" s="21">
        <f>Indicadores!$S370</f>
        <v>0.77500000000000002</v>
      </c>
      <c r="AG10" s="21" t="e">
        <f>Indicadores!$S382</f>
        <v>#DIV/0!</v>
      </c>
      <c r="AH10" s="21">
        <f>Indicadores!$S394</f>
        <v>0.97499999999999998</v>
      </c>
      <c r="AI10" s="21">
        <f>Indicadores!$S406</f>
        <v>1.2325581395348837</v>
      </c>
      <c r="AJ10" s="21" t="e">
        <f>Indicadores!$S418</f>
        <v>#DIV/0!</v>
      </c>
      <c r="AK10" s="21" t="e">
        <f>Indicadores!$S430</f>
        <v>#DIV/0!</v>
      </c>
      <c r="AL10" s="21">
        <f>Indicadores!$S442</f>
        <v>1.2666666666666666</v>
      </c>
      <c r="AM10" s="21" t="e">
        <f>Indicadores!$S454</f>
        <v>#DIV/0!</v>
      </c>
      <c r="AN10" s="21">
        <f>Indicadores!$S466</f>
        <v>1.3</v>
      </c>
      <c r="AO10" s="21" t="e">
        <f>Indicadores!$S478</f>
        <v>#DIV/0!</v>
      </c>
      <c r="AP10" s="21">
        <f>Indicadores!$S490</f>
        <v>0</v>
      </c>
      <c r="AQ10" s="21">
        <f>Indicadores!$S502</f>
        <v>1</v>
      </c>
      <c r="AR10" s="21">
        <f>Indicadores!$S514</f>
        <v>0.47142857142857142</v>
      </c>
      <c r="AS10" s="21">
        <f>Indicadores!$S526</f>
        <v>1.0249999999999999</v>
      </c>
      <c r="AT10" s="21">
        <f>Indicadores!$S538</f>
        <v>0</v>
      </c>
      <c r="AU10" s="21">
        <f>Indicadores!$S550</f>
        <v>0.3125</v>
      </c>
      <c r="AV10" s="21">
        <f>Indicadores!$S562</f>
        <v>0.81333333333333335</v>
      </c>
      <c r="AW10" s="21">
        <f>Indicadores!$S574</f>
        <v>1.2142857142857142</v>
      </c>
      <c r="AX10" s="21">
        <f>Indicadores!$S586</f>
        <v>0.71212121212121215</v>
      </c>
      <c r="AY10" s="21">
        <f>Indicadores!$S598</f>
        <v>0.3</v>
      </c>
      <c r="AZ10" s="21">
        <f>Indicadores!$S610</f>
        <v>0.32</v>
      </c>
      <c r="BA10" s="21">
        <f>Indicadores!$S622</f>
        <v>0.7142857142857143</v>
      </c>
      <c r="BB10" s="21" t="e">
        <f>Indicadores!$S634</f>
        <v>#DIV/0!</v>
      </c>
      <c r="BC10" s="21">
        <f>Indicadores!$S646</f>
        <v>1.3448275862068966</v>
      </c>
      <c r="BD10" s="4">
        <f t="shared" si="1"/>
        <v>0.74232771533595698</v>
      </c>
      <c r="BE10" s="4">
        <f t="shared" si="2"/>
        <v>1.1540802341555996</v>
      </c>
      <c r="BF10" s="4">
        <f t="shared" si="0"/>
        <v>0.33057519651631434</v>
      </c>
      <c r="BG10" s="3">
        <f t="shared" si="3"/>
        <v>0.41175251881964264</v>
      </c>
    </row>
    <row r="11" spans="1:59" ht="14.4" x14ac:dyDescent="0.25">
      <c r="A11" s="20" t="s">
        <v>167</v>
      </c>
      <c r="B11" s="21">
        <f>Indicadores!S11</f>
        <v>1.075</v>
      </c>
      <c r="C11" s="21" t="e">
        <f>Indicadores!$S23</f>
        <v>#DIV/0!</v>
      </c>
      <c r="D11" s="21">
        <f>Indicadores!$S35</f>
        <v>0.9642857142857143</v>
      </c>
      <c r="E11" s="21">
        <f>Indicadores!$S47</f>
        <v>0.88749999999999996</v>
      </c>
      <c r="F11" s="21" t="e">
        <f>Indicadores!$S59</f>
        <v>#DIV/0!</v>
      </c>
      <c r="G11" s="21">
        <f>Indicadores!$S71</f>
        <v>0.84</v>
      </c>
      <c r="H11" s="21" t="e">
        <f>Indicadores!$S83</f>
        <v>#DIV/0!</v>
      </c>
      <c r="I11" s="21">
        <f>Indicadores!S$86</f>
        <v>0</v>
      </c>
      <c r="J11" s="21">
        <f>Indicadores!$S107</f>
        <v>1.013157894736842</v>
      </c>
      <c r="K11" s="21">
        <f>Indicadores!$S119</f>
        <v>0.66249999999999998</v>
      </c>
      <c r="L11" s="21">
        <f>Indicadores!$S131</f>
        <v>1.1818181818181819</v>
      </c>
      <c r="M11" s="21">
        <f>Indicadores!$S143</f>
        <v>1.1125</v>
      </c>
      <c r="N11" s="21" t="e">
        <f>Indicadores!$S155</f>
        <v>#DIV/0!</v>
      </c>
      <c r="O11" s="21">
        <f>Indicadores!$S167</f>
        <v>1.1891891891891893</v>
      </c>
      <c r="P11" s="21">
        <f>Indicadores!S179</f>
        <v>0</v>
      </c>
      <c r="Q11" s="21">
        <f>Indicadores!S191</f>
        <v>0.75862068965517238</v>
      </c>
      <c r="R11" s="21">
        <f>Indicadores!S203</f>
        <v>1.0461538461538462</v>
      </c>
      <c r="S11" s="21">
        <f>Indicadores!$S215</f>
        <v>0</v>
      </c>
      <c r="T11" s="21">
        <f>Indicadores!$S227</f>
        <v>1.075</v>
      </c>
      <c r="U11" s="21">
        <f>Indicadores!$S239</f>
        <v>1.0428571428571429</v>
      </c>
      <c r="V11" s="21">
        <f>Indicadores!$S251</f>
        <v>1.1125</v>
      </c>
      <c r="W11" s="21">
        <f>Indicadores!$S263</f>
        <v>1.0923076923076922</v>
      </c>
      <c r="X11" s="21" t="e">
        <f>Indicadores!$S275</f>
        <v>#DIV/0!</v>
      </c>
      <c r="Y11" s="21">
        <f>Indicadores!$S287</f>
        <v>1.05</v>
      </c>
      <c r="Z11" s="21">
        <f>Indicadores!$S299</f>
        <v>0.86250000000000004</v>
      </c>
      <c r="AA11" s="21">
        <f>Indicadores!$S311</f>
        <v>0</v>
      </c>
      <c r="AB11" s="21">
        <f>Indicadores!$S323</f>
        <v>0.74285714285714288</v>
      </c>
      <c r="AC11" s="21" t="e">
        <f>Indicadores!$S335</f>
        <v>#DIV/0!</v>
      </c>
      <c r="AD11" s="21">
        <f>Indicadores!$S347</f>
        <v>0.41249999999999998</v>
      </c>
      <c r="AE11" s="21" t="e">
        <f>Indicadores!$S359</f>
        <v>#DIV/0!</v>
      </c>
      <c r="AF11" s="21">
        <f>Indicadores!$S371</f>
        <v>0.77500000000000002</v>
      </c>
      <c r="AG11" s="21" t="e">
        <f>Indicadores!$S383</f>
        <v>#DIV/0!</v>
      </c>
      <c r="AH11" s="21">
        <f>Indicadores!$S395</f>
        <v>1.625</v>
      </c>
      <c r="AI11" s="21">
        <f>Indicadores!$S407</f>
        <v>1.2325581395348837</v>
      </c>
      <c r="AJ11" s="21" t="e">
        <f>Indicadores!$S419</f>
        <v>#DIV/0!</v>
      </c>
      <c r="AK11" s="21" t="e">
        <f>Indicadores!$S431</f>
        <v>#DIV/0!</v>
      </c>
      <c r="AL11" s="21">
        <f>Indicadores!$S443</f>
        <v>1.2666666666666666</v>
      </c>
      <c r="AM11" s="21" t="e">
        <f>Indicadores!$S455</f>
        <v>#DIV/0!</v>
      </c>
      <c r="AN11" s="21">
        <f>Indicadores!$S467</f>
        <v>1.38</v>
      </c>
      <c r="AO11" s="21" t="e">
        <f>Indicadores!$S479</f>
        <v>#DIV/0!</v>
      </c>
      <c r="AP11" s="21">
        <f>Indicadores!$S491</f>
        <v>0.84848484848484851</v>
      </c>
      <c r="AQ11" s="21">
        <f>Indicadores!$S503</f>
        <v>1</v>
      </c>
      <c r="AR11" s="21">
        <f>Indicadores!$S515</f>
        <v>0.47142857142857142</v>
      </c>
      <c r="AS11" s="21">
        <f>Indicadores!$S527</f>
        <v>1.0249999999999999</v>
      </c>
      <c r="AT11" s="21">
        <f>Indicadores!$S539</f>
        <v>0</v>
      </c>
      <c r="AU11" s="21">
        <f>Indicadores!$S551</f>
        <v>0.41249999999999998</v>
      </c>
      <c r="AV11" s="21">
        <f>Indicadores!$S563</f>
        <v>0.81333333333333335</v>
      </c>
      <c r="AW11" s="21">
        <f>Indicadores!$S575</f>
        <v>1.2142857142857142</v>
      </c>
      <c r="AX11" s="21">
        <f>Indicadores!$S587</f>
        <v>0.71212121212121215</v>
      </c>
      <c r="AY11" s="21">
        <f>Indicadores!$S599</f>
        <v>0.48571428571428571</v>
      </c>
      <c r="AZ11" s="21">
        <f>Indicadores!$S611</f>
        <v>0.32</v>
      </c>
      <c r="BA11" s="21">
        <f>Indicadores!$S623</f>
        <v>0.7142857142857143</v>
      </c>
      <c r="BB11" s="21" t="e">
        <f>Indicadores!$S635</f>
        <v>#DIV/0!</v>
      </c>
      <c r="BC11" s="21">
        <f>Indicadores!$S647</f>
        <v>1.3448275862068966</v>
      </c>
      <c r="BD11" s="4">
        <f>AVERAGE(B11,D11:E11,G11,I11:K11,L11:M11,O11:W11,Y11:AB11,AD11,AF11,AH11:AI11,AL11,AN11,AP11:BA11,BC11)</f>
        <v>0.82347447721763523</v>
      </c>
      <c r="BE11" s="4">
        <f t="shared" si="2"/>
        <v>1.2398542522675045</v>
      </c>
      <c r="BF11" s="4">
        <f t="shared" si="0"/>
        <v>0.40709470216776611</v>
      </c>
      <c r="BG11" s="3">
        <f t="shared" si="3"/>
        <v>0.41637977504986912</v>
      </c>
    </row>
    <row r="12" spans="1:59" ht="14.4" x14ac:dyDescent="0.25">
      <c r="A12" s="20" t="s">
        <v>168</v>
      </c>
      <c r="B12" s="21">
        <f>Indicadores!S12</f>
        <v>1.075</v>
      </c>
      <c r="C12" s="21" t="e">
        <f>Indicadores!$S24</f>
        <v>#DIV/0!</v>
      </c>
      <c r="D12" s="21">
        <f>Indicadores!$S36</f>
        <v>1.3392857142857142</v>
      </c>
      <c r="E12" s="21">
        <f>Indicadores!$S48</f>
        <v>1.1000000000000001</v>
      </c>
      <c r="F12" s="21" t="e">
        <f>Indicadores!$S60</f>
        <v>#DIV/0!</v>
      </c>
      <c r="G12" s="21">
        <f>Indicadores!$S72</f>
        <v>1.0533333333333332</v>
      </c>
      <c r="H12" s="21" t="e">
        <f>Indicadores!$S84</f>
        <v>#DIV/0!</v>
      </c>
      <c r="I12" s="21">
        <f>Indicadores!S$86</f>
        <v>0</v>
      </c>
      <c r="J12" s="21">
        <f>Indicadores!$S108</f>
        <v>1.013157894736842</v>
      </c>
      <c r="K12" s="21">
        <f>Indicadores!$S120</f>
        <v>0.8125</v>
      </c>
      <c r="L12" s="21">
        <f>Indicadores!$S132</f>
        <v>1.1818181818181819</v>
      </c>
      <c r="M12" s="21">
        <f>Indicadores!$S144</f>
        <v>1.1125</v>
      </c>
      <c r="N12" s="21" t="e">
        <f>Indicadores!$S156</f>
        <v>#DIV/0!</v>
      </c>
      <c r="O12" s="21">
        <f>Indicadores!$S168</f>
        <v>1.2702702702702702</v>
      </c>
      <c r="P12" s="21">
        <f>Indicadores!S180</f>
        <v>0</v>
      </c>
      <c r="Q12" s="21">
        <f>Indicadores!S192</f>
        <v>0.75862068965517238</v>
      </c>
      <c r="R12" s="21">
        <f>Indicadores!S204</f>
        <v>1.0461538461538462</v>
      </c>
      <c r="S12" s="21">
        <f>Indicadores!$S216</f>
        <v>0</v>
      </c>
      <c r="T12" s="21">
        <f>Indicadores!$S228</f>
        <v>1.075</v>
      </c>
      <c r="U12" s="21">
        <f>Indicadores!$S240</f>
        <v>1.0428571428571429</v>
      </c>
      <c r="V12" s="21">
        <f>Indicadores!$S252</f>
        <v>1.1125</v>
      </c>
      <c r="W12" s="21">
        <f>Indicadores!$S264</f>
        <v>1.0923076923076922</v>
      </c>
      <c r="X12" s="21" t="e">
        <f>Indicadores!$S276</f>
        <v>#DIV/0!</v>
      </c>
      <c r="Y12" s="21">
        <f>Indicadores!$S288</f>
        <v>1.425</v>
      </c>
      <c r="Z12" s="21">
        <f>Indicadores!$S300</f>
        <v>0.86250000000000004</v>
      </c>
      <c r="AA12" s="21">
        <f>Indicadores!$S312</f>
        <v>0</v>
      </c>
      <c r="AB12" s="21">
        <f>Indicadores!$S324</f>
        <v>0.74285714285714288</v>
      </c>
      <c r="AC12" s="21" t="e">
        <f>Indicadores!$S336</f>
        <v>#DIV/0!</v>
      </c>
      <c r="AD12" s="21">
        <f>Indicadores!$S348</f>
        <v>0.41249999999999998</v>
      </c>
      <c r="AE12" s="21" t="e">
        <f>Indicadores!$S360</f>
        <v>#DIV/0!</v>
      </c>
      <c r="AF12" s="21">
        <f>Indicadores!$S372</f>
        <v>1.0874999999999999</v>
      </c>
      <c r="AG12" s="21" t="e">
        <f>Indicadores!$S384</f>
        <v>#DIV/0!</v>
      </c>
      <c r="AH12" s="21">
        <f>Indicadores!$S396</f>
        <v>1.625</v>
      </c>
      <c r="AI12" s="21">
        <f>Indicadores!$S408</f>
        <v>2.1860465116279069</v>
      </c>
      <c r="AJ12" s="21" t="e">
        <f>Indicadores!$S420</f>
        <v>#DIV/0!</v>
      </c>
      <c r="AK12" s="21" t="e">
        <f>Indicadores!$S432</f>
        <v>#DIV/0!</v>
      </c>
      <c r="AL12" s="21">
        <f>Indicadores!$S444</f>
        <v>1.6166666666666667</v>
      </c>
      <c r="AM12" s="21" t="e">
        <f>Indicadores!$S456</f>
        <v>#DIV/0!</v>
      </c>
      <c r="AN12" s="21">
        <f>Indicadores!$S468</f>
        <v>1.38</v>
      </c>
      <c r="AO12" s="21" t="e">
        <f>Indicadores!$S480</f>
        <v>#DIV/0!</v>
      </c>
      <c r="AP12" s="21">
        <f>Indicadores!$S492</f>
        <v>0.84848484848484851</v>
      </c>
      <c r="AQ12" s="21">
        <f>Indicadores!$S504</f>
        <v>1</v>
      </c>
      <c r="AR12" s="21">
        <f>Indicadores!$S516</f>
        <v>0.47142857142857142</v>
      </c>
      <c r="AS12" s="21">
        <f>Indicadores!$S528</f>
        <v>1.0249999999999999</v>
      </c>
      <c r="AT12" s="21">
        <f>Indicadores!$S540</f>
        <v>0</v>
      </c>
      <c r="AU12" s="21">
        <f>Indicadores!$S552</f>
        <v>0.41249999999999998</v>
      </c>
      <c r="AV12" s="21">
        <f>Indicadores!$S564</f>
        <v>1.0266666666666666</v>
      </c>
      <c r="AW12" s="21">
        <f>Indicadores!$S576</f>
        <v>1.2142857142857142</v>
      </c>
      <c r="AX12" s="21">
        <f>Indicadores!$S588</f>
        <v>0.84848484848484851</v>
      </c>
      <c r="AY12" s="21">
        <f>Indicadores!$S600</f>
        <v>0.48571428571428571</v>
      </c>
      <c r="AZ12" s="21">
        <f>Indicadores!$S612</f>
        <v>0.53333333333333333</v>
      </c>
      <c r="BA12" s="21">
        <f>Indicadores!$S624</f>
        <v>1.0142857142857142</v>
      </c>
      <c r="BB12" s="21" t="e">
        <f>Indicadores!$S636</f>
        <v>#DIV/0!</v>
      </c>
      <c r="BC12" s="21">
        <f>Indicadores!$S648</f>
        <v>1.3448275862068966</v>
      </c>
      <c r="BD12" s="4">
        <f>AVERAGE(B12,D12:E12,G12,I12:K12,L12:M12,O12:W12,Y12:AB12,AD12,AF12,AH12:AI12,AL12,AN12,AP12:BA12,BC12)</f>
        <v>0.91825333306001944</v>
      </c>
      <c r="BE12" s="4">
        <f t="shared" si="2"/>
        <v>1.402047931898428</v>
      </c>
      <c r="BF12" s="4">
        <f t="shared" si="0"/>
        <v>0.43445873422161085</v>
      </c>
      <c r="BG12" s="3">
        <f t="shared" si="3"/>
        <v>0.48379459883840858</v>
      </c>
    </row>
    <row r="13" spans="1:59" ht="14.4" x14ac:dyDescent="0.25">
      <c r="A13" s="20" t="s">
        <v>169</v>
      </c>
      <c r="B13" s="21">
        <f>Indicadores!S13</f>
        <v>1.075</v>
      </c>
      <c r="C13" s="21" t="e">
        <f>Indicadores!$S25</f>
        <v>#DIV/0!</v>
      </c>
      <c r="D13" s="21">
        <f>Indicadores!$S37</f>
        <v>1.3392857142857142</v>
      </c>
      <c r="E13" s="21">
        <f>Indicadores!$S49</f>
        <v>1.1000000000000001</v>
      </c>
      <c r="F13" s="21" t="e">
        <f>Indicadores!$S61</f>
        <v>#DIV/0!</v>
      </c>
      <c r="G13" s="21">
        <f>Indicadores!$S73</f>
        <v>1.0533333333333332</v>
      </c>
      <c r="H13" s="21" t="e">
        <f>Indicadores!$S85</f>
        <v>#DIV/0!</v>
      </c>
      <c r="I13" s="21">
        <f>Indicadores!S$86</f>
        <v>0</v>
      </c>
      <c r="J13" s="21">
        <f>Indicadores!$S109</f>
        <v>1.013157894736842</v>
      </c>
      <c r="K13" s="21">
        <f>Indicadores!$S121</f>
        <v>0.8125</v>
      </c>
      <c r="L13" s="21">
        <f>Indicadores!$S133</f>
        <v>1.1818181818181819</v>
      </c>
      <c r="M13" s="21">
        <f>Indicadores!$S145</f>
        <v>1.1125</v>
      </c>
      <c r="N13" s="21" t="e">
        <f>Indicadores!$S157</f>
        <v>#DIV/0!</v>
      </c>
      <c r="O13" s="21">
        <f>Indicadores!$S169</f>
        <v>1.2702702702702702</v>
      </c>
      <c r="P13" s="21">
        <f>Indicadores!S181</f>
        <v>0</v>
      </c>
      <c r="Q13" s="21">
        <f>Indicadores!S193</f>
        <v>0.75862068965517238</v>
      </c>
      <c r="R13" s="21">
        <f>Indicadores!S205</f>
        <v>1.0461538461538462</v>
      </c>
      <c r="S13" s="21">
        <f>Indicadores!$S217</f>
        <v>0</v>
      </c>
      <c r="T13" s="21">
        <f>Indicadores!$S229</f>
        <v>1.075</v>
      </c>
      <c r="U13" s="21">
        <f>Indicadores!$S241</f>
        <v>1.0428571428571429</v>
      </c>
      <c r="V13" s="21">
        <f>Indicadores!$S253</f>
        <v>1.1125</v>
      </c>
      <c r="W13" s="21">
        <f>Indicadores!$S265</f>
        <v>1.0923076923076922</v>
      </c>
      <c r="X13" s="21" t="e">
        <f>Indicadores!$S277</f>
        <v>#DIV/0!</v>
      </c>
      <c r="Y13" s="21">
        <f>Indicadores!$S289</f>
        <v>1.425</v>
      </c>
      <c r="Z13" s="21">
        <f>Indicadores!$S301</f>
        <v>0.86250000000000004</v>
      </c>
      <c r="AA13" s="21">
        <f>Indicadores!$S313</f>
        <v>0</v>
      </c>
      <c r="AB13" s="21">
        <f>Indicadores!$S325</f>
        <v>0.74285714285714288</v>
      </c>
      <c r="AC13" s="21" t="e">
        <f>Indicadores!$S337</f>
        <v>#DIV/0!</v>
      </c>
      <c r="AD13" s="21">
        <f>Indicadores!$S349</f>
        <v>0.41249999999999998</v>
      </c>
      <c r="AE13" s="21" t="e">
        <f>Indicadores!$S361</f>
        <v>#DIV/0!</v>
      </c>
      <c r="AF13" s="21">
        <f>Indicadores!$S373</f>
        <v>1.0874999999999999</v>
      </c>
      <c r="AG13" s="21" t="e">
        <f>Indicadores!$S385</f>
        <v>#DIV/0!</v>
      </c>
      <c r="AH13" s="21">
        <f>Indicadores!$S397</f>
        <v>1.625</v>
      </c>
      <c r="AI13" s="21">
        <f>Indicadores!$S409</f>
        <v>2.1860465116279069</v>
      </c>
      <c r="AJ13" s="21" t="e">
        <f>Indicadores!$S421</f>
        <v>#DIV/0!</v>
      </c>
      <c r="AK13" s="21" t="e">
        <f>Indicadores!$S433</f>
        <v>#DIV/0!</v>
      </c>
      <c r="AL13" s="21">
        <f>Indicadores!$S445</f>
        <v>1.6166666666666667</v>
      </c>
      <c r="AM13" s="21" t="e">
        <f>Indicadores!$S457</f>
        <v>#DIV/0!</v>
      </c>
      <c r="AN13" s="21">
        <f>Indicadores!$S469</f>
        <v>1.38</v>
      </c>
      <c r="AO13" s="21" t="e">
        <f>Indicadores!$S481</f>
        <v>#DIV/0!</v>
      </c>
      <c r="AP13" s="21">
        <f>Indicadores!$S493</f>
        <v>0.84848484848484851</v>
      </c>
      <c r="AQ13" s="21">
        <f>Indicadores!$S505</f>
        <v>1</v>
      </c>
      <c r="AR13" s="21">
        <f>Indicadores!$S517</f>
        <v>0.47142857142857142</v>
      </c>
      <c r="AS13" s="21">
        <f>Indicadores!$S529</f>
        <v>1.0249999999999999</v>
      </c>
      <c r="AT13" s="21">
        <f>Indicadores!$S541</f>
        <v>0</v>
      </c>
      <c r="AU13" s="21">
        <f>Indicadores!$S553</f>
        <v>0.41249999999999998</v>
      </c>
      <c r="AV13" s="21">
        <f>Indicadores!$S565</f>
        <v>1.0266666666666666</v>
      </c>
      <c r="AW13" s="21">
        <f>Indicadores!$S577</f>
        <v>1.2142857142857142</v>
      </c>
      <c r="AX13" s="21">
        <f>Indicadores!$S589</f>
        <v>0.84848484848484851</v>
      </c>
      <c r="AY13" s="21">
        <f>Indicadores!$S601</f>
        <v>0.48571428571428571</v>
      </c>
      <c r="AZ13" s="21">
        <f>Indicadores!$S613</f>
        <v>0.53333333333333333</v>
      </c>
      <c r="BA13" s="21">
        <f>Indicadores!$S625</f>
        <v>1.0142857142857142</v>
      </c>
      <c r="BB13" s="21" t="e">
        <f>Indicadores!$S637</f>
        <v>#DIV/0!</v>
      </c>
      <c r="BC13" s="21">
        <f>Indicadores!$S649</f>
        <v>1.3448275862068966</v>
      </c>
      <c r="BD13" s="4">
        <f>AVERAGE(B13,D13:E13,G13,I13:K13,L13:M13,O13:W13,Y13:AB13,AD13,AF13,AH13:AI13,AL13,AN13,AP13:BA13,BC13)</f>
        <v>0.91825333306001944</v>
      </c>
      <c r="BE13" s="4">
        <f t="shared" si="2"/>
        <v>1.402047931898428</v>
      </c>
      <c r="BF13" s="4">
        <f t="shared" si="0"/>
        <v>0.43445873422161085</v>
      </c>
      <c r="BG13" s="3">
        <f t="shared" si="3"/>
        <v>0.48379459883840858</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5E8F2-23AD-4926-B121-5CF83EA3B4B9}">
  <dimension ref="A1:BG74"/>
  <sheetViews>
    <sheetView showGridLines="0" workbookViewId="0">
      <pane xSplit="1" ySplit="1" topLeftCell="AY2" activePane="bottomRight" state="frozen"/>
      <selection pane="topRight" activeCell="B1" sqref="B1"/>
      <selection pane="bottomLeft" activeCell="A2" sqref="A2"/>
      <selection pane="bottomRight" activeCell="BD17" sqref="BD17"/>
    </sheetView>
  </sheetViews>
  <sheetFormatPr defaultColWidth="17.5" defaultRowHeight="13.8" x14ac:dyDescent="0.25"/>
  <cols>
    <col min="1" max="16384" width="17.5" style="3"/>
  </cols>
  <sheetData>
    <row r="1" spans="1:59" s="33" customFormat="1" ht="14.4" x14ac:dyDescent="0.25">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4.4" x14ac:dyDescent="0.25">
      <c r="A2" s="20" t="s">
        <v>158</v>
      </c>
      <c r="B2" s="21">
        <f>Indicadores!$L2</f>
        <v>0.27</v>
      </c>
      <c r="C2" s="21" t="e">
        <f>Indicadores!$L14</f>
        <v>#DIV/0!</v>
      </c>
      <c r="D2" s="21">
        <f>Indicadores!$L26</f>
        <v>0</v>
      </c>
      <c r="E2" s="21">
        <f>Indicadores!$L38</f>
        <v>0</v>
      </c>
      <c r="F2" s="21" t="e">
        <f>Indicadores!$L50</f>
        <v>#DIV/0!</v>
      </c>
      <c r="G2" s="21">
        <f>Indicadores!$L62</f>
        <v>0.1347142857142857</v>
      </c>
      <c r="H2" s="21" t="e">
        <f>Indicadores!$L74</f>
        <v>#DIV/0!</v>
      </c>
      <c r="I2" s="21">
        <f>Indicadores!$L86</f>
        <v>6.4363686893082694E-2</v>
      </c>
      <c r="J2" s="21">
        <f>Indicadores!$L98</f>
        <v>0.18094523953009442</v>
      </c>
      <c r="K2" s="21">
        <f>Indicadores!$L110</f>
        <v>3.3333333333333333E-2</v>
      </c>
      <c r="L2" s="21">
        <f>Indicadores!$L122</f>
        <v>0</v>
      </c>
      <c r="M2" s="21">
        <f>Indicadores!$L134</f>
        <v>2.0777777777777777E-2</v>
      </c>
      <c r="N2" s="21" t="e">
        <f>Indicadores!$L146</f>
        <v>#DIV/0!</v>
      </c>
      <c r="O2" s="21">
        <f>Indicadores!$L158</f>
        <v>0</v>
      </c>
      <c r="P2" s="21">
        <f>Indicadores!$L170</f>
        <v>5.4444444444444441E-2</v>
      </c>
      <c r="Q2" s="21">
        <f>Indicadores!$L182</f>
        <v>0</v>
      </c>
      <c r="R2" s="21">
        <f>Indicadores!$L194</f>
        <v>3.789230769230769E-2</v>
      </c>
      <c r="S2" s="21">
        <f>Indicadores!$L206</f>
        <v>7.4835309617918316E-2</v>
      </c>
      <c r="T2" s="21">
        <f>Indicadores!$L218</f>
        <v>0</v>
      </c>
      <c r="U2" s="21">
        <f>Indicadores!$L230</f>
        <v>0</v>
      </c>
      <c r="V2" s="21">
        <f>Indicadores!$L242</f>
        <v>0</v>
      </c>
      <c r="W2" s="21">
        <f>Indicadores!$L254</f>
        <v>0.11570764832022873</v>
      </c>
      <c r="X2" s="21" t="e">
        <f>Indicadores!$L266</f>
        <v>#DIV/0!</v>
      </c>
      <c r="Y2" s="21">
        <f>Indicadores!$L278</f>
        <v>0</v>
      </c>
      <c r="Z2" s="21">
        <f>Indicadores!$L290</f>
        <v>0.16025449999999999</v>
      </c>
      <c r="AA2" s="21">
        <f>Indicadores!$L302</f>
        <v>0</v>
      </c>
      <c r="AB2" s="21">
        <f>Indicadores!$L314</f>
        <v>0.14789648935990399</v>
      </c>
      <c r="AC2" s="21" t="e">
        <f>Indicadores!$L326</f>
        <v>#DIV/0!</v>
      </c>
      <c r="AD2" s="21">
        <f>Indicadores!$L338</f>
        <v>0</v>
      </c>
      <c r="AE2" s="21" t="e">
        <f>Indicadores!$L350</f>
        <v>#DIV/0!</v>
      </c>
      <c r="AF2" s="21">
        <f>Indicadores!$L362</f>
        <v>8.5918900117934752E-2</v>
      </c>
      <c r="AG2" s="21" t="e">
        <f>Indicadores!$L374</f>
        <v>#DIV/0!</v>
      </c>
      <c r="AH2" s="21">
        <f>Indicadores!$L386</f>
        <v>2.8229166666666665</v>
      </c>
      <c r="AI2" s="21">
        <f>Indicadores!$L398</f>
        <v>0</v>
      </c>
      <c r="AJ2" s="21" t="e">
        <f>Indicadores!$L410</f>
        <v>#DIV/0!</v>
      </c>
      <c r="AK2" s="21" t="e">
        <f>Indicadores!$L422</f>
        <v>#DIV/0!</v>
      </c>
      <c r="AL2" s="21">
        <f>Indicadores!$L434</f>
        <v>2.9411764705882353E-2</v>
      </c>
      <c r="AM2" s="21" t="e">
        <f>Indicadores!$L446</f>
        <v>#DIV/0!</v>
      </c>
      <c r="AN2" s="21">
        <f>Indicadores!$L458</f>
        <v>0</v>
      </c>
      <c r="AO2" s="21" t="e">
        <f>Indicadores!$L470</f>
        <v>#DIV/0!</v>
      </c>
      <c r="AP2" s="21">
        <f>Indicadores!$L482</f>
        <v>0</v>
      </c>
      <c r="AQ2" s="21">
        <f>Indicadores!$L494</f>
        <v>0</v>
      </c>
      <c r="AR2" s="21">
        <f>Indicadores!$L506</f>
        <v>0</v>
      </c>
      <c r="AS2" s="21">
        <f>Indicadores!$L518</f>
        <v>0</v>
      </c>
      <c r="AT2" s="21">
        <f>Indicadores!$L530</f>
        <v>7.5769380000000011E-2</v>
      </c>
      <c r="AU2" s="21">
        <f>Indicadores!$L542</f>
        <v>0</v>
      </c>
      <c r="AV2" s="21">
        <f>Indicadores!$L554</f>
        <v>0</v>
      </c>
      <c r="AW2" s="21">
        <f>Indicadores!$L566</f>
        <v>0</v>
      </c>
      <c r="AX2" s="21">
        <f>Indicadores!$L578</f>
        <v>5.4403166662517113E-2</v>
      </c>
      <c r="AY2" s="21">
        <f>Indicadores!$L590</f>
        <v>9.1999999999999998E-2</v>
      </c>
      <c r="AZ2" s="21">
        <f>Indicadores!$L602</f>
        <v>1.8211314993527395E-2</v>
      </c>
      <c r="BA2" s="21">
        <f>Indicadores!$L614</f>
        <v>8.9285714285714288E-2</v>
      </c>
      <c r="BB2" s="21" t="e">
        <f>Indicadores!$L626</f>
        <v>#DIV/0!</v>
      </c>
      <c r="BC2" s="21">
        <f>Indicadores!$L638</f>
        <v>0</v>
      </c>
      <c r="BD2" s="4">
        <f>AVERAGE(B2,D2:E2,G2,I2:K2,L2:M2,O2:W2,Y2:AB2,AD2,AF2,AH2:AI2,AL2,AN2,AP2:BA2,BC2)</f>
        <v>0.11129468122233216</v>
      </c>
      <c r="BE2" s="4">
        <f>BD2+BG2</f>
        <v>0.54990456699293522</v>
      </c>
      <c r="BF2" s="4">
        <f t="shared" ref="BF2:BF13" si="0">BD2-BG2</f>
        <v>-0.32731520454827095</v>
      </c>
      <c r="BG2" s="3">
        <f>STDEV(B2,D2:E2,G2,I2:K2,L2:M2,O2:W2,Y2:AB2,AD2,AF2,AH2:AI2,AL2,AN2,AP2:BA2,BC2)</f>
        <v>0.43860988577060311</v>
      </c>
    </row>
    <row r="3" spans="1:59" ht="14.4" x14ac:dyDescent="0.25">
      <c r="A3" s="20" t="s">
        <v>159</v>
      </c>
      <c r="B3" s="21">
        <f>Indicadores!$L3</f>
        <v>0.29666666666666669</v>
      </c>
      <c r="C3" s="21" t="e">
        <f>Indicadores!$L15</f>
        <v>#DIV/0!</v>
      </c>
      <c r="D3" s="21">
        <f>Indicadores!$L27</f>
        <v>0</v>
      </c>
      <c r="E3" s="21">
        <f>Indicadores!$L39</f>
        <v>1.3599999999999999E-2</v>
      </c>
      <c r="F3" s="21" t="e">
        <f>Indicadores!$L51</f>
        <v>#DIV/0!</v>
      </c>
      <c r="G3" s="21">
        <f>Indicadores!$L63</f>
        <v>0.29307142857142859</v>
      </c>
      <c r="H3" s="21" t="e">
        <f>Indicadores!$L75</f>
        <v>#DIV/0!</v>
      </c>
      <c r="I3" s="21">
        <f>Indicadores!$L87</f>
        <v>6.4363686893082694E-2</v>
      </c>
      <c r="J3" s="21">
        <f>Indicadores!$L99</f>
        <v>0.19832416084089444</v>
      </c>
      <c r="K3" s="21">
        <f>Indicadores!$L111</f>
        <v>7.8055555555555559E-2</v>
      </c>
      <c r="L3" s="21">
        <f>Indicadores!$L123</f>
        <v>0</v>
      </c>
      <c r="M3" s="21">
        <f>Indicadores!$L135</f>
        <v>3.9244444444444443E-2</v>
      </c>
      <c r="N3" s="21" t="e">
        <f>Indicadores!$L147</f>
        <v>#DIV/0!</v>
      </c>
      <c r="O3" s="21">
        <f>Indicadores!$L159</f>
        <v>0.4207963607112466</v>
      </c>
      <c r="P3" s="21">
        <f>Indicadores!$L171</f>
        <v>0.12966666666666668</v>
      </c>
      <c r="Q3" s="21">
        <f>Indicadores!$L183</f>
        <v>0</v>
      </c>
      <c r="R3" s="21">
        <f>Indicadores!$L195</f>
        <v>5.1276923076923074E-2</v>
      </c>
      <c r="S3" s="21">
        <f>Indicadores!$L207</f>
        <v>0.14598155467720686</v>
      </c>
      <c r="T3" s="21">
        <f>Indicadores!$L219</f>
        <v>5.0000000000000001E-4</v>
      </c>
      <c r="U3" s="21">
        <f>Indicadores!$L231</f>
        <v>1.7236178739173526E-2</v>
      </c>
      <c r="V3" s="21">
        <f>Indicadores!$L243</f>
        <v>0.1605945945945946</v>
      </c>
      <c r="W3" s="21">
        <f>Indicadores!$L255</f>
        <v>0.28377412437455324</v>
      </c>
      <c r="X3" s="21" t="e">
        <f>Indicadores!$L267</f>
        <v>#DIV/0!</v>
      </c>
      <c r="Y3" s="21">
        <f>Indicadores!$L279</f>
        <v>0</v>
      </c>
      <c r="Z3" s="21">
        <f>Indicadores!$L291</f>
        <v>0.19025450000000002</v>
      </c>
      <c r="AA3" s="21">
        <f>Indicadores!$L303</f>
        <v>0</v>
      </c>
      <c r="AB3" s="21">
        <f>Indicadores!$L315</f>
        <v>0.14789648935990399</v>
      </c>
      <c r="AC3" s="21" t="e">
        <f>Indicadores!$L327</f>
        <v>#DIV/0!</v>
      </c>
      <c r="AD3" s="21">
        <f>Indicadores!$L339</f>
        <v>0</v>
      </c>
      <c r="AE3" s="21" t="e">
        <f>Indicadores!$L351</f>
        <v>#DIV/0!</v>
      </c>
      <c r="AF3" s="21">
        <f>Indicadores!$L363</f>
        <v>8.5918900117934752E-2</v>
      </c>
      <c r="AG3" s="21" t="e">
        <f>Indicadores!$L375</f>
        <v>#DIV/0!</v>
      </c>
      <c r="AH3" s="21">
        <f>Indicadores!$L387</f>
        <v>2.8229166666666665</v>
      </c>
      <c r="AI3" s="21">
        <f>Indicadores!$L399</f>
        <v>0</v>
      </c>
      <c r="AJ3" s="21" t="e">
        <f>Indicadores!$L411</f>
        <v>#DIV/0!</v>
      </c>
      <c r="AK3" s="21" t="e">
        <f>Indicadores!$L423</f>
        <v>#DIV/0!</v>
      </c>
      <c r="AL3" s="21">
        <f>Indicadores!$L435</f>
        <v>2.9411764705882353E-2</v>
      </c>
      <c r="AM3" s="21" t="e">
        <f>Indicadores!$L447</f>
        <v>#DIV/0!</v>
      </c>
      <c r="AN3" s="21">
        <f>Indicadores!$L459</f>
        <v>2.8260869565217391E-2</v>
      </c>
      <c r="AO3" s="21" t="e">
        <f>Indicadores!$L471</f>
        <v>#DIV/0!</v>
      </c>
      <c r="AP3" s="21">
        <f>Indicadores!$L483</f>
        <v>0</v>
      </c>
      <c r="AQ3" s="21">
        <f>Indicadores!$L495</f>
        <v>0</v>
      </c>
      <c r="AR3" s="21">
        <f>Indicadores!$L507</f>
        <v>0</v>
      </c>
      <c r="AS3" s="21">
        <f>Indicadores!$L519</f>
        <v>0.10233333333333333</v>
      </c>
      <c r="AT3" s="21">
        <f>Indicadores!$L531</f>
        <v>9.3139380000000008E-2</v>
      </c>
      <c r="AU3" s="21">
        <f>Indicadores!$L543</f>
        <v>0</v>
      </c>
      <c r="AV3" s="21">
        <f>Indicadores!$L555</f>
        <v>1.9564583115708939E-2</v>
      </c>
      <c r="AW3" s="21">
        <f>Indicadores!$L567</f>
        <v>0</v>
      </c>
      <c r="AX3" s="21">
        <f>Indicadores!$L579</f>
        <v>5.4403166662517113E-2</v>
      </c>
      <c r="AY3" s="21">
        <f>Indicadores!$L591</f>
        <v>9.1999999999999998E-2</v>
      </c>
      <c r="AZ3" s="21">
        <f>Indicadores!$L603</f>
        <v>1.8211314993527395E-2</v>
      </c>
      <c r="BA3" s="21">
        <f>Indicadores!$L615</f>
        <v>8.9285714285714288E-2</v>
      </c>
      <c r="BB3" s="21" t="e">
        <f>Indicadores!$L627</f>
        <v>#DIV/0!</v>
      </c>
      <c r="BC3" s="21">
        <f>Indicadores!$L639</f>
        <v>0.18000000000000002</v>
      </c>
      <c r="BD3" s="4">
        <f t="shared" ref="BD3:BD13" si="1">AVERAGE(B3,D3:E3,G3,I3:K3,L3:M3,O3:W3,Y3:AB3,AD3,AF3,AH3:AI3,AL3,AN3,AP3:BA3,BC3)</f>
        <v>0.14992070801509372</v>
      </c>
      <c r="BE3" s="4">
        <f t="shared" ref="BE3:BE13" si="2">BD3+BG3</f>
        <v>0.58968599072326611</v>
      </c>
      <c r="BF3" s="4">
        <f t="shared" si="0"/>
        <v>-0.28984457469307867</v>
      </c>
      <c r="BG3" s="3">
        <f t="shared" ref="BG3:BG13" si="3">STDEV(B3,D3:E3,G3,I3:K3,L3:M3,O3:W3,Y3:AB3,AD3,AF3,AH3:AI3,AL3,AN3,AP3:BA3,BC3)</f>
        <v>0.43976528270817239</v>
      </c>
    </row>
    <row r="4" spans="1:59" ht="14.4" x14ac:dyDescent="0.25">
      <c r="A4" s="20" t="s">
        <v>160</v>
      </c>
      <c r="B4" s="21">
        <f>Indicadores!$L4</f>
        <v>0.29666666666666669</v>
      </c>
      <c r="C4" s="21" t="e">
        <f>Indicadores!$L16</f>
        <v>#DIV/0!</v>
      </c>
      <c r="D4" s="21">
        <f>Indicadores!$L28</f>
        <v>0</v>
      </c>
      <c r="E4" s="21">
        <f>Indicadores!$L40</f>
        <v>5.2367999999999998E-2</v>
      </c>
      <c r="F4" s="21" t="e">
        <f>Indicadores!$L52</f>
        <v>#DIV/0!</v>
      </c>
      <c r="G4" s="21">
        <f>Indicadores!$L64</f>
        <v>0.34185714285714286</v>
      </c>
      <c r="H4" s="21" t="e">
        <f>Indicadores!$L76</f>
        <v>#DIV/0!</v>
      </c>
      <c r="I4" s="21">
        <f>Indicadores!$L88</f>
        <v>0.12045955328360192</v>
      </c>
      <c r="J4" s="21">
        <f>Indicadores!$L100</f>
        <v>0.28445205027824166</v>
      </c>
      <c r="K4" s="21">
        <f>Indicadores!$L112</f>
        <v>0.1238888888888889</v>
      </c>
      <c r="L4" s="21">
        <f>Indicadores!$L124</f>
        <v>0</v>
      </c>
      <c r="M4" s="21">
        <f>Indicadores!$L136</f>
        <v>8.2244444444444439E-2</v>
      </c>
      <c r="N4" s="21" t="e">
        <f>Indicadores!$L148</f>
        <v>#DIV/0!</v>
      </c>
      <c r="O4" s="21">
        <f>Indicadores!$L160</f>
        <v>0.4207963607112466</v>
      </c>
      <c r="P4" s="21">
        <f>Indicadores!$L172</f>
        <v>0.12966666666666668</v>
      </c>
      <c r="Q4" s="21">
        <f>Indicadores!$L184</f>
        <v>0</v>
      </c>
      <c r="R4" s="21">
        <f>Indicadores!$L196</f>
        <v>5.1276923076923074E-2</v>
      </c>
      <c r="S4" s="21">
        <f>Indicadores!$L208</f>
        <v>0.2144927536231884</v>
      </c>
      <c r="T4" s="21">
        <f>Indicadores!$L220</f>
        <v>5.0000000000000001E-4</v>
      </c>
      <c r="U4" s="21">
        <f>Indicadores!$L232</f>
        <v>1.7236178739173526E-2</v>
      </c>
      <c r="V4" s="21">
        <f>Indicadores!$L244</f>
        <v>0.22951351351351351</v>
      </c>
      <c r="W4" s="21">
        <f>Indicadores!$L256</f>
        <v>0.34363831308077197</v>
      </c>
      <c r="X4" s="21" t="e">
        <f>Indicadores!$L268</f>
        <v>#DIV/0!</v>
      </c>
      <c r="Y4" s="21">
        <f>Indicadores!$L280</f>
        <v>0</v>
      </c>
      <c r="Z4" s="21">
        <f>Indicadores!$L292</f>
        <v>0.2285045</v>
      </c>
      <c r="AA4" s="21">
        <f>Indicadores!$L304</f>
        <v>0.15028110952292173</v>
      </c>
      <c r="AB4" s="21">
        <f>Indicadores!$L316</f>
        <v>0.14789648935990399</v>
      </c>
      <c r="AC4" s="21" t="e">
        <f>Indicadores!$L328</f>
        <v>#DIV/0!</v>
      </c>
      <c r="AD4" s="21">
        <f>Indicadores!$L340</f>
        <v>0</v>
      </c>
      <c r="AE4" s="21" t="e">
        <f>Indicadores!$L352</f>
        <v>#DIV/0!</v>
      </c>
      <c r="AF4" s="21">
        <f>Indicadores!$L364</f>
        <v>8.5918900117934752E-2</v>
      </c>
      <c r="AG4" s="21" t="e">
        <f>Indicadores!$L376</f>
        <v>#DIV/0!</v>
      </c>
      <c r="AH4" s="21">
        <f>Indicadores!$L388</f>
        <v>2.8229166666666665</v>
      </c>
      <c r="AI4" s="21">
        <f>Indicadores!$L400</f>
        <v>0</v>
      </c>
      <c r="AJ4" s="21" t="e">
        <f>Indicadores!$L412</f>
        <v>#DIV/0!</v>
      </c>
      <c r="AK4" s="21" t="e">
        <f>Indicadores!$L424</f>
        <v>#DIV/0!</v>
      </c>
      <c r="AL4" s="21">
        <f>Indicadores!$L436</f>
        <v>5.2941176470588235E-2</v>
      </c>
      <c r="AM4" s="21" t="e">
        <f>Indicadores!$L448</f>
        <v>#DIV/0!</v>
      </c>
      <c r="AN4" s="21">
        <f>Indicadores!$L460</f>
        <v>3.0869565217391304E-2</v>
      </c>
      <c r="AO4" s="21" t="e">
        <f>Indicadores!$L472</f>
        <v>#DIV/0!</v>
      </c>
      <c r="AP4" s="21">
        <f>Indicadores!$L484</f>
        <v>0.13905000000000001</v>
      </c>
      <c r="AQ4" s="21">
        <f>Indicadores!$L496</f>
        <v>0</v>
      </c>
      <c r="AR4" s="21">
        <f>Indicadores!$L508</f>
        <v>0</v>
      </c>
      <c r="AS4" s="21">
        <f>Indicadores!$L520</f>
        <v>0.10233333333333333</v>
      </c>
      <c r="AT4" s="21">
        <f>Indicadores!$L532</f>
        <v>0.16031838000000001</v>
      </c>
      <c r="AU4" s="21">
        <f>Indicadores!$L544</f>
        <v>2.5608000000000002E-2</v>
      </c>
      <c r="AV4" s="21">
        <f>Indicadores!$L556</f>
        <v>4.970180955434126E-2</v>
      </c>
      <c r="AW4" s="21">
        <f>Indicadores!$L568</f>
        <v>0</v>
      </c>
      <c r="AX4" s="21">
        <f>Indicadores!$L580</f>
        <v>0.12465367258721</v>
      </c>
      <c r="AY4" s="21">
        <f>Indicadores!$L592</f>
        <v>9.1999999999999998E-2</v>
      </c>
      <c r="AZ4" s="21">
        <f>Indicadores!$L604</f>
        <v>7.5501076743998988E-2</v>
      </c>
      <c r="BA4" s="21">
        <f>Indicadores!$L616</f>
        <v>8.9285714285714288E-2</v>
      </c>
      <c r="BB4" s="21" t="e">
        <f>Indicadores!$L628</f>
        <v>#DIV/0!</v>
      </c>
      <c r="BC4" s="21">
        <f>Indicadores!$L640</f>
        <v>0.18000000000000002</v>
      </c>
      <c r="BD4" s="4">
        <f t="shared" si="1"/>
        <v>0.17723994755342617</v>
      </c>
      <c r="BE4" s="4">
        <f t="shared" si="2"/>
        <v>0.61473682715667155</v>
      </c>
      <c r="BF4" s="4">
        <f t="shared" si="0"/>
        <v>-0.26025693204981915</v>
      </c>
      <c r="BG4" s="3">
        <f t="shared" si="3"/>
        <v>0.43749687960324535</v>
      </c>
    </row>
    <row r="5" spans="1:59" ht="14.4" x14ac:dyDescent="0.25">
      <c r="A5" s="20" t="s">
        <v>161</v>
      </c>
      <c r="B5" s="21">
        <f>Indicadores!$L5</f>
        <v>0.30866666666666664</v>
      </c>
      <c r="C5" s="21" t="e">
        <f>Indicadores!$L17</f>
        <v>#DIV/0!</v>
      </c>
      <c r="D5" s="21">
        <f>Indicadores!$L29</f>
        <v>0</v>
      </c>
      <c r="E5" s="21">
        <f>Indicadores!$L41</f>
        <v>5.9568000000000003E-2</v>
      </c>
      <c r="F5" s="21" t="e">
        <f>Indicadores!$L53</f>
        <v>#DIV/0!</v>
      </c>
      <c r="G5" s="21">
        <f>Indicadores!$L65</f>
        <v>0.43164285714285716</v>
      </c>
      <c r="H5" s="21" t="e">
        <f>Indicadores!$L77</f>
        <v>#DIV/0!</v>
      </c>
      <c r="I5" s="21">
        <f>Indicadores!$L89</f>
        <v>0.2405252175021971</v>
      </c>
      <c r="J5" s="21">
        <f>Indicadores!$L101</f>
        <v>0.31775313037820108</v>
      </c>
      <c r="K5" s="21">
        <f>Indicadores!$L113</f>
        <v>0.16222222222222221</v>
      </c>
      <c r="L5" s="21">
        <f>Indicadores!$L125</f>
        <v>7.9166666666666663E-2</v>
      </c>
      <c r="M5" s="21">
        <f>Indicadores!$L137</f>
        <v>0.11413333333333334</v>
      </c>
      <c r="N5" s="21" t="e">
        <f>Indicadores!$L149</f>
        <v>#DIV/0!</v>
      </c>
      <c r="O5" s="21">
        <f>Indicadores!$L161</f>
        <v>0.4207963607112466</v>
      </c>
      <c r="P5" s="21">
        <f>Indicadores!$L173</f>
        <v>0.15966666666666668</v>
      </c>
      <c r="Q5" s="21">
        <f>Indicadores!$L185</f>
        <v>0</v>
      </c>
      <c r="R5" s="21">
        <f>Indicadores!$L197</f>
        <v>5.1276923076923074E-2</v>
      </c>
      <c r="S5" s="21">
        <f>Indicadores!$L209</f>
        <v>0.32444795783926217</v>
      </c>
      <c r="T5" s="21">
        <f>Indicadores!$L221</f>
        <v>1E-3</v>
      </c>
      <c r="U5" s="21">
        <f>Indicadores!$L233</f>
        <v>7.1702503554961869E-2</v>
      </c>
      <c r="V5" s="21">
        <f>Indicadores!$L245</f>
        <v>0.25627027027027027</v>
      </c>
      <c r="W5" s="21">
        <f>Indicadores!$L257</f>
        <v>0.42986061472480341</v>
      </c>
      <c r="X5" s="21" t="e">
        <f>Indicadores!$L269</f>
        <v>#DIV/0!</v>
      </c>
      <c r="Y5" s="21">
        <f>Indicadores!$L281</f>
        <v>0.13714285714285715</v>
      </c>
      <c r="Z5" s="21">
        <f>Indicadores!$L293</f>
        <v>0.22860450000000002</v>
      </c>
      <c r="AA5" s="21">
        <f>Indicadores!$L305</f>
        <v>0.15028110952292173</v>
      </c>
      <c r="AB5" s="21">
        <f>Indicadores!$L317</f>
        <v>0.14789648935990399</v>
      </c>
      <c r="AC5" s="21" t="e">
        <f>Indicadores!$L329</f>
        <v>#DIV/0!</v>
      </c>
      <c r="AD5" s="21">
        <f>Indicadores!$L341</f>
        <v>0</v>
      </c>
      <c r="AE5" s="21" t="e">
        <f>Indicadores!$L353</f>
        <v>#DIV/0!</v>
      </c>
      <c r="AF5" s="21">
        <f>Indicadores!$L365</f>
        <v>0.15000158698889249</v>
      </c>
      <c r="AG5" s="21" t="e">
        <f>Indicadores!$L377</f>
        <v>#DIV/0!</v>
      </c>
      <c r="AH5" s="21">
        <f>Indicadores!$L389</f>
        <v>3.1875</v>
      </c>
      <c r="AI5" s="21">
        <f>Indicadores!$L401</f>
        <v>0.25805714285714287</v>
      </c>
      <c r="AJ5" s="21" t="e">
        <f>Indicadores!$L413</f>
        <v>#DIV/0!</v>
      </c>
      <c r="AK5" s="21" t="e">
        <f>Indicadores!$L425</f>
        <v>#DIV/0!</v>
      </c>
      <c r="AL5" s="21">
        <f>Indicadores!$L437</f>
        <v>0.1048235294117647</v>
      </c>
      <c r="AM5" s="21" t="e">
        <f>Indicadores!$L449</f>
        <v>#DIV/0!</v>
      </c>
      <c r="AN5" s="21">
        <f>Indicadores!$L461</f>
        <v>3.2608695652173912E-2</v>
      </c>
      <c r="AO5" s="21" t="e">
        <f>Indicadores!$L473</f>
        <v>#DIV/0!</v>
      </c>
      <c r="AP5" s="21">
        <f>Indicadores!$L485</f>
        <v>0.13905000000000001</v>
      </c>
      <c r="AQ5" s="21">
        <f>Indicadores!$L497</f>
        <v>0</v>
      </c>
      <c r="AR5" s="21">
        <f>Indicadores!$L509</f>
        <v>0.05</v>
      </c>
      <c r="AS5" s="21">
        <f>Indicadores!$L521</f>
        <v>0.109</v>
      </c>
      <c r="AT5" s="21">
        <f>Indicadores!$L533</f>
        <v>0.17806508000000001</v>
      </c>
      <c r="AU5" s="21">
        <f>Indicadores!$L545</f>
        <v>0.20919200000000002</v>
      </c>
      <c r="AV5" s="21">
        <f>Indicadores!$L557</f>
        <v>0.13790572691350375</v>
      </c>
      <c r="AW5" s="21">
        <f>Indicadores!$L569</f>
        <v>0</v>
      </c>
      <c r="AX5" s="21">
        <f>Indicadores!$L581</f>
        <v>0.22817054615320148</v>
      </c>
      <c r="AY5" s="21">
        <f>Indicadores!$L593</f>
        <v>9.1999999999999998E-2</v>
      </c>
      <c r="AZ5" s="21">
        <f>Indicadores!$L605</f>
        <v>7.5501076743998988E-2</v>
      </c>
      <c r="BA5" s="21">
        <f>Indicadores!$L617</f>
        <v>8.9285714285714288E-2</v>
      </c>
      <c r="BB5" s="21" t="e">
        <f>Indicadores!$L629</f>
        <v>#DIV/0!</v>
      </c>
      <c r="BC5" s="21">
        <f>Indicadores!$L641</f>
        <v>0.18000000000000002</v>
      </c>
      <c r="BD5" s="4">
        <f t="shared" si="1"/>
        <v>0.2271654986777647</v>
      </c>
      <c r="BE5" s="4">
        <f t="shared" si="2"/>
        <v>0.71582389712396544</v>
      </c>
      <c r="BF5" s="4">
        <f t="shared" si="0"/>
        <v>-0.26149289976843598</v>
      </c>
      <c r="BG5" s="3">
        <f t="shared" si="3"/>
        <v>0.48865839844620068</v>
      </c>
    </row>
    <row r="6" spans="1:59" ht="14.4" x14ac:dyDescent="0.25">
      <c r="A6" s="20" t="s">
        <v>162</v>
      </c>
      <c r="B6" s="21">
        <f>Indicadores!$L6</f>
        <v>0.43466666666666665</v>
      </c>
      <c r="C6" s="21" t="e">
        <f>Indicadores!$L18</f>
        <v>#DIV/0!</v>
      </c>
      <c r="D6" s="21">
        <f>Indicadores!$L30</f>
        <v>0.16058568416026736</v>
      </c>
      <c r="E6" s="21">
        <f>Indicadores!$L42</f>
        <v>0.120448</v>
      </c>
      <c r="F6" s="21" t="e">
        <f>Indicadores!$L54</f>
        <v>#DIV/0!</v>
      </c>
      <c r="G6" s="21">
        <f>Indicadores!$L66</f>
        <v>0.53300000000000003</v>
      </c>
      <c r="H6" s="21" t="e">
        <f>Indicadores!$L78</f>
        <v>#DIV/0!</v>
      </c>
      <c r="I6" s="21">
        <f>Indicadores!$L90</f>
        <v>0.2405252175021971</v>
      </c>
      <c r="J6" s="21">
        <f>Indicadores!$L102</f>
        <v>0.32772045289468937</v>
      </c>
      <c r="K6" s="21">
        <f>Indicadores!$L114</f>
        <v>0.26805555555555555</v>
      </c>
      <c r="L6" s="21">
        <f>Indicadores!$L126</f>
        <v>7.9166666666666663E-2</v>
      </c>
      <c r="M6" s="21">
        <f>Indicadores!$L138</f>
        <v>0.15635555555555555</v>
      </c>
      <c r="N6" s="21" t="e">
        <f>Indicadores!$L150</f>
        <v>#DIV/0!</v>
      </c>
      <c r="O6" s="21">
        <f>Indicadores!$L162</f>
        <v>0.4531837658971179</v>
      </c>
      <c r="P6" s="21">
        <f>Indicadores!$L174</f>
        <v>0.21411111111111111</v>
      </c>
      <c r="Q6" s="21">
        <f>Indicadores!$L186</f>
        <v>0</v>
      </c>
      <c r="R6" s="21">
        <f>Indicadores!$L198</f>
        <v>5.1276923076923074E-2</v>
      </c>
      <c r="S6" s="21">
        <f>Indicadores!$L210</f>
        <v>0.32444795783926217</v>
      </c>
      <c r="T6" s="21">
        <f>Indicadores!$L222</f>
        <v>1.9E-2</v>
      </c>
      <c r="U6" s="21">
        <f>Indicadores!$L234</f>
        <v>0.39022708665488859</v>
      </c>
      <c r="V6" s="21">
        <f>Indicadores!$L246</f>
        <v>0.35437837837837838</v>
      </c>
      <c r="W6" s="21">
        <f>Indicadores!$L258</f>
        <v>0.43700857755539674</v>
      </c>
      <c r="X6" s="21" t="e">
        <f>Indicadores!$L270</f>
        <v>#DIV/0!</v>
      </c>
      <c r="Y6" s="21">
        <f>Indicadores!$L282</f>
        <v>0.13714285714285715</v>
      </c>
      <c r="Z6" s="21">
        <f>Indicadores!$L294</f>
        <v>0.29430450000000002</v>
      </c>
      <c r="AA6" s="21">
        <f>Indicadores!$L306</f>
        <v>0.15028110952292173</v>
      </c>
      <c r="AB6" s="21">
        <f>Indicadores!$L318</f>
        <v>0.14789648935990399</v>
      </c>
      <c r="AC6" s="21" t="e">
        <f>Indicadores!$L330</f>
        <v>#DIV/0!</v>
      </c>
      <c r="AD6" s="21">
        <f>Indicadores!$L342</f>
        <v>0</v>
      </c>
      <c r="AE6" s="21" t="e">
        <f>Indicadores!$L354</f>
        <v>#DIV/0!</v>
      </c>
      <c r="AF6" s="21">
        <f>Indicadores!$L366</f>
        <v>0.18845119911146713</v>
      </c>
      <c r="AG6" s="21" t="e">
        <f>Indicadores!$L378</f>
        <v>#DIV/0!</v>
      </c>
      <c r="AH6" s="21">
        <f>Indicadores!$L390</f>
        <v>3.1875</v>
      </c>
      <c r="AI6" s="21">
        <f>Indicadores!$L402</f>
        <v>0.25805714285714287</v>
      </c>
      <c r="AJ6" s="21" t="e">
        <f>Indicadores!$L414</f>
        <v>#DIV/0!</v>
      </c>
      <c r="AK6" s="21" t="e">
        <f>Indicadores!$L426</f>
        <v>#DIV/0!</v>
      </c>
      <c r="AL6" s="21">
        <f>Indicadores!$L438</f>
        <v>0.14805882352941177</v>
      </c>
      <c r="AM6" s="21" t="e">
        <f>Indicadores!$L450</f>
        <v>#DIV/0!</v>
      </c>
      <c r="AN6" s="21">
        <f>Indicadores!$L462</f>
        <v>4.5652173913043478E-2</v>
      </c>
      <c r="AO6" s="21" t="e">
        <f>Indicadores!$L474</f>
        <v>#DIV/0!</v>
      </c>
      <c r="AP6" s="21">
        <f>Indicadores!$L486</f>
        <v>0.13905000000000001</v>
      </c>
      <c r="AQ6" s="21">
        <f>Indicadores!$L498</f>
        <v>0</v>
      </c>
      <c r="AR6" s="21">
        <f>Indicadores!$L510</f>
        <v>0.05</v>
      </c>
      <c r="AS6" s="21">
        <f>Indicadores!$L522</f>
        <v>0.189</v>
      </c>
      <c r="AT6" s="21">
        <f>Indicadores!$L534</f>
        <v>0.27619666000000004</v>
      </c>
      <c r="AU6" s="21">
        <f>Indicadores!$L546</f>
        <v>0.40119199999999999</v>
      </c>
      <c r="AV6" s="21">
        <f>Indicadores!$L558</f>
        <v>0.13790572691350375</v>
      </c>
      <c r="AW6" s="21">
        <f>Indicadores!$L570</f>
        <v>2.5000000000000001E-2</v>
      </c>
      <c r="AX6" s="21">
        <f>Indicadores!$L582</f>
        <v>0.31695940925248683</v>
      </c>
      <c r="AY6" s="21">
        <f>Indicadores!$L594</f>
        <v>9.1999999999999998E-2</v>
      </c>
      <c r="AZ6" s="21">
        <f>Indicadores!$L606</f>
        <v>0.1684546636901284</v>
      </c>
      <c r="BA6" s="21">
        <f>Indicadores!$L618</f>
        <v>8.9285714285714288E-2</v>
      </c>
      <c r="BB6" s="21" t="e">
        <f>Indicadores!$L630</f>
        <v>#DIV/0!</v>
      </c>
      <c r="BC6" s="21">
        <f>Indicadores!$L642</f>
        <v>0.18000000000000002</v>
      </c>
      <c r="BD6" s="4">
        <f t="shared" si="1"/>
        <v>0.27284258705105507</v>
      </c>
      <c r="BE6" s="4">
        <f t="shared" si="2"/>
        <v>0.75981161093062477</v>
      </c>
      <c r="BF6" s="4">
        <f t="shared" si="0"/>
        <v>-0.21412643682851468</v>
      </c>
      <c r="BG6" s="3">
        <f t="shared" si="3"/>
        <v>0.48696902387956975</v>
      </c>
    </row>
    <row r="7" spans="1:59" ht="14.4" x14ac:dyDescent="0.25">
      <c r="A7" s="20" t="s">
        <v>163</v>
      </c>
      <c r="B7" s="21">
        <f>Indicadores!$L7</f>
        <v>0.5450666666666667</v>
      </c>
      <c r="C7" s="21" t="e">
        <f>Indicadores!$L19</f>
        <v>#DIV/0!</v>
      </c>
      <c r="D7" s="21">
        <f>Indicadores!$L31</f>
        <v>0.16058568416026736</v>
      </c>
      <c r="E7" s="21">
        <f>Indicadores!$L43</f>
        <v>0.120448</v>
      </c>
      <c r="F7" s="21" t="e">
        <f>Indicadores!$L55</f>
        <v>#DIV/0!</v>
      </c>
      <c r="G7" s="21">
        <f>Indicadores!$L67</f>
        <v>0.54321428571428576</v>
      </c>
      <c r="H7" s="21" t="e">
        <f>Indicadores!$L79</f>
        <v>#DIV/0!</v>
      </c>
      <c r="I7" s="21">
        <f>Indicadores!$L91</f>
        <v>0.26795548837010652</v>
      </c>
      <c r="J7" s="21">
        <f>Indicadores!$L103</f>
        <v>0.36089374680853997</v>
      </c>
      <c r="K7" s="21">
        <f>Indicadores!$L115</f>
        <v>0.26805555555555555</v>
      </c>
      <c r="L7" s="21">
        <f>Indicadores!$L127</f>
        <v>7.9166666666666663E-2</v>
      </c>
      <c r="M7" s="21">
        <f>Indicadores!$L139</f>
        <v>0.18058888888888888</v>
      </c>
      <c r="N7" s="21" t="e">
        <f>Indicadores!$L151</f>
        <v>#DIV/0!</v>
      </c>
      <c r="O7" s="21">
        <f>Indicadores!$L163</f>
        <v>0.59712778894543483</v>
      </c>
      <c r="P7" s="21">
        <f>Indicadores!$L175</f>
        <v>0.39166666666666666</v>
      </c>
      <c r="Q7" s="21">
        <f>Indicadores!$L187</f>
        <v>6.6465256797583083E-2</v>
      </c>
      <c r="R7" s="21">
        <f>Indicadores!$L199</f>
        <v>5.1276923076923074E-2</v>
      </c>
      <c r="S7" s="21">
        <f>Indicadores!$L211</f>
        <v>0.3961212121212121</v>
      </c>
      <c r="T7" s="21">
        <f>Indicadores!$L223</f>
        <v>1.9E-2</v>
      </c>
      <c r="U7" s="21">
        <f>Indicadores!$L235</f>
        <v>0.39022708665488859</v>
      </c>
      <c r="V7" s="21">
        <f>Indicadores!$L247</f>
        <v>0.60059459459459463</v>
      </c>
      <c r="W7" s="21">
        <f>Indicadores!$L259</f>
        <v>0.44388849177984274</v>
      </c>
      <c r="X7" s="21" t="e">
        <f>Indicadores!$L271</f>
        <v>#DIV/0!</v>
      </c>
      <c r="Y7" s="21">
        <f>Indicadores!$L283</f>
        <v>0.13714285714285715</v>
      </c>
      <c r="Z7" s="21">
        <f>Indicadores!$L295</f>
        <v>0.31205450000000001</v>
      </c>
      <c r="AA7" s="21">
        <f>Indicadores!$L307</f>
        <v>0.15028110952292173</v>
      </c>
      <c r="AB7" s="21">
        <f>Indicadores!$L319</f>
        <v>0.24931122492098101</v>
      </c>
      <c r="AC7" s="21" t="e">
        <f>Indicadores!$L331</f>
        <v>#DIV/0!</v>
      </c>
      <c r="AD7" s="21">
        <f>Indicadores!$L343</f>
        <v>0</v>
      </c>
      <c r="AE7" s="21" t="e">
        <f>Indicadores!$L355</f>
        <v>#DIV/0!</v>
      </c>
      <c r="AF7" s="21">
        <f>Indicadores!$L367</f>
        <v>0.34027017110001995</v>
      </c>
      <c r="AG7" s="21" t="e">
        <f>Indicadores!$L379</f>
        <v>#DIV/0!</v>
      </c>
      <c r="AH7" s="21">
        <f>Indicadores!$L391</f>
        <v>3.2104166666666667</v>
      </c>
      <c r="AI7" s="21">
        <f>Indicadores!$L403</f>
        <v>0.25805714285714287</v>
      </c>
      <c r="AJ7" s="21" t="e">
        <f>Indicadores!$L415</f>
        <v>#DIV/0!</v>
      </c>
      <c r="AK7" s="21" t="e">
        <f>Indicadores!$L427</f>
        <v>#DIV/0!</v>
      </c>
      <c r="AL7" s="21">
        <f>Indicadores!$L439</f>
        <v>0.30031764705882352</v>
      </c>
      <c r="AM7" s="21" t="e">
        <f>Indicadores!$L451</f>
        <v>#DIV/0!</v>
      </c>
      <c r="AN7" s="21">
        <f>Indicadores!$L463</f>
        <v>4.5652173913043478E-2</v>
      </c>
      <c r="AO7" s="21" t="e">
        <f>Indicadores!$L475</f>
        <v>#DIV/0!</v>
      </c>
      <c r="AP7" s="21">
        <f>Indicadores!$L487</f>
        <v>0.13905000000000001</v>
      </c>
      <c r="AQ7" s="21">
        <f>Indicadores!$L499</f>
        <v>0</v>
      </c>
      <c r="AR7" s="21">
        <f>Indicadores!$L511</f>
        <v>7.0000000000000007E-2</v>
      </c>
      <c r="AS7" s="21">
        <f>Indicadores!$L523</f>
        <v>0.24566666666666667</v>
      </c>
      <c r="AT7" s="21">
        <f>Indicadores!$L535</f>
        <v>0.29489666000000003</v>
      </c>
      <c r="AU7" s="21">
        <f>Indicadores!$L547</f>
        <v>0.44519199999999998</v>
      </c>
      <c r="AV7" s="21">
        <f>Indicadores!$L559</f>
        <v>0.13790572691350375</v>
      </c>
      <c r="AW7" s="21">
        <f>Indicadores!$L571</f>
        <v>2.5000000000000001E-2</v>
      </c>
      <c r="AX7" s="21">
        <f>Indicadores!$L583</f>
        <v>0.32747941672870551</v>
      </c>
      <c r="AY7" s="21">
        <f>Indicadores!$L595</f>
        <v>0.17935999999999999</v>
      </c>
      <c r="AZ7" s="21">
        <f>Indicadores!$L607</f>
        <v>0.17414569962560569</v>
      </c>
      <c r="BA7" s="21">
        <f>Indicadores!$L619</f>
        <v>8.9285714285714288E-2</v>
      </c>
      <c r="BB7" s="21" t="e">
        <f>Indicadores!$L631</f>
        <v>#DIV/0!</v>
      </c>
      <c r="BC7" s="21">
        <f>Indicadores!$L643</f>
        <v>0.28135781220118572</v>
      </c>
      <c r="BD7" s="4">
        <f t="shared" si="1"/>
        <v>0.31451673641638933</v>
      </c>
      <c r="BE7" s="4">
        <f t="shared" si="2"/>
        <v>0.80702132782766356</v>
      </c>
      <c r="BF7" s="4">
        <f t="shared" si="0"/>
        <v>-0.1779878549948849</v>
      </c>
      <c r="BG7" s="3">
        <f t="shared" si="3"/>
        <v>0.49250459141127423</v>
      </c>
    </row>
    <row r="8" spans="1:59" ht="14.4" x14ac:dyDescent="0.25">
      <c r="A8" s="20" t="s">
        <v>164</v>
      </c>
      <c r="B8" s="21">
        <f>Indicadores!$L8</f>
        <v>0.5450666666666667</v>
      </c>
      <c r="C8" s="21" t="e">
        <f>Indicadores!$L20</f>
        <v>#DIV/0!</v>
      </c>
      <c r="D8" s="21">
        <f>Indicadores!$L32</f>
        <v>0.16058568416026736</v>
      </c>
      <c r="E8" s="21">
        <f>Indicadores!$L44</f>
        <v>0.16644800000000001</v>
      </c>
      <c r="F8" s="21" t="e">
        <f>Indicadores!$L56</f>
        <v>#DIV/0!</v>
      </c>
      <c r="G8" s="21">
        <f>Indicadores!$L68</f>
        <v>0.59964285714285714</v>
      </c>
      <c r="H8" s="21" t="e">
        <f>Indicadores!$L80</f>
        <v>#DIV/0!</v>
      </c>
      <c r="I8" s="21">
        <f>Indicadores!$L92</f>
        <v>0.26795548837010652</v>
      </c>
      <c r="J8" s="21">
        <f>Indicadores!$L104</f>
        <v>0.38849556300804594</v>
      </c>
      <c r="K8" s="21">
        <f>Indicadores!$L116</f>
        <v>0.30138888888888887</v>
      </c>
      <c r="L8" s="21">
        <f>Indicadores!$L128</f>
        <v>7.9166666666666663E-2</v>
      </c>
      <c r="M8" s="21">
        <f>Indicadores!$L140</f>
        <v>0.20558888888888888</v>
      </c>
      <c r="N8" s="21" t="e">
        <f>Indicadores!$L152</f>
        <v>#DIV/0!</v>
      </c>
      <c r="O8" s="21">
        <f>Indicadores!$L164</f>
        <v>0.65681657716947028</v>
      </c>
      <c r="P8" s="21">
        <f>Indicadores!$L176</f>
        <v>0.44261111111111112</v>
      </c>
      <c r="Q8" s="21">
        <f>Indicadores!$L188</f>
        <v>6.6465256797583083E-2</v>
      </c>
      <c r="R8" s="21">
        <f>Indicadores!$L200</f>
        <v>5.1276923076923074E-2</v>
      </c>
      <c r="S8" s="21">
        <f>Indicadores!$L212</f>
        <v>0.45725428194993412</v>
      </c>
      <c r="T8" s="21">
        <f>Indicadores!$L224</f>
        <v>1.9E-2</v>
      </c>
      <c r="U8" s="21">
        <f>Indicadores!$L236</f>
        <v>0.74264351273322704</v>
      </c>
      <c r="V8" s="21">
        <f>Indicadores!$L248</f>
        <v>0.60059459459459463</v>
      </c>
      <c r="W8" s="21">
        <f>Indicadores!$L260</f>
        <v>0.65037526804860613</v>
      </c>
      <c r="X8" s="21" t="e">
        <f>Indicadores!$L272</f>
        <v>#DIV/0!</v>
      </c>
      <c r="Y8" s="21">
        <f>Indicadores!$L284</f>
        <v>0.13714285714285715</v>
      </c>
      <c r="Z8" s="21">
        <f>Indicadores!$L296</f>
        <v>0.39470450000000001</v>
      </c>
      <c r="AA8" s="21">
        <f>Indicadores!$L308</f>
        <v>0.192955068050463</v>
      </c>
      <c r="AB8" s="21">
        <f>Indicadores!$L320</f>
        <v>0.24931122492098101</v>
      </c>
      <c r="AC8" s="21" t="e">
        <f>Indicadores!$L332</f>
        <v>#DIV/0!</v>
      </c>
      <c r="AD8" s="21">
        <f>Indicadores!$L344</f>
        <v>3.3380213989425145E-2</v>
      </c>
      <c r="AE8" s="21" t="e">
        <f>Indicadores!$L356</f>
        <v>#DIV/0!</v>
      </c>
      <c r="AF8" s="21">
        <f>Indicadores!$L368</f>
        <v>0.37834433406892709</v>
      </c>
      <c r="AG8" s="21" t="e">
        <f>Indicadores!$L380</f>
        <v>#DIV/0!</v>
      </c>
      <c r="AH8" s="21">
        <f>Indicadores!$L392</f>
        <v>3.2104166666666667</v>
      </c>
      <c r="AI8" s="21">
        <f>Indicadores!$L404</f>
        <v>0.25805714285714287</v>
      </c>
      <c r="AJ8" s="21" t="e">
        <f>Indicadores!$L416</f>
        <v>#DIV/0!</v>
      </c>
      <c r="AK8" s="21" t="e">
        <f>Indicadores!$L428</f>
        <v>#DIV/0!</v>
      </c>
      <c r="AL8" s="21">
        <f>Indicadores!$L440</f>
        <v>0.32090588235294115</v>
      </c>
      <c r="AM8" s="21" t="e">
        <f>Indicadores!$L452</f>
        <v>#DIV/0!</v>
      </c>
      <c r="AN8" s="21">
        <f>Indicadores!$L464</f>
        <v>0.10130434782608695</v>
      </c>
      <c r="AO8" s="21" t="e">
        <f>Indicadores!$L476</f>
        <v>#DIV/0!</v>
      </c>
      <c r="AP8" s="21">
        <f>Indicadores!$L488</f>
        <v>0.23905000000000001</v>
      </c>
      <c r="AQ8" s="21">
        <f>Indicadores!$L500</f>
        <v>0</v>
      </c>
      <c r="AR8" s="21">
        <f>Indicadores!$L512</f>
        <v>0.14000000000000001</v>
      </c>
      <c r="AS8" s="21">
        <f>Indicadores!$L524</f>
        <v>0.32300666666666666</v>
      </c>
      <c r="AT8" s="21">
        <f>Indicadores!$L536</f>
        <v>0.33985118000000003</v>
      </c>
      <c r="AU8" s="21">
        <f>Indicadores!$L548</f>
        <v>0.44519199999999998</v>
      </c>
      <c r="AV8" s="21">
        <f>Indicadores!$L560</f>
        <v>0.75662118466915695</v>
      </c>
      <c r="AW8" s="21">
        <f>Indicadores!$L572</f>
        <v>2.5000000000000001E-2</v>
      </c>
      <c r="AX8" s="21">
        <f>Indicadores!$L584</f>
        <v>0.42009265321251221</v>
      </c>
      <c r="AY8" s="21">
        <f>Indicadores!$L596</f>
        <v>0.23536000000000001</v>
      </c>
      <c r="AZ8" s="21">
        <f>Indicadores!$L608</f>
        <v>0.6978348264082278</v>
      </c>
      <c r="BA8" s="21">
        <f>Indicadores!$L620</f>
        <v>0.13214285714285715</v>
      </c>
      <c r="BB8" s="21" t="e">
        <f>Indicadores!$L632</f>
        <v>#DIV/0!</v>
      </c>
      <c r="BC8" s="21">
        <f>Indicadores!$L644</f>
        <v>0.28518263530311727</v>
      </c>
      <c r="BD8" s="4">
        <f t="shared" si="1"/>
        <v>0.38334713342809434</v>
      </c>
      <c r="BE8" s="4">
        <f t="shared" si="2"/>
        <v>0.88375935483946089</v>
      </c>
      <c r="BF8" s="4">
        <f t="shared" si="0"/>
        <v>-0.1170650879832722</v>
      </c>
      <c r="BG8" s="3">
        <f t="shared" si="3"/>
        <v>0.50041222141136654</v>
      </c>
    </row>
    <row r="9" spans="1:59" ht="14.4" x14ac:dyDescent="0.25">
      <c r="A9" s="20" t="s">
        <v>165</v>
      </c>
      <c r="B9" s="21">
        <f>Indicadores!$L9</f>
        <v>0.56573333333333331</v>
      </c>
      <c r="C9" s="21" t="e">
        <f>Indicadores!$L21</f>
        <v>#DIV/0!</v>
      </c>
      <c r="D9" s="21">
        <f>Indicadores!$L33</f>
        <v>0.16058568416026736</v>
      </c>
      <c r="E9" s="21">
        <f>Indicadores!$L45</f>
        <v>0.23996799999999999</v>
      </c>
      <c r="F9" s="21" t="e">
        <f>Indicadores!$L57</f>
        <v>#DIV/0!</v>
      </c>
      <c r="G9" s="21">
        <f>Indicadores!$L69</f>
        <v>0.67948571428571425</v>
      </c>
      <c r="H9" s="21" t="e">
        <f>Indicadores!$L81</f>
        <v>#DIV/0!</v>
      </c>
      <c r="I9" s="21">
        <f>Indicadores!$L93</f>
        <v>0.27968553841230459</v>
      </c>
      <c r="J9" s="21">
        <f>Indicadores!$L105</f>
        <v>0.54914835618405911</v>
      </c>
      <c r="K9" s="21">
        <f>Indicadores!$L117</f>
        <v>0.77749999999999997</v>
      </c>
      <c r="L9" s="21">
        <f>Indicadores!$L129</f>
        <v>7.9166666666666663E-2</v>
      </c>
      <c r="M9" s="21">
        <f>Indicadores!$L141</f>
        <v>0.23414444444444443</v>
      </c>
      <c r="N9" s="21" t="e">
        <f>Indicadores!$L153</f>
        <v>#DIV/0!</v>
      </c>
      <c r="O9" s="21">
        <f>Indicadores!$L165</f>
        <v>0.69640118350775748</v>
      </c>
      <c r="P9" s="21">
        <f>Indicadores!$L177</f>
        <v>0.45927777777777778</v>
      </c>
      <c r="Q9" s="21">
        <f>Indicadores!$L189</f>
        <v>6.6465256797583083E-2</v>
      </c>
      <c r="R9" s="21">
        <f>Indicadores!$L201</f>
        <v>0.1205076923076923</v>
      </c>
      <c r="S9" s="21">
        <f>Indicadores!$L213</f>
        <v>0.46357839262187089</v>
      </c>
      <c r="T9" s="21">
        <f>Indicadores!$L225</f>
        <v>1.9E-2</v>
      </c>
      <c r="U9" s="21">
        <f>Indicadores!$L237</f>
        <v>1.0528947300383504</v>
      </c>
      <c r="V9" s="21">
        <f>Indicadores!$L249</f>
        <v>0.6511351351351351</v>
      </c>
      <c r="W9" s="21">
        <f>Indicadores!$L261</f>
        <v>0.69111865618298784</v>
      </c>
      <c r="X9" s="21" t="e">
        <f>Indicadores!$L273</f>
        <v>#DIV/0!</v>
      </c>
      <c r="Y9" s="21">
        <f>Indicadores!$L285</f>
        <v>0.32142857142857145</v>
      </c>
      <c r="Z9" s="21">
        <f>Indicadores!$L297</f>
        <v>0.47720450000000003</v>
      </c>
      <c r="AA9" s="21">
        <f>Indicadores!$L309</f>
        <v>0.36671679821017961</v>
      </c>
      <c r="AB9" s="21">
        <f>Indicadores!$L321</f>
        <v>0.25943495089836555</v>
      </c>
      <c r="AC9" s="21" t="e">
        <f>Indicadores!$L333</f>
        <v>#DIV/0!</v>
      </c>
      <c r="AD9" s="21">
        <f>Indicadores!$L345</f>
        <v>3.3380213989425145E-2</v>
      </c>
      <c r="AE9" s="21" t="e">
        <f>Indicadores!$L357</f>
        <v>#DIV/0!</v>
      </c>
      <c r="AF9" s="21">
        <f>Indicadores!$L369</f>
        <v>0.48747338024035219</v>
      </c>
      <c r="AG9" s="21" t="e">
        <f>Indicadores!$L381</f>
        <v>#DIV/0!</v>
      </c>
      <c r="AH9" s="21">
        <f>Indicadores!$L393</f>
        <v>3.2687499999999998</v>
      </c>
      <c r="AI9" s="21">
        <f>Indicadores!$L405</f>
        <v>0.25805714285714287</v>
      </c>
      <c r="AJ9" s="21" t="e">
        <f>Indicadores!$L417</f>
        <v>#DIV/0!</v>
      </c>
      <c r="AK9" s="21" t="e">
        <f>Indicadores!$L429</f>
        <v>#DIV/0!</v>
      </c>
      <c r="AL9" s="21">
        <f>Indicadores!$L441</f>
        <v>0.74291176470588238</v>
      </c>
      <c r="AM9" s="21" t="e">
        <f>Indicadores!$L453</f>
        <v>#DIV/0!</v>
      </c>
      <c r="AN9" s="21">
        <f>Indicadores!$L465</f>
        <v>0.14565217391304347</v>
      </c>
      <c r="AO9" s="21" t="e">
        <f>Indicadores!$L477</f>
        <v>#DIV/0!</v>
      </c>
      <c r="AP9" s="21">
        <f>Indicadores!$L489</f>
        <v>0.50405</v>
      </c>
      <c r="AQ9" s="21">
        <f>Indicadores!$L501</f>
        <v>0</v>
      </c>
      <c r="AR9" s="21">
        <f>Indicadores!$L513</f>
        <v>0.14000000000000001</v>
      </c>
      <c r="AS9" s="21">
        <f>Indicadores!$L525</f>
        <v>0.38200666666666672</v>
      </c>
      <c r="AT9" s="21">
        <f>Indicadores!$L537</f>
        <v>0.39932626000000004</v>
      </c>
      <c r="AU9" s="21">
        <f>Indicadores!$L549</f>
        <v>0.47919199999999995</v>
      </c>
      <c r="AV9" s="21">
        <f>Indicadores!$L561</f>
        <v>0.78591492897340132</v>
      </c>
      <c r="AW9" s="21">
        <f>Indicadores!$L573</f>
        <v>7.4999999999999997E-2</v>
      </c>
      <c r="AX9" s="21">
        <f>Indicadores!$L585</f>
        <v>0.42009265321251221</v>
      </c>
      <c r="AY9" s="21">
        <f>Indicadores!$L597</f>
        <v>0.23536000000000001</v>
      </c>
      <c r="AZ9" s="21">
        <f>Indicadores!$L609</f>
        <v>0.6978348264082278</v>
      </c>
      <c r="BA9" s="21">
        <f>Indicadores!$L621</f>
        <v>0.13214285714285715</v>
      </c>
      <c r="BB9" s="21" t="e">
        <f>Indicadores!$L633</f>
        <v>#DIV/0!</v>
      </c>
      <c r="BC9" s="21">
        <f>Indicadores!$L645</f>
        <v>0.3472774909160451</v>
      </c>
      <c r="BD9" s="4">
        <f t="shared" si="1"/>
        <v>0.45719521320533213</v>
      </c>
      <c r="BE9" s="4">
        <f t="shared" si="2"/>
        <v>0.97356755068321044</v>
      </c>
      <c r="BF9" s="4">
        <f t="shared" si="0"/>
        <v>-5.9177124272546122E-2</v>
      </c>
      <c r="BG9" s="3">
        <f t="shared" si="3"/>
        <v>0.51637233747787825</v>
      </c>
    </row>
    <row r="10" spans="1:59" ht="14.4" x14ac:dyDescent="0.25">
      <c r="A10" s="20" t="s">
        <v>166</v>
      </c>
      <c r="B10" s="21">
        <f>Indicadores!$L10</f>
        <v>0.66506666666666669</v>
      </c>
      <c r="C10" s="21" t="e">
        <f>Indicadores!$L22</f>
        <v>#DIV/0!</v>
      </c>
      <c r="D10" s="21">
        <f>Indicadores!$L34</f>
        <v>0.16058568416026736</v>
      </c>
      <c r="E10" s="21">
        <f>Indicadores!$L46</f>
        <v>0.36244799999999999</v>
      </c>
      <c r="F10" s="21" t="e">
        <f>Indicadores!$L58</f>
        <v>#DIV/0!</v>
      </c>
      <c r="G10" s="21">
        <f>Indicadores!$L70</f>
        <v>0.70955714285714289</v>
      </c>
      <c r="H10" s="21" t="e">
        <f>Indicadores!$L82</f>
        <v>#DIV/0!</v>
      </c>
      <c r="I10" s="21">
        <f>Indicadores!$L94</f>
        <v>0.37943307164293483</v>
      </c>
      <c r="J10" s="21">
        <f>Indicadores!$L106</f>
        <v>0.71271467440335345</v>
      </c>
      <c r="K10" s="21">
        <f>Indicadores!$L118</f>
        <v>0.77749999999999997</v>
      </c>
      <c r="L10" s="21">
        <f>Indicadores!$L130</f>
        <v>0.23194444444444445</v>
      </c>
      <c r="M10" s="21">
        <f>Indicadores!$L142</f>
        <v>0.30892222222222221</v>
      </c>
      <c r="N10" s="21" t="e">
        <f>Indicadores!$L154</f>
        <v>#DIV/0!</v>
      </c>
      <c r="O10" s="21">
        <f>Indicadores!$L166</f>
        <v>0.73008408490106358</v>
      </c>
      <c r="P10" s="21">
        <f>Indicadores!$L178</f>
        <v>0.51416666666666666</v>
      </c>
      <c r="Q10" s="21">
        <f>Indicadores!$L190</f>
        <v>6.6465256797583083E-2</v>
      </c>
      <c r="R10" s="21">
        <f>Indicadores!$L202</f>
        <v>0.13281538461538461</v>
      </c>
      <c r="S10" s="21">
        <f>Indicadores!$L214</f>
        <v>0.51153623188405795</v>
      </c>
      <c r="T10" s="21">
        <f>Indicadores!$L226</f>
        <v>3.1857142857142855E-2</v>
      </c>
      <c r="U10" s="21">
        <f>Indicadores!$L238</f>
        <v>1.0528947300383504</v>
      </c>
      <c r="V10" s="21">
        <f>Indicadores!$L250</f>
        <v>0.79762162162162165</v>
      </c>
      <c r="W10" s="21">
        <f>Indicadores!$L262</f>
        <v>0.76179413867047896</v>
      </c>
      <c r="X10" s="21" t="e">
        <f>Indicadores!$L274</f>
        <v>#DIV/0!</v>
      </c>
      <c r="Y10" s="21">
        <f>Indicadores!$L286</f>
        <v>0.32142857142857145</v>
      </c>
      <c r="Z10" s="21">
        <f>Indicadores!$L298</f>
        <v>0.47722950000000003</v>
      </c>
      <c r="AA10" s="21">
        <f>Indicadores!$L310</f>
        <v>0.36671679821017961</v>
      </c>
      <c r="AB10" s="21">
        <f>Indicadores!$L322</f>
        <v>0.25943495089836555</v>
      </c>
      <c r="AC10" s="21" t="e">
        <f>Indicadores!$L334</f>
        <v>#DIV/0!</v>
      </c>
      <c r="AD10" s="21">
        <f>Indicadores!$L346</f>
        <v>0.40835128447063429</v>
      </c>
      <c r="AE10" s="21" t="e">
        <f>Indicadores!$L358</f>
        <v>#DIV/0!</v>
      </c>
      <c r="AF10" s="21">
        <f>Indicadores!$L370</f>
        <v>0.52517337570932932</v>
      </c>
      <c r="AG10" s="21" t="e">
        <f>Indicadores!$L382</f>
        <v>#DIV/0!</v>
      </c>
      <c r="AH10" s="21">
        <f>Indicadores!$L394</f>
        <v>3.2687499999999998</v>
      </c>
      <c r="AI10" s="21">
        <f>Indicadores!$L406</f>
        <v>0.25805714285714287</v>
      </c>
      <c r="AJ10" s="21" t="e">
        <f>Indicadores!$L418</f>
        <v>#DIV/0!</v>
      </c>
      <c r="AK10" s="21" t="e">
        <f>Indicadores!$L430</f>
        <v>#DIV/0!</v>
      </c>
      <c r="AL10" s="21">
        <f>Indicadores!$L442</f>
        <v>0.78408823529411764</v>
      </c>
      <c r="AM10" s="21" t="e">
        <f>Indicadores!$L454</f>
        <v>#DIV/0!</v>
      </c>
      <c r="AN10" s="21">
        <f>Indicadores!$L466</f>
        <v>0.14565217391304347</v>
      </c>
      <c r="AO10" s="21" t="e">
        <f>Indicadores!$L478</f>
        <v>#DIV/0!</v>
      </c>
      <c r="AP10" s="21">
        <f>Indicadores!$L490</f>
        <v>0.50405</v>
      </c>
      <c r="AQ10" s="21">
        <f>Indicadores!$L502</f>
        <v>0</v>
      </c>
      <c r="AR10" s="21">
        <f>Indicadores!$L514</f>
        <v>0.14000000000000001</v>
      </c>
      <c r="AS10" s="21">
        <f>Indicadores!$L526</f>
        <v>0.60067333333333339</v>
      </c>
      <c r="AT10" s="21">
        <f>Indicadores!$L538</f>
        <v>0.43255440000000006</v>
      </c>
      <c r="AU10" s="21">
        <f>Indicadores!$L550</f>
        <v>0.47919199999999995</v>
      </c>
      <c r="AV10" s="21">
        <f>Indicadores!$L562</f>
        <v>0.78591492897340132</v>
      </c>
      <c r="AW10" s="21">
        <f>Indicadores!$L574</f>
        <v>7.4999999999999997E-2</v>
      </c>
      <c r="AX10" s="21">
        <f>Indicadores!$L586</f>
        <v>0.46438188468739272</v>
      </c>
      <c r="AY10" s="21">
        <f>Indicadores!$L598</f>
        <v>0.23536000000000001</v>
      </c>
      <c r="AZ10" s="21">
        <f>Indicadores!$L610</f>
        <v>0.70238765515660972</v>
      </c>
      <c r="BA10" s="21">
        <f>Indicadores!$L622</f>
        <v>0.1455357142857143</v>
      </c>
      <c r="BB10" s="21" t="e">
        <f>Indicadores!$L634</f>
        <v>#DIV/0!</v>
      </c>
      <c r="BC10" s="21">
        <f>Indicadores!$L646</f>
        <v>0.35071983170778348</v>
      </c>
      <c r="BD10" s="4">
        <f t="shared" si="1"/>
        <v>0.50336729135060976</v>
      </c>
      <c r="BE10" s="4">
        <f t="shared" si="2"/>
        <v>1.0150591886201059</v>
      </c>
      <c r="BF10" s="4">
        <f t="shared" si="0"/>
        <v>-8.3246059188863963E-3</v>
      </c>
      <c r="BG10" s="3">
        <f t="shared" si="3"/>
        <v>0.51169189726949615</v>
      </c>
    </row>
    <row r="11" spans="1:59" ht="14.4" x14ac:dyDescent="0.25">
      <c r="A11" s="20" t="s">
        <v>167</v>
      </c>
      <c r="B11" s="21">
        <f>Indicadores!$L11</f>
        <v>0.74373333333333336</v>
      </c>
      <c r="C11" s="21" t="e">
        <f>Indicadores!$L23</f>
        <v>#DIV/0!</v>
      </c>
      <c r="D11" s="21">
        <f>Indicadores!$L35</f>
        <v>0.25621606099031413</v>
      </c>
      <c r="E11" s="21">
        <f>Indicadores!$L47</f>
        <v>0.44076799999999999</v>
      </c>
      <c r="F11" s="21" t="e">
        <f>Indicadores!$L59</f>
        <v>#DIV/0!</v>
      </c>
      <c r="G11" s="21">
        <f>Indicadores!$L71</f>
        <v>0.72077142857142862</v>
      </c>
      <c r="H11" s="21" t="e">
        <f>Indicadores!$L83</f>
        <v>#DIV/0!</v>
      </c>
      <c r="I11" s="21">
        <f>Indicadores!$L95</f>
        <v>0.92996558583779931</v>
      </c>
      <c r="J11" s="21">
        <f>Indicadores!$L107</f>
        <v>0.84535673558431257</v>
      </c>
      <c r="K11" s="21">
        <f>Indicadores!$L119</f>
        <v>0.7994444444444444</v>
      </c>
      <c r="L11" s="21">
        <f>Indicadores!$L131</f>
        <v>0.37083333333333335</v>
      </c>
      <c r="M11" s="21">
        <f>Indicadores!$L143</f>
        <v>0.33085555555555557</v>
      </c>
      <c r="N11" s="21" t="e">
        <f>Indicadores!$L155</f>
        <v>#DIV/0!</v>
      </c>
      <c r="O11" s="21">
        <f>Indicadores!$L167</f>
        <v>1.0083758627944763</v>
      </c>
      <c r="P11" s="21">
        <f>Indicadores!$L179</f>
        <v>0.68188888888888888</v>
      </c>
      <c r="Q11" s="21">
        <f>Indicadores!$L191</f>
        <v>8.3081570996978854E-2</v>
      </c>
      <c r="R11" s="21">
        <f>Indicadores!$L203</f>
        <v>0.49435384615384614</v>
      </c>
      <c r="S11" s="21">
        <f>Indicadores!$L215</f>
        <v>0.52260342555994732</v>
      </c>
      <c r="T11" s="21">
        <f>Indicadores!$L227</f>
        <v>3.1857142857142855E-2</v>
      </c>
      <c r="U11" s="21">
        <f>Indicadores!$L239</f>
        <v>1.2252565174300858</v>
      </c>
      <c r="V11" s="21">
        <f>Indicadores!$L251</f>
        <v>0.86708108108108106</v>
      </c>
      <c r="W11" s="21">
        <f>Indicadores!$L263</f>
        <v>0.78386347390993572</v>
      </c>
      <c r="X11" s="21" t="e">
        <f>Indicadores!$L275</f>
        <v>#DIV/0!</v>
      </c>
      <c r="Y11" s="21">
        <f>Indicadores!$L287</f>
        <v>0.32142857142857145</v>
      </c>
      <c r="Z11" s="21">
        <f>Indicadores!$L299</f>
        <v>0.52340450000000005</v>
      </c>
      <c r="AA11" s="21">
        <f>Indicadores!$L311</f>
        <v>0.36671679821017961</v>
      </c>
      <c r="AB11" s="21">
        <f>Indicadores!$L323</f>
        <v>0.25943495089836555</v>
      </c>
      <c r="AC11" s="21" t="e">
        <f>Indicadores!$L335</f>
        <v>#DIV/0!</v>
      </c>
      <c r="AD11" s="21">
        <f>Indicadores!$L347</f>
        <v>0.40835128447063429</v>
      </c>
      <c r="AE11" s="21" t="e">
        <f>Indicadores!$L359</f>
        <v>#DIV/0!</v>
      </c>
      <c r="AF11" s="21">
        <f>Indicadores!$L371</f>
        <v>0.63072562786520292</v>
      </c>
      <c r="AG11" s="21" t="e">
        <f>Indicadores!$L383</f>
        <v>#DIV/0!</v>
      </c>
      <c r="AH11" s="21">
        <f>Indicadores!$L395</f>
        <v>3.2687499999999998</v>
      </c>
      <c r="AI11" s="21">
        <f>Indicadores!$L407</f>
        <v>0.25805714285714287</v>
      </c>
      <c r="AJ11" s="21" t="e">
        <f>Indicadores!$L419</f>
        <v>#DIV/0!</v>
      </c>
      <c r="AK11" s="21" t="e">
        <f>Indicadores!$L431</f>
        <v>#DIV/0!</v>
      </c>
      <c r="AL11" s="21">
        <f>Indicadores!$L443</f>
        <v>0.83333529411764706</v>
      </c>
      <c r="AM11" s="21" t="e">
        <f>Indicadores!$L455</f>
        <v>#DIV/0!</v>
      </c>
      <c r="AN11" s="21">
        <f>Indicadores!$L467</f>
        <v>0.17434782608695651</v>
      </c>
      <c r="AO11" s="21" t="e">
        <f>Indicadores!$L479</f>
        <v>#DIV/0!</v>
      </c>
      <c r="AP11" s="21">
        <f>Indicadores!$L491</f>
        <v>0.50405</v>
      </c>
      <c r="AQ11" s="21">
        <f>Indicadores!$L503</f>
        <v>3.6734693877551024E-2</v>
      </c>
      <c r="AR11" s="21">
        <f>Indicadores!$L515</f>
        <v>0.37930799999999998</v>
      </c>
      <c r="AS11" s="21">
        <f>Indicadores!$L527</f>
        <v>0.60067333333333339</v>
      </c>
      <c r="AT11" s="21">
        <f>Indicadores!$L539</f>
        <v>0.49452740000000006</v>
      </c>
      <c r="AU11" s="21">
        <f>Indicadores!$L551</f>
        <v>0.50639199999999995</v>
      </c>
      <c r="AV11" s="21">
        <f>Indicadores!$L563</f>
        <v>1.0518501375386173</v>
      </c>
      <c r="AW11" s="21">
        <f>Indicadores!$L575</f>
        <v>7.4999999999999997E-2</v>
      </c>
      <c r="AX11" s="21">
        <f>Indicadores!$L587</f>
        <v>0.46438188468739272</v>
      </c>
      <c r="AY11" s="21">
        <f>Indicadores!$L599</f>
        <v>0.26935999999999999</v>
      </c>
      <c r="AZ11" s="21">
        <f>Indicadores!$L611</f>
        <v>0.70238765515660972</v>
      </c>
      <c r="BA11" s="21">
        <f>Indicadores!$L623</f>
        <v>0.1455357142857143</v>
      </c>
      <c r="BB11" s="21" t="e">
        <f>Indicadores!$L635</f>
        <v>#DIV/0!</v>
      </c>
      <c r="BC11" s="21">
        <f>Indicadores!$L647</f>
        <v>0.37171887550200805</v>
      </c>
      <c r="BD11" s="4">
        <f t="shared" si="1"/>
        <v>0.58006775555216661</v>
      </c>
      <c r="BE11" s="4">
        <f t="shared" si="2"/>
        <v>1.099948635873619</v>
      </c>
      <c r="BF11" s="4">
        <f t="shared" si="0"/>
        <v>6.0186875230714088E-2</v>
      </c>
      <c r="BG11" s="3">
        <f t="shared" si="3"/>
        <v>0.51988088032145252</v>
      </c>
    </row>
    <row r="12" spans="1:59" ht="14.4" x14ac:dyDescent="0.25">
      <c r="A12" s="20" t="s">
        <v>168</v>
      </c>
      <c r="B12" s="21">
        <f>Indicadores!$L12</f>
        <v>0.9264</v>
      </c>
      <c r="C12" s="21" t="e">
        <f>Indicadores!$L24</f>
        <v>#DIV/0!</v>
      </c>
      <c r="D12" s="21">
        <f>Indicadores!$L36</f>
        <v>0.41810265042149675</v>
      </c>
      <c r="E12" s="21">
        <f>Indicadores!$L48</f>
        <v>0.53516799999999998</v>
      </c>
      <c r="F12" s="21" t="e">
        <f>Indicadores!$L60</f>
        <v>#DIV/0!</v>
      </c>
      <c r="G12" s="21">
        <f>Indicadores!$L72</f>
        <v>0.84062857142857139</v>
      </c>
      <c r="H12" s="21" t="e">
        <f>Indicadores!$L84</f>
        <v>#DIV/0!</v>
      </c>
      <c r="I12" s="21">
        <f>Indicadores!$L96</f>
        <v>1.0866790544015659</v>
      </c>
      <c r="J12" s="21">
        <f>Indicadores!$L108</f>
        <v>1.0041949649175805</v>
      </c>
      <c r="K12" s="21">
        <f>Indicadores!$L120</f>
        <v>0.83247222222222217</v>
      </c>
      <c r="L12" s="21">
        <f>Indicadores!$L132</f>
        <v>0.37083333333333335</v>
      </c>
      <c r="M12" s="21">
        <f>Indicadores!$L144</f>
        <v>0.54418888888888894</v>
      </c>
      <c r="N12" s="21" t="e">
        <f>Indicadores!$L156</f>
        <v>#DIV/0!</v>
      </c>
      <c r="O12" s="21">
        <f>Indicadores!$L168</f>
        <v>1.0122143700757649</v>
      </c>
      <c r="P12" s="21">
        <f>Indicadores!$L180</f>
        <v>0.9618888888888889</v>
      </c>
      <c r="Q12" s="21">
        <f>Indicadores!$L192</f>
        <v>0.11842900302114803</v>
      </c>
      <c r="R12" s="21">
        <f>Indicadores!$L204</f>
        <v>0.50667692307692302</v>
      </c>
      <c r="S12" s="21">
        <f>Indicadores!$L216</f>
        <v>0.52260342555994732</v>
      </c>
      <c r="T12" s="21">
        <f>Indicadores!$L228</f>
        <v>3.1857142857142855E-2</v>
      </c>
      <c r="U12" s="21">
        <f>Indicadores!$L240</f>
        <v>1.2459399319170941</v>
      </c>
      <c r="V12" s="21">
        <f>Indicadores!$L252</f>
        <v>0.94113513513513514</v>
      </c>
      <c r="W12" s="21">
        <f>Indicadores!$L264</f>
        <v>0.98936740528949252</v>
      </c>
      <c r="X12" s="21" t="e">
        <f>Indicadores!$L276</f>
        <v>#DIV/0!</v>
      </c>
      <c r="Y12" s="21">
        <f>Indicadores!$L288</f>
        <v>0.32142857142857145</v>
      </c>
      <c r="Z12" s="21">
        <f>Indicadores!$L300</f>
        <v>0.87833425000000009</v>
      </c>
      <c r="AA12" s="21">
        <f>Indicadores!$L312</f>
        <v>0.7255094980630995</v>
      </c>
      <c r="AB12" s="21">
        <f>Indicadores!$L324</f>
        <v>0.25943495089836555</v>
      </c>
      <c r="AC12" s="21" t="e">
        <f>Indicadores!$L336</f>
        <v>#DIV/0!</v>
      </c>
      <c r="AD12" s="21">
        <f>Indicadores!$L348</f>
        <v>0.47566804934930834</v>
      </c>
      <c r="AE12" s="21" t="e">
        <f>Indicadores!$L360</f>
        <v>#DIV/0!</v>
      </c>
      <c r="AF12" s="21">
        <f>Indicadores!$L372</f>
        <v>0.78181903305558387</v>
      </c>
      <c r="AG12" s="21" t="e">
        <f>Indicadores!$L384</f>
        <v>#DIV/0!</v>
      </c>
      <c r="AH12" s="21">
        <f>Indicadores!$L396</f>
        <v>3.2687499999999998</v>
      </c>
      <c r="AI12" s="21">
        <f>Indicadores!$L408</f>
        <v>0.28091428571428573</v>
      </c>
      <c r="AJ12" s="21" t="e">
        <f>Indicadores!$L420</f>
        <v>#DIV/0!</v>
      </c>
      <c r="AK12" s="21" t="e">
        <f>Indicadores!$L432</f>
        <v>#DIV/0!</v>
      </c>
      <c r="AL12" s="21">
        <f>Indicadores!$L444</f>
        <v>0.83333529411764706</v>
      </c>
      <c r="AM12" s="21" t="e">
        <f>Indicadores!$L456</f>
        <v>#DIV/0!</v>
      </c>
      <c r="AN12" s="21">
        <f>Indicadores!$L468</f>
        <v>0.20782608695652174</v>
      </c>
      <c r="AO12" s="21" t="e">
        <f>Indicadores!$L480</f>
        <v>#DIV/0!</v>
      </c>
      <c r="AP12" s="21">
        <f>Indicadores!$L492</f>
        <v>1.0846750000000001</v>
      </c>
      <c r="AQ12" s="21">
        <f>Indicadores!$L504</f>
        <v>3.6734693877551024E-2</v>
      </c>
      <c r="AR12" s="21">
        <f>Indicadores!$L516</f>
        <v>0.94700799999999996</v>
      </c>
      <c r="AS12" s="21">
        <f>Indicadores!$L528</f>
        <v>0.67400666666666664</v>
      </c>
      <c r="AT12" s="21">
        <f>Indicadores!$L540</f>
        <v>0.50252740000000007</v>
      </c>
      <c r="AU12" s="21">
        <f>Indicadores!$L552</f>
        <v>0.69839200000000001</v>
      </c>
      <c r="AV12" s="21">
        <f>Indicadores!$L564</f>
        <v>1.1779531180022502</v>
      </c>
      <c r="AW12" s="21">
        <f>Indicadores!$L576</f>
        <v>0.97344750000000002</v>
      </c>
      <c r="AX12" s="21">
        <f>Indicadores!$L588</f>
        <v>0.46438188468739272</v>
      </c>
      <c r="AY12" s="21">
        <f>Indicadores!$L600</f>
        <v>0.32935999999999999</v>
      </c>
      <c r="AZ12" s="21">
        <f>Indicadores!$L612</f>
        <v>1.0438498112852483</v>
      </c>
      <c r="BA12" s="21">
        <f>Indicadores!$L624</f>
        <v>0.40982142857142856</v>
      </c>
      <c r="BB12" s="21" t="e">
        <f>Indicadores!$L636</f>
        <v>#DIV/0!</v>
      </c>
      <c r="BC12" s="21">
        <f>Indicadores!$L648</f>
        <v>0.37171887550200805</v>
      </c>
      <c r="BD12" s="4">
        <f t="shared" si="1"/>
        <v>0.72282137340514951</v>
      </c>
      <c r="BE12" s="4">
        <f t="shared" si="2"/>
        <v>1.2463651595014014</v>
      </c>
      <c r="BF12" s="4">
        <f t="shared" si="0"/>
        <v>0.19927758730889755</v>
      </c>
      <c r="BG12" s="3">
        <f t="shared" si="3"/>
        <v>0.52354378609625196</v>
      </c>
    </row>
    <row r="13" spans="1:59" ht="14.4" x14ac:dyDescent="0.25">
      <c r="A13" s="20" t="s">
        <v>169</v>
      </c>
      <c r="B13" s="21">
        <f>Indicadores!$L13</f>
        <v>1.0264</v>
      </c>
      <c r="C13" s="21" t="e">
        <f>Indicadores!$L25</f>
        <v>#DIV/0!</v>
      </c>
      <c r="D13" s="21">
        <f>Indicadores!$L37</f>
        <v>1.015774860351625</v>
      </c>
      <c r="E13" s="21">
        <f>Indicadores!$L49</f>
        <v>0.53516799999999998</v>
      </c>
      <c r="F13" s="21" t="e">
        <f>Indicadores!$L61</f>
        <v>#DIV/0!</v>
      </c>
      <c r="G13" s="21">
        <f>Indicadores!$L73</f>
        <v>1.0019857142857143</v>
      </c>
      <c r="H13" s="21" t="e">
        <f>Indicadores!$L85</f>
        <v>#DIV/0!</v>
      </c>
      <c r="I13" s="21">
        <f>Indicadores!$L97</f>
        <v>1.0866790544015659</v>
      </c>
      <c r="J13" s="21">
        <f>Indicadores!$L109</f>
        <v>1.0338413600948275</v>
      </c>
      <c r="K13" s="21">
        <f>Indicadores!$L121</f>
        <v>1.1438611111111112</v>
      </c>
      <c r="L13" s="21">
        <f>Indicadores!$L133</f>
        <v>0.45416666666666666</v>
      </c>
      <c r="M13" s="21">
        <f>Indicadores!$L145</f>
        <v>0.54885555555555554</v>
      </c>
      <c r="N13" s="21" t="e">
        <f>Indicadores!$L157</f>
        <v>#DIV/0!</v>
      </c>
      <c r="O13" s="21">
        <f>Indicadores!$L169</f>
        <v>1.0122143700757649</v>
      </c>
      <c r="P13" s="21">
        <f>Indicadores!$L181</f>
        <v>1.2027777777777777</v>
      </c>
      <c r="Q13" s="21">
        <f>Indicadores!$L193</f>
        <v>0.13595166163141995</v>
      </c>
      <c r="R13" s="21">
        <f>Indicadores!$L205</f>
        <v>0.56816923076923076</v>
      </c>
      <c r="S13" s="21">
        <f>Indicadores!$L217</f>
        <v>0.52260342555994732</v>
      </c>
      <c r="T13" s="21">
        <f>Indicadores!$L229</f>
        <v>3.1857142857142855E-2</v>
      </c>
      <c r="U13" s="21">
        <f>Indicadores!$L241</f>
        <v>1.2459399319170941</v>
      </c>
      <c r="V13" s="21">
        <f>Indicadores!$L253</f>
        <v>1.1666756756756758</v>
      </c>
      <c r="W13" s="21">
        <f>Indicadores!$L265</f>
        <v>1.0022337383845603</v>
      </c>
      <c r="X13" s="21" t="e">
        <f>Indicadores!$L277</f>
        <v>#DIV/0!</v>
      </c>
      <c r="Y13" s="21">
        <f>Indicadores!$L289</f>
        <v>0.32142857142857145</v>
      </c>
      <c r="Z13" s="21">
        <f>Indicadores!$L301</f>
        <v>1.1533342500000001</v>
      </c>
      <c r="AA13" s="21">
        <f>Indicadores!$L313</f>
        <v>1.0113960184782385</v>
      </c>
      <c r="AB13" s="21">
        <f>Indicadores!$L325</f>
        <v>0.25943495089836555</v>
      </c>
      <c r="AC13" s="21" t="e">
        <f>Indicadores!$L337</f>
        <v>#DIV/0!</v>
      </c>
      <c r="AD13" s="21">
        <f>Indicadores!$L349</f>
        <v>1.0042245998825017</v>
      </c>
      <c r="AE13" s="21" t="e">
        <f>Indicadores!$L361</f>
        <v>#DIV/0!</v>
      </c>
      <c r="AF13" s="21">
        <f>Indicadores!$L373</f>
        <v>1.0398627484551737</v>
      </c>
      <c r="AG13" s="21" t="e">
        <f>Indicadores!$L385</f>
        <v>#DIV/0!</v>
      </c>
      <c r="AH13" s="21">
        <f>Indicadores!$L397</f>
        <v>3.3552072916666669</v>
      </c>
      <c r="AI13" s="21">
        <f>Indicadores!$L409</f>
        <v>0.38091428571428571</v>
      </c>
      <c r="AJ13" s="21" t="e">
        <f>Indicadores!$L421</f>
        <v>#DIV/0!</v>
      </c>
      <c r="AK13" s="21" t="e">
        <f>Indicadores!$L433</f>
        <v>#DIV/0!</v>
      </c>
      <c r="AL13" s="21">
        <f>Indicadores!$L445</f>
        <v>1.0003355294117648</v>
      </c>
      <c r="AM13" s="21" t="e">
        <f>Indicadores!$L457</f>
        <v>#DIV/0!</v>
      </c>
      <c r="AN13" s="21">
        <f>Indicadores!$L469</f>
        <v>0.23130434782608697</v>
      </c>
      <c r="AO13" s="21" t="e">
        <f>Indicadores!$L481</f>
        <v>#DIV/0!</v>
      </c>
      <c r="AP13" s="21">
        <f>Indicadores!$L493</f>
        <v>1.0846750000000001</v>
      </c>
      <c r="AQ13" s="21">
        <f>Indicadores!$L505</f>
        <v>3.6734693877551024E-2</v>
      </c>
      <c r="AR13" s="21">
        <f>Indicadores!$L517</f>
        <v>1.0520080000000001</v>
      </c>
      <c r="AS13" s="21">
        <f>Indicadores!$L529</f>
        <v>1.09534</v>
      </c>
      <c r="AT13" s="21">
        <f>Indicadores!$L541</f>
        <v>0.51773308000000007</v>
      </c>
      <c r="AU13" s="21">
        <f>Indicadores!$L553</f>
        <v>0.69839200000000001</v>
      </c>
      <c r="AV13" s="21">
        <f>Indicadores!$L565</f>
        <v>1.1779531180022502</v>
      </c>
      <c r="AW13" s="21">
        <f>Indicadores!$L577</f>
        <v>1.0184475</v>
      </c>
      <c r="AX13" s="21">
        <f>Indicadores!$L589</f>
        <v>0.46438188468739272</v>
      </c>
      <c r="AY13" s="21">
        <f>Indicadores!$L601</f>
        <v>0.32935999999999999</v>
      </c>
      <c r="AZ13" s="21">
        <f>Indicadores!$L613</f>
        <v>1.0438498112852483</v>
      </c>
      <c r="BA13" s="21">
        <f>Indicadores!$L625</f>
        <v>0.40982142857142856</v>
      </c>
      <c r="BB13" s="21" t="e">
        <f>Indicadores!$L637</f>
        <v>#DIV/0!</v>
      </c>
      <c r="BC13" s="21">
        <f>Indicadores!$L649</f>
        <v>0.37171887550200805</v>
      </c>
      <c r="BD13" s="4">
        <f t="shared" si="1"/>
        <v>0.82421983567812696</v>
      </c>
      <c r="BE13" s="4">
        <f t="shared" si="2"/>
        <v>1.3730394926064369</v>
      </c>
      <c r="BF13" s="4">
        <f t="shared" si="0"/>
        <v>0.27540017874981693</v>
      </c>
      <c r="BG13" s="3">
        <f t="shared" si="3"/>
        <v>0.54881965692831003</v>
      </c>
    </row>
    <row r="25" spans="36:36" x14ac:dyDescent="0.25">
      <c r="AJ25" s="6"/>
    </row>
    <row r="26" spans="36:36" x14ac:dyDescent="0.25">
      <c r="AJ26" s="6"/>
    </row>
    <row r="27" spans="36:36" x14ac:dyDescent="0.25">
      <c r="AJ27" s="6"/>
    </row>
    <row r="28" spans="36:36" x14ac:dyDescent="0.25">
      <c r="AJ28" s="6"/>
    </row>
    <row r="29" spans="36:36" x14ac:dyDescent="0.25">
      <c r="AJ29" s="6"/>
    </row>
    <row r="30" spans="36:36" x14ac:dyDescent="0.25">
      <c r="AJ30" s="6"/>
    </row>
    <row r="31" spans="36:36" x14ac:dyDescent="0.25">
      <c r="AJ31" s="6"/>
    </row>
    <row r="32" spans="36:36" x14ac:dyDescent="0.25">
      <c r="AJ32" s="6"/>
    </row>
    <row r="33" spans="36:36" x14ac:dyDescent="0.25">
      <c r="AJ33" s="6"/>
    </row>
    <row r="34" spans="36:36" x14ac:dyDescent="0.25">
      <c r="AJ34" s="6"/>
    </row>
    <row r="35" spans="36:36" x14ac:dyDescent="0.25">
      <c r="AJ35" s="6"/>
    </row>
    <row r="36" spans="36:36" x14ac:dyDescent="0.25">
      <c r="AJ36" s="6"/>
    </row>
    <row r="37" spans="36:36" x14ac:dyDescent="0.25">
      <c r="AJ37" s="6"/>
    </row>
    <row r="38" spans="36:36" x14ac:dyDescent="0.25">
      <c r="AJ38" s="6"/>
    </row>
    <row r="39" spans="36:36" x14ac:dyDescent="0.25">
      <c r="AJ39" s="6"/>
    </row>
    <row r="40" spans="36:36" x14ac:dyDescent="0.25">
      <c r="AJ40" s="6"/>
    </row>
    <row r="41" spans="36:36" x14ac:dyDescent="0.25">
      <c r="AJ41" s="6"/>
    </row>
    <row r="42" spans="36:36" x14ac:dyDescent="0.25">
      <c r="AJ42" s="6"/>
    </row>
    <row r="43" spans="36:36" x14ac:dyDescent="0.25">
      <c r="AJ43" s="6"/>
    </row>
    <row r="44" spans="36:36" x14ac:dyDescent="0.25">
      <c r="AJ44" s="6"/>
    </row>
    <row r="45" spans="36:36" x14ac:dyDescent="0.25">
      <c r="AJ45" s="6"/>
    </row>
    <row r="46" spans="36:36" x14ac:dyDescent="0.25">
      <c r="AJ46" s="6"/>
    </row>
    <row r="47" spans="36:36" x14ac:dyDescent="0.25">
      <c r="AJ47" s="6"/>
    </row>
    <row r="48" spans="36:36" x14ac:dyDescent="0.25">
      <c r="AJ48" s="6"/>
    </row>
    <row r="49" spans="36:36" x14ac:dyDescent="0.25">
      <c r="AJ49" s="6"/>
    </row>
    <row r="50" spans="36:36" x14ac:dyDescent="0.25">
      <c r="AJ50" s="6"/>
    </row>
    <row r="51" spans="36:36" x14ac:dyDescent="0.25">
      <c r="AJ51" s="6"/>
    </row>
    <row r="52" spans="36:36" x14ac:dyDescent="0.25">
      <c r="AJ52" s="6"/>
    </row>
    <row r="53" spans="36:36" x14ac:dyDescent="0.25">
      <c r="AJ53" s="6"/>
    </row>
    <row r="54" spans="36:36" x14ac:dyDescent="0.25">
      <c r="AJ54" s="6"/>
    </row>
    <row r="55" spans="36:36" x14ac:dyDescent="0.25">
      <c r="AJ55" s="6"/>
    </row>
    <row r="56" spans="36:36" x14ac:dyDescent="0.25">
      <c r="AJ56" s="6"/>
    </row>
    <row r="57" spans="36:36" x14ac:dyDescent="0.25">
      <c r="AJ57" s="6"/>
    </row>
    <row r="58" spans="36:36" x14ac:dyDescent="0.25">
      <c r="AJ58" s="6"/>
    </row>
    <row r="59" spans="36:36" x14ac:dyDescent="0.25">
      <c r="AJ59" s="6"/>
    </row>
    <row r="60" spans="36:36" x14ac:dyDescent="0.25">
      <c r="AJ60" s="6"/>
    </row>
    <row r="61" spans="36:36" x14ac:dyDescent="0.25">
      <c r="AJ61" s="6"/>
    </row>
    <row r="62" spans="36:36" x14ac:dyDescent="0.25">
      <c r="AJ62" s="6"/>
    </row>
    <row r="63" spans="36:36" x14ac:dyDescent="0.25">
      <c r="AJ63" s="6"/>
    </row>
    <row r="64" spans="36:36" x14ac:dyDescent="0.25">
      <c r="AJ64" s="6"/>
    </row>
    <row r="65" spans="36:36" x14ac:dyDescent="0.25">
      <c r="AJ65" s="6"/>
    </row>
    <row r="66" spans="36:36" x14ac:dyDescent="0.25">
      <c r="AJ66" s="6"/>
    </row>
    <row r="67" spans="36:36" x14ac:dyDescent="0.25">
      <c r="AJ67" s="6"/>
    </row>
    <row r="68" spans="36:36" x14ac:dyDescent="0.25">
      <c r="AJ68" s="6"/>
    </row>
    <row r="69" spans="36:36" x14ac:dyDescent="0.25">
      <c r="AJ69" s="6"/>
    </row>
    <row r="70" spans="36:36" x14ac:dyDescent="0.25">
      <c r="AJ70" s="6"/>
    </row>
    <row r="71" spans="36:36" x14ac:dyDescent="0.25">
      <c r="AJ71" s="6"/>
    </row>
    <row r="72" spans="36:36" x14ac:dyDescent="0.25">
      <c r="AJ72" s="6"/>
    </row>
    <row r="73" spans="36:36" x14ac:dyDescent="0.25">
      <c r="AJ73" s="5"/>
    </row>
    <row r="74" spans="36:36" x14ac:dyDescent="0.25">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52F4-2CE8-4316-82AA-0D5BE6DD8992}">
  <dimension ref="A1:BG13"/>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defaultColWidth="17.8984375" defaultRowHeight="13.8" x14ac:dyDescent="0.25"/>
  <cols>
    <col min="1" max="16384" width="17.8984375" style="3"/>
  </cols>
  <sheetData>
    <row r="1" spans="1:59" s="25" customFormat="1" ht="14.4" x14ac:dyDescent="0.25">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4.4" x14ac:dyDescent="0.25">
      <c r="A2" s="20" t="s">
        <v>158</v>
      </c>
      <c r="B2" s="21">
        <f>Indicadores!E2</f>
        <v>0.30666666666666664</v>
      </c>
      <c r="C2" s="21" t="e">
        <f>Indicadores!E14</f>
        <v>#DIV/0!</v>
      </c>
      <c r="D2" s="21">
        <f>Indicadores!E26</f>
        <v>0</v>
      </c>
      <c r="E2" s="21">
        <f>Indicadores!E38</f>
        <v>0</v>
      </c>
      <c r="F2" s="21" t="e">
        <f>Indicadores!E50</f>
        <v>#DIV/0!</v>
      </c>
      <c r="G2" s="21">
        <f>Indicadores!E62</f>
        <v>0.42666666666666669</v>
      </c>
      <c r="H2" s="21" t="e">
        <f>Indicadores!E74</f>
        <v>#DIV/0!</v>
      </c>
      <c r="I2" s="21">
        <f>Indicadores!E86</f>
        <v>0</v>
      </c>
      <c r="J2" s="21">
        <f>Indicadores!E98</f>
        <v>0.62666666666666671</v>
      </c>
      <c r="K2" s="21">
        <f>Indicadores!E110</f>
        <v>0.12</v>
      </c>
      <c r="L2" s="21">
        <f>Indicadores!E122</f>
        <v>0</v>
      </c>
      <c r="M2" s="21">
        <f>Indicadores!E134</f>
        <v>0.14666666666666667</v>
      </c>
      <c r="N2" s="21" t="e">
        <f>Indicadores!E146</f>
        <v>#DIV/0!</v>
      </c>
      <c r="O2" s="21">
        <f>Indicadores!E158</f>
        <v>0</v>
      </c>
      <c r="P2" s="21">
        <f>Indicadores!E170</f>
        <v>0</v>
      </c>
      <c r="Q2" s="21">
        <f>Indicadores!E182</f>
        <v>0</v>
      </c>
      <c r="R2" s="21">
        <f>Indicadores!E194</f>
        <v>0.23333333333333334</v>
      </c>
      <c r="S2" s="21">
        <f>Indicadores!E206</f>
        <v>0</v>
      </c>
      <c r="T2" s="21">
        <f>Indicadores!E218</f>
        <v>0</v>
      </c>
      <c r="U2" s="21">
        <f>Indicadores!E230</f>
        <v>0</v>
      </c>
      <c r="V2" s="21">
        <f>Indicadores!E242</f>
        <v>0</v>
      </c>
      <c r="W2" s="21">
        <f>Indicadores!E254</f>
        <v>0.30882352941176472</v>
      </c>
      <c r="X2" s="21" t="e">
        <f>Indicadores!E266</f>
        <v>#DIV/0!</v>
      </c>
      <c r="Y2" s="21">
        <f>Indicadores!E278</f>
        <v>0</v>
      </c>
      <c r="Z2" s="21">
        <f>Indicadores!E290</f>
        <v>0.37333333333333335</v>
      </c>
      <c r="AA2" s="21">
        <f>Indicadores!E302</f>
        <v>0</v>
      </c>
      <c r="AB2" s="21">
        <f>Indicadores!E314</f>
        <v>0.25333333333333335</v>
      </c>
      <c r="AC2" s="21" t="e">
        <f>Indicadores!E326</f>
        <v>#DIV/0!</v>
      </c>
      <c r="AD2" s="21">
        <f>Indicadores!E338</f>
        <v>0</v>
      </c>
      <c r="AE2" s="21" t="e">
        <f>Indicadores!E350</f>
        <v>#DIV/0!</v>
      </c>
      <c r="AF2" s="21">
        <f>Indicadores!E362</f>
        <v>9.3333333333333338E-2</v>
      </c>
      <c r="AG2" s="21" t="e">
        <f>Indicadores!E374</f>
        <v>#DIV/0!</v>
      </c>
      <c r="AH2" s="21">
        <f>Indicadores!E386</f>
        <v>0.74285714285714288</v>
      </c>
      <c r="AI2" s="21">
        <f>Indicadores!E398</f>
        <v>0</v>
      </c>
      <c r="AJ2" s="21" t="e">
        <f>Indicadores!E410</f>
        <v>#DIV/0!</v>
      </c>
      <c r="AK2" s="21" t="e">
        <f>Indicadores!E422</f>
        <v>#DIV/0!</v>
      </c>
      <c r="AL2" s="21">
        <f>Indicadores!E434</f>
        <v>6.6666666666666666E-2</v>
      </c>
      <c r="AM2" s="21" t="e">
        <f>Indicadores!E446</f>
        <v>#DIV/0!</v>
      </c>
      <c r="AN2" s="21">
        <f>Indicadores!E458</f>
        <v>0</v>
      </c>
      <c r="AO2" s="21" t="e">
        <f>Indicadores!E470</f>
        <v>#DIV/0!</v>
      </c>
      <c r="AP2" s="21">
        <f>Indicadores!E482</f>
        <v>0</v>
      </c>
      <c r="AQ2" s="21">
        <f>Indicadores!E494</f>
        <v>0</v>
      </c>
      <c r="AR2" s="21">
        <f>Indicadores!E506</f>
        <v>0</v>
      </c>
      <c r="AS2" s="21">
        <f>Indicadores!E518</f>
        <v>0</v>
      </c>
      <c r="AT2" s="21">
        <f>Indicadores!E530</f>
        <v>0</v>
      </c>
      <c r="AU2" s="21">
        <f>Indicadores!E542</f>
        <v>0</v>
      </c>
      <c r="AV2" s="20">
        <f>Indicadores!E554</f>
        <v>0</v>
      </c>
      <c r="AW2" s="20">
        <f>Indicadores!E566</f>
        <v>0</v>
      </c>
      <c r="AX2" s="20">
        <f>Indicadores!E578</f>
        <v>0.22666666666666666</v>
      </c>
      <c r="AY2" s="20">
        <f>Indicadores!E590</f>
        <v>0.13333333333333333</v>
      </c>
      <c r="AZ2" s="20">
        <f>Indicadores!E602</f>
        <v>0.26666666666666666</v>
      </c>
      <c r="BA2" s="20">
        <f>Indicadores!E614</f>
        <v>0.42</v>
      </c>
      <c r="BB2" s="20" t="e">
        <f>Indicadores!E626</f>
        <v>#DIV/0!</v>
      </c>
      <c r="BC2" s="20">
        <f>Indicadores!E638</f>
        <v>0</v>
      </c>
      <c r="BD2" s="4">
        <f>AVERAGE(B2,D2:E2,G2,I2:K2,L2:M2,O2:W2,Y2:AB2,AD2,AF2,AH2:AI2,AL2,AN2,AP2:BA2,BC2)</f>
        <v>0.11573204891712785</v>
      </c>
      <c r="BE2" s="4">
        <f>BD2+BG2</f>
        <v>0.30218524997148988</v>
      </c>
      <c r="BF2" s="4">
        <f t="shared" ref="BF2:BF13" si="0">BD2-BG2</f>
        <v>-7.0721152137234206E-2</v>
      </c>
      <c r="BG2" s="3">
        <f>STDEV(B2,D2:E2,G2,I2:K2,L2:M2,O2:W2,Y2:AB2,AD2,AF2,AH2:AI2,AL2,AN2,AP2:BA2,BC2)</f>
        <v>0.18645320105436206</v>
      </c>
    </row>
    <row r="3" spans="1:59" ht="14.4" x14ac:dyDescent="0.25">
      <c r="A3" s="20" t="s">
        <v>159</v>
      </c>
      <c r="B3" s="21">
        <f>Indicadores!E3</f>
        <v>0.42666666666666669</v>
      </c>
      <c r="C3" s="20" t="e">
        <f>Indicadores!E15</f>
        <v>#DIV/0!</v>
      </c>
      <c r="D3" s="21">
        <f>Indicadores!E27</f>
        <v>0</v>
      </c>
      <c r="E3" s="21">
        <f>Indicadores!E39</f>
        <v>0.17333333333333334</v>
      </c>
      <c r="F3" s="21" t="e">
        <f>Indicadores!E51</f>
        <v>#DIV/0!</v>
      </c>
      <c r="G3" s="21">
        <f>Indicadores!E63</f>
        <v>0.70666666666666667</v>
      </c>
      <c r="H3" s="21" t="e">
        <f>Indicadores!E75</f>
        <v>#DIV/0!</v>
      </c>
      <c r="I3" s="21">
        <f>Indicadores!E87</f>
        <v>0</v>
      </c>
      <c r="J3" s="21">
        <f>Indicadores!E99</f>
        <v>0.7466666666666667</v>
      </c>
      <c r="K3" s="21">
        <f>Indicadores!E111</f>
        <v>0.2</v>
      </c>
      <c r="L3" s="21">
        <f>Indicadores!E123</f>
        <v>0</v>
      </c>
      <c r="M3" s="21">
        <f>Indicadores!E135</f>
        <v>0.28000000000000003</v>
      </c>
      <c r="N3" s="21" t="e">
        <f>Indicadores!E147</f>
        <v>#DIV/0!</v>
      </c>
      <c r="O3" s="21">
        <f>Indicadores!E159</f>
        <v>1.4074074074074074</v>
      </c>
      <c r="P3" s="21">
        <f>Indicadores!E171</f>
        <v>0</v>
      </c>
      <c r="Q3" s="21">
        <f>Indicadores!E183</f>
        <v>0</v>
      </c>
      <c r="R3" s="21">
        <f>Indicadores!E195</f>
        <v>0.3</v>
      </c>
      <c r="S3" s="21">
        <f>Indicadores!E207</f>
        <v>0</v>
      </c>
      <c r="T3" s="21">
        <f>Indicadores!E219</f>
        <v>9.3333333333333338E-2</v>
      </c>
      <c r="U3" s="21">
        <f>Indicadores!E231</f>
        <v>0.21212121212121213</v>
      </c>
      <c r="V3" s="21">
        <f>Indicadores!E243</f>
        <v>0.37333333333333335</v>
      </c>
      <c r="W3" s="21">
        <f>Indicadores!E255</f>
        <v>0.35294117647058826</v>
      </c>
      <c r="X3" s="21" t="e">
        <f>Indicadores!E267</f>
        <v>#DIV/0!</v>
      </c>
      <c r="Y3" s="21">
        <f>Indicadores!E279</f>
        <v>0</v>
      </c>
      <c r="Z3" s="21">
        <f>Indicadores!E291</f>
        <v>0.52</v>
      </c>
      <c r="AA3" s="21">
        <f>Indicadores!E303</f>
        <v>0</v>
      </c>
      <c r="AB3" s="21">
        <f>Indicadores!E315</f>
        <v>0.25333333333333335</v>
      </c>
      <c r="AC3" s="21" t="e">
        <f>Indicadores!E327</f>
        <v>#DIV/0!</v>
      </c>
      <c r="AD3" s="21">
        <f>Indicadores!E339</f>
        <v>0</v>
      </c>
      <c r="AE3" s="21" t="e">
        <f>Indicadores!E351</f>
        <v>#DIV/0!</v>
      </c>
      <c r="AF3" s="21">
        <f>Indicadores!E363</f>
        <v>9.3333333333333338E-2</v>
      </c>
      <c r="AG3" s="21" t="e">
        <f>Indicadores!E375</f>
        <v>#DIV/0!</v>
      </c>
      <c r="AH3" s="21">
        <f>Indicadores!E387</f>
        <v>0.74285714285714288</v>
      </c>
      <c r="AI3" s="21">
        <f>Indicadores!E399</f>
        <v>0</v>
      </c>
      <c r="AJ3" s="21" t="e">
        <f>Indicadores!E411</f>
        <v>#DIV/0!</v>
      </c>
      <c r="AK3" s="21" t="e">
        <f>Indicadores!E423</f>
        <v>#DIV/0!</v>
      </c>
      <c r="AL3" s="21">
        <f>Indicadores!E435</f>
        <v>6.6666666666666666E-2</v>
      </c>
      <c r="AM3" s="21" t="e">
        <f>Indicadores!E447</f>
        <v>#DIV/0!</v>
      </c>
      <c r="AN3" s="21">
        <f>Indicadores!E459</f>
        <v>0.2</v>
      </c>
      <c r="AO3" s="21" t="e">
        <f>Indicadores!E471</f>
        <v>#DIV/0!</v>
      </c>
      <c r="AP3" s="21">
        <f>Indicadores!E483</f>
        <v>0</v>
      </c>
      <c r="AQ3" s="21">
        <f>Indicadores!E495</f>
        <v>0</v>
      </c>
      <c r="AR3" s="21">
        <f>Indicadores!E507</f>
        <v>0</v>
      </c>
      <c r="AS3" s="21">
        <f>Indicadores!E519</f>
        <v>0.48</v>
      </c>
      <c r="AT3" s="21">
        <f>Indicadores!E531</f>
        <v>0</v>
      </c>
      <c r="AU3" s="21">
        <f>Indicadores!E543</f>
        <v>0</v>
      </c>
      <c r="AV3" s="20">
        <f>Indicadores!E555</f>
        <v>8.2191780821917804E-2</v>
      </c>
      <c r="AW3" s="20">
        <f>Indicadores!E567</f>
        <v>0</v>
      </c>
      <c r="AX3" s="20">
        <f>Indicadores!E579</f>
        <v>0.22666666666666666</v>
      </c>
      <c r="AY3" s="20">
        <f>Indicadores!E591</f>
        <v>0.13333333333333333</v>
      </c>
      <c r="AZ3" s="20">
        <f>Indicadores!E603</f>
        <v>0.26666666666666666</v>
      </c>
      <c r="BA3" s="20">
        <f>Indicadores!E615</f>
        <v>0.42</v>
      </c>
      <c r="BB3" s="20" t="e">
        <f>Indicadores!E627</f>
        <v>#DIV/0!</v>
      </c>
      <c r="BC3" s="20">
        <f>Indicadores!E639</f>
        <v>0.50769230769230766</v>
      </c>
      <c r="BD3" s="4">
        <f t="shared" ref="BD3:BD13" si="1">AVERAGE(B3,D3:E3,G3,I3:K3,L3:M3,O3:W3,Y3:AB3,AD3,AF3,AH3:AI3,AL3,AN3,AP3:BA3,BC3)</f>
        <v>0.22598075676513599</v>
      </c>
      <c r="BE3" s="4">
        <f t="shared" ref="BE3:BE13" si="2">BD3+BG3</f>
        <v>0.51894873552035481</v>
      </c>
      <c r="BF3" s="4">
        <f t="shared" si="0"/>
        <v>-6.6987221990082807E-2</v>
      </c>
      <c r="BG3" s="3">
        <f>STDEV(B3,D3:E3,G3,I3:K3,L3:M3,O3:W3,Y3:AB3,AD3,AF3,AH3:AI3,AL3,AN3,AP3:BA3,BC3)</f>
        <v>0.29296797875521879</v>
      </c>
    </row>
    <row r="4" spans="1:59" ht="14.4" x14ac:dyDescent="0.25">
      <c r="A4" s="20" t="s">
        <v>160</v>
      </c>
      <c r="B4" s="21">
        <f>Indicadores!E4</f>
        <v>0.42666666666666669</v>
      </c>
      <c r="C4" s="20" t="e">
        <f>Indicadores!E16</f>
        <v>#DIV/0!</v>
      </c>
      <c r="D4" s="21">
        <f>Indicadores!E28</f>
        <v>0</v>
      </c>
      <c r="E4" s="21">
        <f>Indicadores!E40</f>
        <v>0.33333333333333331</v>
      </c>
      <c r="F4" s="21" t="e">
        <f>Indicadores!E52</f>
        <v>#DIV/0!</v>
      </c>
      <c r="G4" s="21">
        <f>Indicadores!E64</f>
        <v>0.73333333333333328</v>
      </c>
      <c r="H4" s="21" t="e">
        <f>Indicadores!E76</f>
        <v>#DIV/0!</v>
      </c>
      <c r="I4" s="21">
        <f>Indicadores!E88</f>
        <v>0</v>
      </c>
      <c r="J4" s="21">
        <f>Indicadores!E100</f>
        <v>0.7466666666666667</v>
      </c>
      <c r="K4" s="21">
        <f>Indicadores!E112</f>
        <v>0.28000000000000003</v>
      </c>
      <c r="L4" s="21">
        <f>Indicadores!E124</f>
        <v>0</v>
      </c>
      <c r="M4" s="21">
        <f>Indicadores!E136</f>
        <v>0.42666666666666669</v>
      </c>
      <c r="N4" s="21" t="e">
        <f>Indicadores!E148</f>
        <v>#DIV/0!</v>
      </c>
      <c r="O4" s="21">
        <f>Indicadores!E160</f>
        <v>1.4074074074074074</v>
      </c>
      <c r="P4" s="21">
        <f>Indicadores!E172</f>
        <v>0</v>
      </c>
      <c r="Q4" s="21">
        <f>Indicadores!E184</f>
        <v>0</v>
      </c>
      <c r="R4" s="21">
        <f>Indicadores!E196</f>
        <v>0.3</v>
      </c>
      <c r="S4" s="21">
        <f>Indicadores!E208</f>
        <v>0</v>
      </c>
      <c r="T4" s="21">
        <f>Indicadores!E220</f>
        <v>9.3333333333333338E-2</v>
      </c>
      <c r="U4" s="21">
        <f>Indicadores!E232</f>
        <v>0.21212121212121213</v>
      </c>
      <c r="V4" s="21">
        <f>Indicadores!E244</f>
        <v>0.6</v>
      </c>
      <c r="W4" s="21">
        <f>Indicadores!E256</f>
        <v>0.41176470588235292</v>
      </c>
      <c r="X4" s="21" t="e">
        <f>Indicadores!E268</f>
        <v>#DIV/0!</v>
      </c>
      <c r="Y4" s="21">
        <f>Indicadores!E280</f>
        <v>0</v>
      </c>
      <c r="Z4" s="21">
        <f>Indicadores!E292</f>
        <v>0.52</v>
      </c>
      <c r="AA4" s="21">
        <f>Indicadores!E304</f>
        <v>0</v>
      </c>
      <c r="AB4" s="21">
        <f>Indicadores!E316</f>
        <v>0.25333333333333335</v>
      </c>
      <c r="AC4" s="21" t="e">
        <f>Indicadores!E328</f>
        <v>#DIV/0!</v>
      </c>
      <c r="AD4" s="21">
        <f>Indicadores!E340</f>
        <v>0</v>
      </c>
      <c r="AE4" s="21" t="e">
        <f>Indicadores!E352</f>
        <v>#DIV/0!</v>
      </c>
      <c r="AF4" s="21">
        <f>Indicadores!E364</f>
        <v>9.3333333333333338E-2</v>
      </c>
      <c r="AG4" s="21" t="e">
        <f>Indicadores!E376</f>
        <v>#DIV/0!</v>
      </c>
      <c r="AH4" s="21">
        <f>Indicadores!E388</f>
        <v>0.74285714285714288</v>
      </c>
      <c r="AI4" s="21">
        <f>Indicadores!E400</f>
        <v>0</v>
      </c>
      <c r="AJ4" s="21" t="e">
        <f>Indicadores!E412</f>
        <v>#DIV/0!</v>
      </c>
      <c r="AK4" s="21" t="e">
        <f>Indicadores!E424</f>
        <v>#DIV/0!</v>
      </c>
      <c r="AL4" s="21">
        <f>Indicadores!E436</f>
        <v>0.18666666666666668</v>
      </c>
      <c r="AM4" s="21" t="e">
        <f>Indicadores!E448</f>
        <v>#DIV/0!</v>
      </c>
      <c r="AN4" s="21">
        <f>Indicadores!E460</f>
        <v>0.2</v>
      </c>
      <c r="AO4" s="21" t="e">
        <f>Indicadores!E472</f>
        <v>#DIV/0!</v>
      </c>
      <c r="AP4" s="21">
        <f>Indicadores!E484</f>
        <v>0.7466666666666667</v>
      </c>
      <c r="AQ4" s="21">
        <f>Indicadores!E496</f>
        <v>0</v>
      </c>
      <c r="AR4" s="21">
        <f>Indicadores!E508</f>
        <v>0</v>
      </c>
      <c r="AS4" s="21">
        <f>Indicadores!E520</f>
        <v>0.48</v>
      </c>
      <c r="AT4" s="21">
        <f>Indicadores!E532</f>
        <v>0</v>
      </c>
      <c r="AU4" s="21">
        <f>Indicadores!E544</f>
        <v>0.10666666666666667</v>
      </c>
      <c r="AV4" s="20">
        <f>Indicadores!E556</f>
        <v>0.21917808219178081</v>
      </c>
      <c r="AW4" s="20">
        <f>Indicadores!E568</f>
        <v>0</v>
      </c>
      <c r="AX4" s="20">
        <f>Indicadores!E580</f>
        <v>0.53333333333333333</v>
      </c>
      <c r="AY4" s="20">
        <f>Indicadores!E592</f>
        <v>0.13333333333333333</v>
      </c>
      <c r="AZ4" s="20">
        <f>Indicadores!E604</f>
        <v>0.48</v>
      </c>
      <c r="BA4" s="20">
        <f>Indicadores!E616</f>
        <v>0.42</v>
      </c>
      <c r="BB4" s="20" t="e">
        <f>Indicadores!E628</f>
        <v>#DIV/0!</v>
      </c>
      <c r="BC4" s="20">
        <f>Indicadores!E640</f>
        <v>0.50769230769230766</v>
      </c>
      <c r="BD4" s="4">
        <f t="shared" si="1"/>
        <v>0.2827891266215985</v>
      </c>
      <c r="BE4" s="4">
        <f t="shared" si="2"/>
        <v>0.59134445337262298</v>
      </c>
      <c r="BF4" s="4">
        <f t="shared" si="0"/>
        <v>-2.5766200129425987E-2</v>
      </c>
      <c r="BG4" s="3">
        <f t="shared" ref="BG4:BG13" si="3">STDEV(B4,D4:E4,G4,I4:K4,L4:M4,O4:W4,Y4:AB4,AD4,AF4,AH4:AI4,AL4,AN4,AP4:BA4,BC4)</f>
        <v>0.30855532675102448</v>
      </c>
    </row>
    <row r="5" spans="1:59" ht="14.4" x14ac:dyDescent="0.25">
      <c r="A5" s="20" t="s">
        <v>161</v>
      </c>
      <c r="B5" s="21">
        <f>Indicadores!E5</f>
        <v>0.48</v>
      </c>
      <c r="C5" s="20" t="e">
        <f>Indicadores!E17</f>
        <v>#DIV/0!</v>
      </c>
      <c r="D5" s="21">
        <f>Indicadores!E29</f>
        <v>0</v>
      </c>
      <c r="E5" s="21">
        <f>Indicadores!E41</f>
        <v>0.37333333333333335</v>
      </c>
      <c r="F5" s="21" t="e">
        <f>Indicadores!E53</f>
        <v>#DIV/0!</v>
      </c>
      <c r="G5" s="21">
        <f>Indicadores!E65</f>
        <v>0.76</v>
      </c>
      <c r="H5" s="21" t="e">
        <f>Indicadores!E77</f>
        <v>#DIV/0!</v>
      </c>
      <c r="I5" s="21">
        <f>Indicadores!E89</f>
        <v>0</v>
      </c>
      <c r="J5" s="21">
        <f>Indicadores!E101</f>
        <v>0.7466666666666667</v>
      </c>
      <c r="K5" s="21">
        <f>Indicadores!E113</f>
        <v>0.34666666666666668</v>
      </c>
      <c r="L5" s="21">
        <f>Indicadores!E125</f>
        <v>0.20754716981132076</v>
      </c>
      <c r="M5" s="21">
        <f>Indicadores!E137</f>
        <v>0.52</v>
      </c>
      <c r="N5" s="21" t="e">
        <f>Indicadores!E149</f>
        <v>#DIV/0!</v>
      </c>
      <c r="O5" s="21">
        <f>Indicadores!E161</f>
        <v>1.4074074074074074</v>
      </c>
      <c r="P5" s="21">
        <f>Indicadores!E173</f>
        <v>0</v>
      </c>
      <c r="Q5" s="21">
        <f>Indicadores!E185</f>
        <v>0</v>
      </c>
      <c r="R5" s="21">
        <f>Indicadores!E197</f>
        <v>0.3</v>
      </c>
      <c r="S5" s="21">
        <f>Indicadores!E209</f>
        <v>0</v>
      </c>
      <c r="T5" s="21">
        <f>Indicadores!E221</f>
        <v>0.28000000000000003</v>
      </c>
      <c r="U5" s="21">
        <f>Indicadores!E233</f>
        <v>0.40909090909090912</v>
      </c>
      <c r="V5" s="21">
        <f>Indicadores!E245</f>
        <v>0.62666666666666671</v>
      </c>
      <c r="W5" s="21">
        <f>Indicadores!E257</f>
        <v>0.41176470588235292</v>
      </c>
      <c r="X5" s="21" t="e">
        <f>Indicadores!E269</f>
        <v>#DIV/0!</v>
      </c>
      <c r="Y5" s="21">
        <f>Indicadores!E281</f>
        <v>0.35555555555555557</v>
      </c>
      <c r="Z5" s="21">
        <f>Indicadores!E293</f>
        <v>0.81333333333333335</v>
      </c>
      <c r="AA5" s="21">
        <f>Indicadores!E305</f>
        <v>0</v>
      </c>
      <c r="AB5" s="21">
        <f>Indicadores!E317</f>
        <v>0.25333333333333335</v>
      </c>
      <c r="AC5" s="21" t="e">
        <f>Indicadores!E329</f>
        <v>#DIV/0!</v>
      </c>
      <c r="AD5" s="21">
        <f>Indicadores!E341</f>
        <v>0</v>
      </c>
      <c r="AE5" s="21" t="e">
        <f>Indicadores!E353</f>
        <v>#DIV/0!</v>
      </c>
      <c r="AF5" s="21">
        <f>Indicadores!E365</f>
        <v>0.17333333333333334</v>
      </c>
      <c r="AG5" s="21" t="e">
        <f>Indicadores!E377</f>
        <v>#DIV/0!</v>
      </c>
      <c r="AH5" s="21">
        <f>Indicadores!E389</f>
        <v>1.0571428571428572</v>
      </c>
      <c r="AI5" s="21">
        <f>Indicadores!E401</f>
        <v>0.54666666666666663</v>
      </c>
      <c r="AJ5" s="21" t="e">
        <f>Indicadores!E413</f>
        <v>#DIV/0!</v>
      </c>
      <c r="AK5" s="21" t="e">
        <f>Indicadores!E425</f>
        <v>#DIV/0!</v>
      </c>
      <c r="AL5" s="21">
        <f>Indicadores!E437</f>
        <v>0.25333333333333335</v>
      </c>
      <c r="AM5" s="21" t="e">
        <f>Indicadores!E449</f>
        <v>#DIV/0!</v>
      </c>
      <c r="AN5" s="21">
        <f>Indicadores!E461</f>
        <v>0.25333333333333335</v>
      </c>
      <c r="AO5" s="21" t="e">
        <f>Indicadores!E473</f>
        <v>#DIV/0!</v>
      </c>
      <c r="AP5" s="21">
        <f>Indicadores!E485</f>
        <v>0.7466666666666667</v>
      </c>
      <c r="AQ5" s="21">
        <f>Indicadores!E497</f>
        <v>0</v>
      </c>
      <c r="AR5" s="21">
        <f>Indicadores!E509</f>
        <v>0.21666666666666667</v>
      </c>
      <c r="AS5" s="21">
        <f>Indicadores!E521</f>
        <v>0.48</v>
      </c>
      <c r="AT5" s="21">
        <f>Indicadores!E533</f>
        <v>0</v>
      </c>
      <c r="AU5" s="21">
        <f>Indicadores!E545</f>
        <v>0.22666666666666666</v>
      </c>
      <c r="AV5" s="20">
        <f>Indicadores!E557</f>
        <v>0.43835616438356162</v>
      </c>
      <c r="AW5" s="20">
        <f>Indicadores!E569</f>
        <v>0</v>
      </c>
      <c r="AX5" s="20">
        <f>Indicadores!E581</f>
        <v>0.62666666666666671</v>
      </c>
      <c r="AY5" s="20">
        <f>Indicadores!E593</f>
        <v>0.13333333333333333</v>
      </c>
      <c r="AZ5" s="20">
        <f>Indicadores!E605</f>
        <v>0.48</v>
      </c>
      <c r="BA5" s="20">
        <f>Indicadores!E617</f>
        <v>0.42</v>
      </c>
      <c r="BB5" s="20" t="e">
        <f>Indicadores!E629</f>
        <v>#DIV/0!</v>
      </c>
      <c r="BC5" s="20">
        <f>Indicadores!E641</f>
        <v>0.50769230769230766</v>
      </c>
      <c r="BD5" s="4">
        <f t="shared" si="1"/>
        <v>0.36222496935690102</v>
      </c>
      <c r="BE5" s="4">
        <f t="shared" si="2"/>
        <v>0.67917151968337719</v>
      </c>
      <c r="BF5" s="4">
        <f t="shared" si="0"/>
        <v>4.5278419030424844E-2</v>
      </c>
      <c r="BG5" s="3">
        <f t="shared" si="3"/>
        <v>0.31694655032647617</v>
      </c>
    </row>
    <row r="6" spans="1:59" ht="14.4" x14ac:dyDescent="0.25">
      <c r="A6" s="20" t="s">
        <v>162</v>
      </c>
      <c r="B6" s="21">
        <f>Indicadores!E6</f>
        <v>0.66666666666666663</v>
      </c>
      <c r="C6" s="20" t="e">
        <f>Indicadores!E18</f>
        <v>#DIV/0!</v>
      </c>
      <c r="D6" s="21">
        <f>Indicadores!E30</f>
        <v>0.94285714285714284</v>
      </c>
      <c r="E6" s="21">
        <f>Indicadores!E42</f>
        <v>0.61333333333333329</v>
      </c>
      <c r="F6" s="21" t="e">
        <f>Indicadores!E54</f>
        <v>#DIV/0!</v>
      </c>
      <c r="G6" s="21">
        <f>Indicadores!E66</f>
        <v>0.84</v>
      </c>
      <c r="H6" s="21" t="e">
        <f>Indicadores!E78</f>
        <v>#DIV/0!</v>
      </c>
      <c r="I6" s="21">
        <f>Indicadores!E90</f>
        <v>0</v>
      </c>
      <c r="J6" s="21">
        <f>Indicadores!E102</f>
        <v>0.7466666666666667</v>
      </c>
      <c r="K6" s="21">
        <f>Indicadores!E114</f>
        <v>0.62666666666666671</v>
      </c>
      <c r="L6" s="21">
        <f>Indicadores!E126</f>
        <v>0.20754716981132076</v>
      </c>
      <c r="M6" s="21">
        <f>Indicadores!E138</f>
        <v>0.66666666666666663</v>
      </c>
      <c r="N6" s="21" t="e">
        <f>Indicadores!E150</f>
        <v>#DIV/0!</v>
      </c>
      <c r="O6" s="21">
        <f>Indicadores!E162</f>
        <v>1.4074074074074074</v>
      </c>
      <c r="P6" s="21">
        <f>Indicadores!E174</f>
        <v>0</v>
      </c>
      <c r="Q6" s="21">
        <f>Indicadores!E186</f>
        <v>0</v>
      </c>
      <c r="R6" s="21">
        <f>Indicadores!E198</f>
        <v>0.3</v>
      </c>
      <c r="S6" s="21">
        <f>Indicadores!E210</f>
        <v>0</v>
      </c>
      <c r="T6" s="21">
        <f>Indicadores!E222</f>
        <v>0.48</v>
      </c>
      <c r="U6" s="21">
        <f>Indicadores!E234</f>
        <v>0.83333333333333337</v>
      </c>
      <c r="V6" s="21">
        <f>Indicadores!E246</f>
        <v>0.66666666666666663</v>
      </c>
      <c r="W6" s="21">
        <f>Indicadores!E258</f>
        <v>0.41176470588235292</v>
      </c>
      <c r="X6" s="21" t="e">
        <f>Indicadores!E270</f>
        <v>#DIV/0!</v>
      </c>
      <c r="Y6" s="21">
        <f>Indicadores!E282</f>
        <v>0.35555555555555557</v>
      </c>
      <c r="Z6" s="21">
        <f>Indicadores!E294</f>
        <v>0.85333333333333339</v>
      </c>
      <c r="AA6" s="21">
        <f>Indicadores!E306</f>
        <v>0</v>
      </c>
      <c r="AB6" s="21">
        <f>Indicadores!E318</f>
        <v>0.25333333333333335</v>
      </c>
      <c r="AC6" s="21" t="e">
        <f>Indicadores!E330</f>
        <v>#DIV/0!</v>
      </c>
      <c r="AD6" s="21">
        <f>Indicadores!E342</f>
        <v>0</v>
      </c>
      <c r="AE6" s="21" t="e">
        <f>Indicadores!E354</f>
        <v>#DIV/0!</v>
      </c>
      <c r="AF6" s="21">
        <f>Indicadores!E366</f>
        <v>0.26666666666666666</v>
      </c>
      <c r="AG6" s="21" t="e">
        <f>Indicadores!E378</f>
        <v>#DIV/0!</v>
      </c>
      <c r="AH6" s="21">
        <f>Indicadores!E390</f>
        <v>1.0571428571428572</v>
      </c>
      <c r="AI6" s="21">
        <f>Indicadores!E402</f>
        <v>0.54666666666666663</v>
      </c>
      <c r="AJ6" s="21" t="e">
        <f>Indicadores!E414</f>
        <v>#DIV/0!</v>
      </c>
      <c r="AK6" s="21" t="e">
        <f>Indicadores!E426</f>
        <v>#DIV/0!</v>
      </c>
      <c r="AL6" s="21">
        <f>Indicadores!E438</f>
        <v>0.36</v>
      </c>
      <c r="AM6" s="21" t="e">
        <f>Indicadores!E450</f>
        <v>#DIV/0!</v>
      </c>
      <c r="AN6" s="21">
        <f>Indicadores!E462</f>
        <v>0.30666666666666664</v>
      </c>
      <c r="AO6" s="21" t="e">
        <f>Indicadores!E474</f>
        <v>#DIV/0!</v>
      </c>
      <c r="AP6" s="21">
        <f>Indicadores!E486</f>
        <v>0.7466666666666667</v>
      </c>
      <c r="AQ6" s="21">
        <f>Indicadores!E498</f>
        <v>0</v>
      </c>
      <c r="AR6" s="21">
        <f>Indicadores!E510</f>
        <v>0.21666666666666667</v>
      </c>
      <c r="AS6" s="21">
        <f>Indicadores!E522</f>
        <v>0.73333333333333328</v>
      </c>
      <c r="AT6" s="21">
        <f>Indicadores!E534</f>
        <v>0</v>
      </c>
      <c r="AU6" s="21">
        <f>Indicadores!E546</f>
        <v>0.37333333333333335</v>
      </c>
      <c r="AV6" s="20">
        <f>Indicadores!E558</f>
        <v>0.43835616438356162</v>
      </c>
      <c r="AW6" s="20">
        <f>Indicadores!E570</f>
        <v>0.2</v>
      </c>
      <c r="AX6" s="20">
        <f>Indicadores!E582</f>
        <v>0.66666666666666663</v>
      </c>
      <c r="AY6" s="20">
        <f>Indicadores!E594</f>
        <v>0.13333333333333333</v>
      </c>
      <c r="AZ6" s="20">
        <f>Indicadores!E606</f>
        <v>0.53333333333333333</v>
      </c>
      <c r="BA6" s="20">
        <f>Indicadores!E618</f>
        <v>0.42</v>
      </c>
      <c r="BB6" s="20" t="e">
        <f>Indicadores!E630</f>
        <v>#DIV/0!</v>
      </c>
      <c r="BC6" s="20">
        <f>Indicadores!E642</f>
        <v>0.50769230769230766</v>
      </c>
      <c r="BD6" s="4">
        <f t="shared" si="1"/>
        <v>0.44825178806664662</v>
      </c>
      <c r="BE6" s="4">
        <f t="shared" si="2"/>
        <v>0.78548221403733831</v>
      </c>
      <c r="BF6" s="4">
        <f t="shared" si="0"/>
        <v>0.11102136209595498</v>
      </c>
      <c r="BG6" s="3">
        <f t="shared" si="3"/>
        <v>0.33723042597069164</v>
      </c>
    </row>
    <row r="7" spans="1:59" ht="14.4" x14ac:dyDescent="0.25">
      <c r="A7" s="20" t="s">
        <v>163</v>
      </c>
      <c r="B7" s="21">
        <f>Indicadores!E7</f>
        <v>0.66666666666666663</v>
      </c>
      <c r="C7" s="20" t="e">
        <f>Indicadores!E19</f>
        <v>#DIV/0!</v>
      </c>
      <c r="D7" s="21">
        <f>Indicadores!E31</f>
        <v>0.94285714285714284</v>
      </c>
      <c r="E7" s="21">
        <f>Indicadores!E43</f>
        <v>0.61333333333333329</v>
      </c>
      <c r="F7" s="21" t="e">
        <f>Indicadores!E55</f>
        <v>#DIV/0!</v>
      </c>
      <c r="G7" s="21">
        <f>Indicadores!E67</f>
        <v>1.0133333333333334</v>
      </c>
      <c r="H7" s="21" t="e">
        <f>Indicadores!E79</f>
        <v>#DIV/0!</v>
      </c>
      <c r="I7" s="21">
        <f>Indicadores!E91</f>
        <v>0</v>
      </c>
      <c r="J7" s="21">
        <f>Indicadores!E103</f>
        <v>0.93333333333333335</v>
      </c>
      <c r="K7" s="21">
        <f>Indicadores!E115</f>
        <v>0.62666666666666671</v>
      </c>
      <c r="L7" s="21">
        <f>Indicadores!E127</f>
        <v>0.20754716981132076</v>
      </c>
      <c r="M7" s="21">
        <f>Indicadores!E139</f>
        <v>0.72</v>
      </c>
      <c r="N7" s="21" t="e">
        <f>Indicadores!E151</f>
        <v>#DIV/0!</v>
      </c>
      <c r="O7" s="21">
        <f>Indicadores!E163</f>
        <v>1.5185185185185186</v>
      </c>
      <c r="P7" s="21">
        <f>Indicadores!E175</f>
        <v>0</v>
      </c>
      <c r="Q7" s="21">
        <f>Indicadores!E187</f>
        <v>0.29333333333333333</v>
      </c>
      <c r="R7" s="21">
        <f>Indicadores!E199</f>
        <v>0.3</v>
      </c>
      <c r="S7" s="21">
        <f>Indicadores!E211</f>
        <v>0</v>
      </c>
      <c r="T7" s="21">
        <f>Indicadores!E223</f>
        <v>0.48</v>
      </c>
      <c r="U7" s="21">
        <f>Indicadores!E235</f>
        <v>0.83333333333333337</v>
      </c>
      <c r="V7" s="21">
        <f>Indicadores!E247</f>
        <v>0.90666666666666662</v>
      </c>
      <c r="W7" s="21">
        <f>Indicadores!E259</f>
        <v>0.41176470588235292</v>
      </c>
      <c r="X7" s="21" t="e">
        <f>Indicadores!E271</f>
        <v>#DIV/0!</v>
      </c>
      <c r="Y7" s="21">
        <f>Indicadores!E283</f>
        <v>0.35555555555555557</v>
      </c>
      <c r="Z7" s="21">
        <f>Indicadores!E295</f>
        <v>0.85333333333333339</v>
      </c>
      <c r="AA7" s="21">
        <f>Indicadores!E307</f>
        <v>0</v>
      </c>
      <c r="AB7" s="21">
        <f>Indicadores!E319</f>
        <v>0.94666666666666666</v>
      </c>
      <c r="AC7" s="21" t="e">
        <f>Indicadores!E331</f>
        <v>#DIV/0!</v>
      </c>
      <c r="AD7" s="21">
        <f>Indicadores!E343</f>
        <v>0</v>
      </c>
      <c r="AE7" s="21" t="e">
        <f>Indicadores!E355</f>
        <v>#DIV/0!</v>
      </c>
      <c r="AF7" s="21">
        <f>Indicadores!E367</f>
        <v>0.50666666666666671</v>
      </c>
      <c r="AG7" s="21" t="e">
        <f>Indicadores!E379</f>
        <v>#DIV/0!</v>
      </c>
      <c r="AH7" s="21">
        <f>Indicadores!E391</f>
        <v>1.1142857142857143</v>
      </c>
      <c r="AI7" s="21">
        <f>Indicadores!E403</f>
        <v>0.54666666666666663</v>
      </c>
      <c r="AJ7" s="21" t="e">
        <f>Indicadores!E415</f>
        <v>#DIV/0!</v>
      </c>
      <c r="AK7" s="21" t="e">
        <f>Indicadores!E427</f>
        <v>#DIV/0!</v>
      </c>
      <c r="AL7" s="21">
        <f>Indicadores!E439</f>
        <v>0.57333333333333336</v>
      </c>
      <c r="AM7" s="21" t="e">
        <f>Indicadores!E451</f>
        <v>#DIV/0!</v>
      </c>
      <c r="AN7" s="21">
        <f>Indicadores!E463</f>
        <v>0.30666666666666664</v>
      </c>
      <c r="AO7" s="21" t="e">
        <f>Indicadores!E475</f>
        <v>#DIV/0!</v>
      </c>
      <c r="AP7" s="21">
        <f>Indicadores!E487</f>
        <v>0.7466666666666667</v>
      </c>
      <c r="AQ7" s="21">
        <f>Indicadores!E499</f>
        <v>0</v>
      </c>
      <c r="AR7" s="21">
        <f>Indicadores!E511</f>
        <v>0.41666666666666669</v>
      </c>
      <c r="AS7" s="21">
        <f>Indicadores!E523</f>
        <v>0.97333333333333338</v>
      </c>
      <c r="AT7" s="21">
        <f>Indicadores!E535</f>
        <v>0</v>
      </c>
      <c r="AU7" s="21">
        <f>Indicadores!E547</f>
        <v>0.37333333333333335</v>
      </c>
      <c r="AV7" s="20">
        <f>Indicadores!E559</f>
        <v>0.43835616438356162</v>
      </c>
      <c r="AW7" s="20">
        <f>Indicadores!E571</f>
        <v>0.2</v>
      </c>
      <c r="AX7" s="20">
        <f>Indicadores!E583</f>
        <v>0.66666666666666663</v>
      </c>
      <c r="AY7" s="20">
        <f>Indicadores!E595</f>
        <v>0.32</v>
      </c>
      <c r="AZ7" s="20">
        <f>Indicadores!E607</f>
        <v>0.64</v>
      </c>
      <c r="BA7" s="20">
        <f>Indicadores!E619</f>
        <v>0.42</v>
      </c>
      <c r="BB7" s="20" t="e">
        <f>Indicadores!E631</f>
        <v>#DIV/0!</v>
      </c>
      <c r="BC7" s="20">
        <f>Indicadores!E643</f>
        <v>1.3692307692307693</v>
      </c>
      <c r="BD7" s="4">
        <f t="shared" si="1"/>
        <v>0.54231176602906361</v>
      </c>
      <c r="BE7" s="4">
        <f t="shared" si="2"/>
        <v>0.92735502699565786</v>
      </c>
      <c r="BF7" s="4">
        <f t="shared" si="0"/>
        <v>0.15726850506246942</v>
      </c>
      <c r="BG7" s="3">
        <f t="shared" si="3"/>
        <v>0.38504326096659419</v>
      </c>
    </row>
    <row r="8" spans="1:59" ht="14.4" x14ac:dyDescent="0.25">
      <c r="A8" s="20" t="s">
        <v>164</v>
      </c>
      <c r="B8" s="21">
        <f>Indicadores!E8</f>
        <v>0.66666666666666663</v>
      </c>
      <c r="C8" s="20" t="e">
        <f>Indicadores!E20</f>
        <v>#DIV/0!</v>
      </c>
      <c r="D8" s="21">
        <f>Indicadores!E32</f>
        <v>0.94285714285714284</v>
      </c>
      <c r="E8" s="21">
        <f>Indicadores!E44</f>
        <v>0.84</v>
      </c>
      <c r="F8" s="21" t="e">
        <f>Indicadores!E56</f>
        <v>#DIV/0!</v>
      </c>
      <c r="G8" s="21">
        <f>Indicadores!E68</f>
        <v>1.0133333333333334</v>
      </c>
      <c r="H8" s="21" t="e">
        <f>Indicadores!E80</f>
        <v>#DIV/0!</v>
      </c>
      <c r="I8" s="21">
        <f>Indicadores!E92</f>
        <v>0</v>
      </c>
      <c r="J8" s="21">
        <f>Indicadores!E104</f>
        <v>1.1599999999999999</v>
      </c>
      <c r="K8" s="21">
        <f>Indicadores!E116</f>
        <v>0.7466666666666667</v>
      </c>
      <c r="L8" s="21">
        <f>Indicadores!E128</f>
        <v>0.20754716981132076</v>
      </c>
      <c r="M8" s="21">
        <f>Indicadores!E140</f>
        <v>0.81333333333333335</v>
      </c>
      <c r="N8" s="21" t="e">
        <f>Indicadores!E152</f>
        <v>#DIV/0!</v>
      </c>
      <c r="O8" s="21">
        <f>Indicadores!E164</f>
        <v>1.7407407407407407</v>
      </c>
      <c r="P8" s="21">
        <f>Indicadores!E176</f>
        <v>0</v>
      </c>
      <c r="Q8" s="21">
        <f>Indicadores!E188</f>
        <v>0.29333333333333333</v>
      </c>
      <c r="R8" s="21">
        <f>Indicadores!E200</f>
        <v>0.3</v>
      </c>
      <c r="S8" s="21">
        <f>Indicadores!E212</f>
        <v>0</v>
      </c>
      <c r="T8" s="21">
        <f>Indicadores!E224</f>
        <v>0.48</v>
      </c>
      <c r="U8" s="21">
        <f>Indicadores!E236</f>
        <v>0.96969696969696972</v>
      </c>
      <c r="V8" s="21">
        <f>Indicadores!E248</f>
        <v>0.90666666666666662</v>
      </c>
      <c r="W8" s="21">
        <f>Indicadores!E260</f>
        <v>0.82352941176470584</v>
      </c>
      <c r="X8" s="21" t="e">
        <f>Indicadores!E272</f>
        <v>#DIV/0!</v>
      </c>
      <c r="Y8" s="21">
        <f>Indicadores!E284</f>
        <v>0.35555555555555557</v>
      </c>
      <c r="Z8" s="21">
        <f>Indicadores!E296</f>
        <v>0.85333333333333339</v>
      </c>
      <c r="AA8" s="21">
        <f>Indicadores!E308</f>
        <v>0</v>
      </c>
      <c r="AB8" s="21">
        <f>Indicadores!E320</f>
        <v>0.94666666666666666</v>
      </c>
      <c r="AC8" s="21" t="e">
        <f>Indicadores!E332</f>
        <v>#DIV/0!</v>
      </c>
      <c r="AD8" s="21">
        <f>Indicadores!E344</f>
        <v>0.44</v>
      </c>
      <c r="AE8" s="21" t="e">
        <f>Indicadores!E356</f>
        <v>#DIV/0!</v>
      </c>
      <c r="AF8" s="21">
        <f>Indicadores!E368</f>
        <v>0.56000000000000005</v>
      </c>
      <c r="AG8" s="21" t="e">
        <f>Indicadores!E380</f>
        <v>#DIV/0!</v>
      </c>
      <c r="AH8" s="21">
        <f>Indicadores!E392</f>
        <v>1.1142857142857143</v>
      </c>
      <c r="AI8" s="21">
        <f>Indicadores!E404</f>
        <v>0.54666666666666663</v>
      </c>
      <c r="AJ8" s="21" t="e">
        <f>Indicadores!E416</f>
        <v>#DIV/0!</v>
      </c>
      <c r="AK8" s="21" t="e">
        <f>Indicadores!E428</f>
        <v>#DIV/0!</v>
      </c>
      <c r="AL8" s="21">
        <f>Indicadores!E440</f>
        <v>0.65333333333333332</v>
      </c>
      <c r="AM8" s="21" t="e">
        <f>Indicadores!E452</f>
        <v>#DIV/0!</v>
      </c>
      <c r="AN8" s="21">
        <f>Indicadores!E464</f>
        <v>0.36</v>
      </c>
      <c r="AO8" s="21" t="e">
        <f>Indicadores!E476</f>
        <v>#DIV/0!</v>
      </c>
      <c r="AP8" s="21">
        <f>Indicadores!E488</f>
        <v>0.7466666666666667</v>
      </c>
      <c r="AQ8" s="21">
        <f>Indicadores!E500</f>
        <v>0</v>
      </c>
      <c r="AR8" s="21">
        <f>Indicadores!E512</f>
        <v>0.6333333333333333</v>
      </c>
      <c r="AS8" s="21">
        <f>Indicadores!E524</f>
        <v>1.0933333333333333</v>
      </c>
      <c r="AT8" s="21">
        <f>Indicadores!E536</f>
        <v>0</v>
      </c>
      <c r="AU8" s="21">
        <f>Indicadores!E548</f>
        <v>0.37333333333333335</v>
      </c>
      <c r="AV8" s="20">
        <f>Indicadores!E560</f>
        <v>0.75342465753424659</v>
      </c>
      <c r="AW8" s="20">
        <f>Indicadores!E572</f>
        <v>0.2</v>
      </c>
      <c r="AX8" s="20">
        <f>Indicadores!E584</f>
        <v>0.70666666666666667</v>
      </c>
      <c r="AY8" s="20">
        <f>Indicadores!E596</f>
        <v>0.41333333333333333</v>
      </c>
      <c r="AZ8" s="20">
        <f>Indicadores!E608</f>
        <v>1.0666666666666667</v>
      </c>
      <c r="BA8" s="20">
        <f>Indicadores!E620</f>
        <v>1</v>
      </c>
      <c r="BB8" s="20" t="e">
        <f>Indicadores!E632</f>
        <v>#DIV/0!</v>
      </c>
      <c r="BC8" s="20">
        <f>Indicadores!E644</f>
        <v>1.3692307692307693</v>
      </c>
      <c r="BD8" s="4">
        <f t="shared" si="1"/>
        <v>0.63634637719050002</v>
      </c>
      <c r="BE8" s="4">
        <f t="shared" si="2"/>
        <v>1.0512878703900039</v>
      </c>
      <c r="BF8" s="4">
        <f t="shared" si="0"/>
        <v>0.22140488399099606</v>
      </c>
      <c r="BG8" s="3">
        <f t="shared" si="3"/>
        <v>0.41494149319950396</v>
      </c>
    </row>
    <row r="9" spans="1:59" ht="14.4" x14ac:dyDescent="0.25">
      <c r="A9" s="20" t="s">
        <v>165</v>
      </c>
      <c r="B9" s="21">
        <f>Indicadores!E9</f>
        <v>0.78666666666666663</v>
      </c>
      <c r="C9" s="20" t="e">
        <f>Indicadores!E21</f>
        <v>#DIV/0!</v>
      </c>
      <c r="D9" s="21">
        <f>Indicadores!E33</f>
        <v>0.94285714285714284</v>
      </c>
      <c r="E9" s="21">
        <f>Indicadores!E45</f>
        <v>0.94666666666666666</v>
      </c>
      <c r="F9" s="21" t="e">
        <f>Indicadores!E57</f>
        <v>#DIV/0!</v>
      </c>
      <c r="G9" s="21">
        <f>Indicadores!E69</f>
        <v>1.0133333333333334</v>
      </c>
      <c r="H9" s="21" t="e">
        <f>Indicadores!E81</f>
        <v>#DIV/0!</v>
      </c>
      <c r="I9" s="21">
        <f>Indicadores!E93</f>
        <v>0</v>
      </c>
      <c r="J9" s="21">
        <f>Indicadores!E105</f>
        <v>1.3333333333333333</v>
      </c>
      <c r="K9" s="21">
        <f>Indicadores!E117</f>
        <v>0.7466666666666667</v>
      </c>
      <c r="L9" s="21">
        <f>Indicadores!E129</f>
        <v>0.20754716981132076</v>
      </c>
      <c r="M9" s="21">
        <f>Indicadores!E141</f>
        <v>1</v>
      </c>
      <c r="N9" s="21" t="e">
        <f>Indicadores!E153</f>
        <v>#DIV/0!</v>
      </c>
      <c r="O9" s="21">
        <f>Indicadores!E165</f>
        <v>1.8518518518518519</v>
      </c>
      <c r="P9" s="21">
        <f>Indicadores!E177</f>
        <v>0</v>
      </c>
      <c r="Q9" s="21">
        <f>Indicadores!E189</f>
        <v>0.29333333333333333</v>
      </c>
      <c r="R9" s="21">
        <f>Indicadores!E201</f>
        <v>0.65</v>
      </c>
      <c r="S9" s="21">
        <f>Indicadores!E213</f>
        <v>0</v>
      </c>
      <c r="T9" s="21">
        <f>Indicadores!E225</f>
        <v>0.48</v>
      </c>
      <c r="U9" s="21">
        <f>Indicadores!E237</f>
        <v>0.96969696969696972</v>
      </c>
      <c r="V9" s="21">
        <f>Indicadores!E249</f>
        <v>0.98666666666666669</v>
      </c>
      <c r="W9" s="21">
        <f>Indicadores!E261</f>
        <v>0.86764705882352944</v>
      </c>
      <c r="X9" s="21" t="e">
        <f>Indicadores!E273</f>
        <v>#DIV/0!</v>
      </c>
      <c r="Y9" s="21">
        <f>Indicadores!E285</f>
        <v>0.82222222222222219</v>
      </c>
      <c r="Z9" s="21">
        <f>Indicadores!E297</f>
        <v>0.85333333333333339</v>
      </c>
      <c r="AA9" s="21">
        <f>Indicadores!E309</f>
        <v>0</v>
      </c>
      <c r="AB9" s="21">
        <f>Indicadores!E321</f>
        <v>1.0133333333333334</v>
      </c>
      <c r="AC9" s="21" t="e">
        <f>Indicadores!E333</f>
        <v>#DIV/0!</v>
      </c>
      <c r="AD9" s="21">
        <f>Indicadores!E345</f>
        <v>0.44</v>
      </c>
      <c r="AE9" s="21" t="e">
        <f>Indicadores!E357</f>
        <v>#DIV/0!</v>
      </c>
      <c r="AF9" s="21">
        <f>Indicadores!E369</f>
        <v>0.62666666666666671</v>
      </c>
      <c r="AG9" s="21" t="e">
        <f>Indicadores!E381</f>
        <v>#DIV/0!</v>
      </c>
      <c r="AH9" s="21">
        <f>Indicadores!E393</f>
        <v>1.1142857142857143</v>
      </c>
      <c r="AI9" s="21">
        <f>Indicadores!E405</f>
        <v>0.54666666666666663</v>
      </c>
      <c r="AJ9" s="21" t="e">
        <f>Indicadores!E417</f>
        <v>#DIV/0!</v>
      </c>
      <c r="AK9" s="21" t="e">
        <f>Indicadores!E429</f>
        <v>#DIV/0!</v>
      </c>
      <c r="AL9" s="21">
        <f>Indicadores!E441</f>
        <v>1.0133333333333334</v>
      </c>
      <c r="AM9" s="21" t="e">
        <f>Indicadores!E453</f>
        <v>#DIV/0!</v>
      </c>
      <c r="AN9" s="21">
        <f>Indicadores!E465</f>
        <v>0.41333333333333333</v>
      </c>
      <c r="AO9" s="21" t="e">
        <f>Indicadores!E477</f>
        <v>#DIV/0!</v>
      </c>
      <c r="AP9" s="21">
        <f>Indicadores!E489</f>
        <v>0.7466666666666667</v>
      </c>
      <c r="AQ9" s="21">
        <f>Indicadores!E501</f>
        <v>0</v>
      </c>
      <c r="AR9" s="21">
        <f>Indicadores!E513</f>
        <v>0.6333333333333333</v>
      </c>
      <c r="AS9" s="21">
        <f>Indicadores!E525</f>
        <v>1.2133333333333334</v>
      </c>
      <c r="AT9" s="21">
        <f>Indicadores!E537</f>
        <v>0</v>
      </c>
      <c r="AU9" s="21">
        <f>Indicadores!E549</f>
        <v>0.56000000000000005</v>
      </c>
      <c r="AV9" s="20">
        <f>Indicadores!E561</f>
        <v>0.83561643835616439</v>
      </c>
      <c r="AW9" s="20">
        <f>Indicadores!E573</f>
        <v>0.50666666666666671</v>
      </c>
      <c r="AX9" s="20">
        <f>Indicadores!E585</f>
        <v>0.70666666666666667</v>
      </c>
      <c r="AY9" s="20">
        <f>Indicadores!E597</f>
        <v>0.41333333333333333</v>
      </c>
      <c r="AZ9" s="20">
        <f>Indicadores!E609</f>
        <v>1.0666666666666667</v>
      </c>
      <c r="BA9" s="20">
        <f>Indicadores!E621</f>
        <v>1</v>
      </c>
      <c r="BB9" s="20" t="e">
        <f>Indicadores!E633</f>
        <v>#DIV/0!</v>
      </c>
      <c r="BC9" s="20">
        <f>Indicadores!E645</f>
        <v>1.3692307692307693</v>
      </c>
      <c r="BD9" s="4">
        <f t="shared" si="1"/>
        <v>0.70660866675940681</v>
      </c>
      <c r="BE9" s="4">
        <f t="shared" si="2"/>
        <v>1.1341225514190425</v>
      </c>
      <c r="BF9" s="4">
        <f t="shared" si="0"/>
        <v>0.27909478209977112</v>
      </c>
      <c r="BG9" s="3">
        <f t="shared" si="3"/>
        <v>0.42751388465963569</v>
      </c>
    </row>
    <row r="10" spans="1:59" ht="14.4" x14ac:dyDescent="0.25">
      <c r="A10" s="20" t="s">
        <v>166</v>
      </c>
      <c r="B10" s="21">
        <f>Indicadores!E10</f>
        <v>1.0266666666666666</v>
      </c>
      <c r="C10" s="20" t="e">
        <f>Indicadores!E22</f>
        <v>#DIV/0!</v>
      </c>
      <c r="D10" s="21">
        <f>Indicadores!E34</f>
        <v>0.94285714285714284</v>
      </c>
      <c r="E10" s="21">
        <f>Indicadores!E46</f>
        <v>1.0533333333333332</v>
      </c>
      <c r="F10" s="21" t="e">
        <f>Indicadores!E58</f>
        <v>#DIV/0!</v>
      </c>
      <c r="G10" s="21">
        <f>Indicadores!E70</f>
        <v>1.0133333333333334</v>
      </c>
      <c r="H10" s="21" t="e">
        <f>Indicadores!E82</f>
        <v>#DIV/0!</v>
      </c>
      <c r="I10" s="21">
        <f>Indicadores!E94</f>
        <v>0</v>
      </c>
      <c r="J10" s="21">
        <f>Indicadores!E106</f>
        <v>1.3333333333333333</v>
      </c>
      <c r="K10" s="21">
        <f>Indicadores!E118</f>
        <v>0.7466666666666667</v>
      </c>
      <c r="L10" s="21">
        <f>Indicadores!E130</f>
        <v>0.41509433962264153</v>
      </c>
      <c r="M10" s="21">
        <f>Indicadores!E142</f>
        <v>1.0933333333333333</v>
      </c>
      <c r="N10" s="21" t="e">
        <f>Indicadores!E154</f>
        <v>#DIV/0!</v>
      </c>
      <c r="O10" s="21">
        <f>Indicadores!E166</f>
        <v>1.8518518518518519</v>
      </c>
      <c r="P10" s="21">
        <f>Indicadores!E178</f>
        <v>0</v>
      </c>
      <c r="Q10" s="21">
        <f>Indicadores!E190</f>
        <v>0.29333333333333333</v>
      </c>
      <c r="R10" s="21">
        <f>Indicadores!E202</f>
        <v>0.76666666666666672</v>
      </c>
      <c r="S10" s="21">
        <f>Indicadores!E214</f>
        <v>0</v>
      </c>
      <c r="T10" s="21">
        <f>Indicadores!E226</f>
        <v>0.48</v>
      </c>
      <c r="U10" s="21">
        <f>Indicadores!E238</f>
        <v>0.96969696969696972</v>
      </c>
      <c r="V10" s="21">
        <f>Indicadores!E250</f>
        <v>1.0933333333333333</v>
      </c>
      <c r="W10" s="21">
        <f>Indicadores!E262</f>
        <v>0.86764705882352944</v>
      </c>
      <c r="X10" s="21" t="e">
        <f>Indicadores!E274</f>
        <v>#DIV/0!</v>
      </c>
      <c r="Y10" s="21">
        <f>Indicadores!E286</f>
        <v>0.82222222222222219</v>
      </c>
      <c r="Z10" s="21">
        <f>Indicadores!E298</f>
        <v>0.92</v>
      </c>
      <c r="AA10" s="21">
        <f>Indicadores!E310</f>
        <v>0</v>
      </c>
      <c r="AB10" s="21">
        <f>Indicadores!E322</f>
        <v>1.0133333333333334</v>
      </c>
      <c r="AC10" s="21" t="e">
        <f>Indicadores!E334</f>
        <v>#DIV/0!</v>
      </c>
      <c r="AD10" s="21">
        <f>Indicadores!E346</f>
        <v>0.44</v>
      </c>
      <c r="AE10" s="21" t="e">
        <f>Indicadores!E358</f>
        <v>#DIV/0!</v>
      </c>
      <c r="AF10" s="21">
        <f>Indicadores!E370</f>
        <v>0.68</v>
      </c>
      <c r="AG10" s="21" t="e">
        <f>Indicadores!E382</f>
        <v>#DIV/0!</v>
      </c>
      <c r="AH10" s="21">
        <f>Indicadores!E394</f>
        <v>1.1142857142857143</v>
      </c>
      <c r="AI10" s="21">
        <f>Indicadores!E406</f>
        <v>0.54666666666666663</v>
      </c>
      <c r="AJ10" s="21" t="e">
        <f>Indicadores!E418</f>
        <v>#DIV/0!</v>
      </c>
      <c r="AK10" s="21" t="e">
        <f>Indicadores!E430</f>
        <v>#DIV/0!</v>
      </c>
      <c r="AL10" s="21">
        <f>Indicadores!E442</f>
        <v>1.0133333333333334</v>
      </c>
      <c r="AM10" s="21" t="e">
        <f>Indicadores!E454</f>
        <v>#DIV/0!</v>
      </c>
      <c r="AN10" s="21">
        <f>Indicadores!E466</f>
        <v>0.41333333333333333</v>
      </c>
      <c r="AO10" s="21" t="e">
        <f>Indicadores!E478</f>
        <v>#DIV/0!</v>
      </c>
      <c r="AP10" s="21">
        <f>Indicadores!E490</f>
        <v>0.7466666666666667</v>
      </c>
      <c r="AQ10" s="21">
        <f>Indicadores!E502</f>
        <v>0</v>
      </c>
      <c r="AR10" s="21">
        <f>Indicadores!E514</f>
        <v>0.6333333333333333</v>
      </c>
      <c r="AS10" s="21">
        <f>Indicadores!E526</f>
        <v>1.3333333333333333</v>
      </c>
      <c r="AT10" s="21">
        <f>Indicadores!E538</f>
        <v>0</v>
      </c>
      <c r="AU10" s="21">
        <f>Indicadores!E550</f>
        <v>0.56000000000000005</v>
      </c>
      <c r="AV10" s="20">
        <f>Indicadores!E562</f>
        <v>0.83561643835616439</v>
      </c>
      <c r="AW10" s="20">
        <f>Indicadores!E574</f>
        <v>0.50666666666666671</v>
      </c>
      <c r="AX10" s="20">
        <f>Indicadores!E586</f>
        <v>0.70666666666666667</v>
      </c>
      <c r="AY10" s="20">
        <f>Indicadores!E598</f>
        <v>0.41333333333333333</v>
      </c>
      <c r="AZ10" s="20">
        <f>Indicadores!E610</f>
        <v>1.0666666666666667</v>
      </c>
      <c r="BA10" s="20">
        <f>Indicadores!E622</f>
        <v>1.1200000000000001</v>
      </c>
      <c r="BB10" s="20" t="e">
        <f>Indicadores!E634</f>
        <v>#DIV/0!</v>
      </c>
      <c r="BC10" s="20">
        <f>Indicadores!E646</f>
        <v>1.3692307692307693</v>
      </c>
      <c r="BD10" s="4">
        <f t="shared" si="1"/>
        <v>0.73663014244586189</v>
      </c>
      <c r="BE10" s="4">
        <f t="shared" si="2"/>
        <v>1.1737360935948695</v>
      </c>
      <c r="BF10" s="4">
        <f t="shared" si="0"/>
        <v>0.29952419129685426</v>
      </c>
      <c r="BG10" s="3">
        <f t="shared" si="3"/>
        <v>0.43710595114900763</v>
      </c>
    </row>
    <row r="11" spans="1:59" ht="14.4" x14ac:dyDescent="0.25">
      <c r="A11" s="20" t="s">
        <v>167</v>
      </c>
      <c r="B11" s="21">
        <f>Indicadores!E11</f>
        <v>1.2666666666666666</v>
      </c>
      <c r="C11" s="20" t="e">
        <f>Indicadores!E23</f>
        <v>#DIV/0!</v>
      </c>
      <c r="D11" s="21">
        <f>Indicadores!E35</f>
        <v>1.4285714285714286</v>
      </c>
      <c r="E11" s="21">
        <f>Indicadores!E47</f>
        <v>1.2266666666666666</v>
      </c>
      <c r="F11" s="21" t="e">
        <f>Indicadores!E59</f>
        <v>#DIV/0!</v>
      </c>
      <c r="G11" s="21">
        <f>Indicadores!E71</f>
        <v>1.0933333333333333</v>
      </c>
      <c r="H11" s="21" t="e">
        <f>Indicadores!E83</f>
        <v>#DIV/0!</v>
      </c>
      <c r="I11" s="21">
        <f>Indicadores!E95</f>
        <v>0</v>
      </c>
      <c r="J11" s="21">
        <f>Indicadores!E107</f>
        <v>1.3333333333333333</v>
      </c>
      <c r="K11" s="21">
        <f>Indicadores!E119</f>
        <v>0.82666666666666666</v>
      </c>
      <c r="L11" s="21">
        <f>Indicadores!E131</f>
        <v>0.73584905660377353</v>
      </c>
      <c r="M11" s="21">
        <f>Indicadores!E143</f>
        <v>1.0933333333333333</v>
      </c>
      <c r="N11" s="21" t="e">
        <f>Indicadores!E155</f>
        <v>#DIV/0!</v>
      </c>
      <c r="O11" s="21">
        <f>Indicadores!E167</f>
        <v>1.8518518518518519</v>
      </c>
      <c r="P11" s="21">
        <f>Indicadores!E179</f>
        <v>0</v>
      </c>
      <c r="Q11" s="21">
        <f>Indicadores!E191</f>
        <v>0.44</v>
      </c>
      <c r="R11" s="21">
        <f>Indicadores!E203</f>
        <v>0.93333333333333335</v>
      </c>
      <c r="S11" s="21">
        <f>Indicadores!E215</f>
        <v>0</v>
      </c>
      <c r="T11" s="21">
        <f>Indicadores!E227</f>
        <v>0.48</v>
      </c>
      <c r="U11" s="21">
        <f>Indicadores!E239</f>
        <v>1.0303030303030303</v>
      </c>
      <c r="V11" s="21">
        <f>Indicadores!E251</f>
        <v>1.1200000000000001</v>
      </c>
      <c r="W11" s="21">
        <f>Indicadores!E263</f>
        <v>0.86764705882352944</v>
      </c>
      <c r="X11" s="21" t="e">
        <f>Indicadores!E275</f>
        <v>#DIV/0!</v>
      </c>
      <c r="Y11" s="21">
        <f>Indicadores!E287</f>
        <v>0.82222222222222219</v>
      </c>
      <c r="Z11" s="21">
        <f>Indicadores!E299</f>
        <v>1.1466666666666667</v>
      </c>
      <c r="AA11" s="21">
        <f>Indicadores!E311</f>
        <v>0</v>
      </c>
      <c r="AB11" s="21">
        <f>Indicadores!E323</f>
        <v>1.0133333333333334</v>
      </c>
      <c r="AC11" s="21" t="e">
        <f>Indicadores!E335</f>
        <v>#DIV/0!</v>
      </c>
      <c r="AD11" s="21">
        <f>Indicadores!E347</f>
        <v>0.44</v>
      </c>
      <c r="AE11" s="21" t="e">
        <f>Indicadores!E359</f>
        <v>#DIV/0!</v>
      </c>
      <c r="AF11" s="21">
        <f>Indicadores!E371</f>
        <v>0.7466666666666667</v>
      </c>
      <c r="AG11" s="21" t="e">
        <f>Indicadores!E383</f>
        <v>#DIV/0!</v>
      </c>
      <c r="AH11" s="21">
        <f>Indicadores!E395</f>
        <v>1.1142857142857143</v>
      </c>
      <c r="AI11" s="21">
        <f>Indicadores!E407</f>
        <v>0.54666666666666663</v>
      </c>
      <c r="AJ11" s="21" t="e">
        <f>Indicadores!E419</f>
        <v>#DIV/0!</v>
      </c>
      <c r="AK11" s="21" t="e">
        <f>Indicadores!E431</f>
        <v>#DIV/0!</v>
      </c>
      <c r="AL11" s="21">
        <f>Indicadores!E443</f>
        <v>1.04</v>
      </c>
      <c r="AM11" s="21" t="e">
        <f>Indicadores!E455</f>
        <v>#DIV/0!</v>
      </c>
      <c r="AN11" s="21">
        <f>Indicadores!E467</f>
        <v>0.46666666666666667</v>
      </c>
      <c r="AO11" s="21" t="e">
        <f>Indicadores!E479</f>
        <v>#DIV/0!</v>
      </c>
      <c r="AP11" s="21">
        <f>Indicadores!E491</f>
        <v>0.7466666666666667</v>
      </c>
      <c r="AQ11" s="21">
        <f>Indicadores!E503</f>
        <v>0.45454545454545453</v>
      </c>
      <c r="AR11" s="21">
        <f>Indicadores!E515</f>
        <v>0.76666666666666672</v>
      </c>
      <c r="AS11" s="21">
        <f>Indicadores!E527</f>
        <v>1.3333333333333333</v>
      </c>
      <c r="AT11" s="21">
        <f>Indicadores!E539</f>
        <v>0</v>
      </c>
      <c r="AU11" s="21">
        <f>Indicadores!E551</f>
        <v>0.76</v>
      </c>
      <c r="AV11" s="20">
        <f>Indicadores!E563</f>
        <v>1.1506849315068493</v>
      </c>
      <c r="AW11" s="20">
        <f>Indicadores!E575</f>
        <v>0.50666666666666671</v>
      </c>
      <c r="AX11" s="20">
        <f>Indicadores!E587</f>
        <v>0.70666666666666667</v>
      </c>
      <c r="AY11" s="20">
        <f>Indicadores!E599</f>
        <v>0.6</v>
      </c>
      <c r="AZ11" s="20">
        <f>Indicadores!E611</f>
        <v>1.0666666666666667</v>
      </c>
      <c r="BA11" s="20">
        <f>Indicadores!E623</f>
        <v>1.1200000000000001</v>
      </c>
      <c r="BB11" s="20" t="e">
        <f>Indicadores!E635</f>
        <v>#DIV/0!</v>
      </c>
      <c r="BC11" s="20">
        <f>Indicadores!E647</f>
        <v>1.3692307692307693</v>
      </c>
      <c r="BD11" s="4">
        <f t="shared" si="1"/>
        <v>0.82061442726694189</v>
      </c>
      <c r="BE11" s="4">
        <f t="shared" si="2"/>
        <v>1.2607833515834532</v>
      </c>
      <c r="BF11" s="4">
        <f t="shared" si="0"/>
        <v>0.38044550295043061</v>
      </c>
      <c r="BG11" s="3">
        <f t="shared" si="3"/>
        <v>0.44016892431651128</v>
      </c>
    </row>
    <row r="12" spans="1:59" ht="14.4" x14ac:dyDescent="0.25">
      <c r="A12" s="20" t="s">
        <v>168</v>
      </c>
      <c r="B12" s="21">
        <f>Indicadores!E12</f>
        <v>1.3333333333333333</v>
      </c>
      <c r="C12" s="20" t="e">
        <f>Indicadores!E24</f>
        <v>#DIV/0!</v>
      </c>
      <c r="D12" s="21">
        <f>Indicadores!E36</f>
        <v>1.8</v>
      </c>
      <c r="E12" s="21">
        <f>Indicadores!E48</f>
        <v>1.28</v>
      </c>
      <c r="F12" s="21" t="e">
        <f>Indicadores!E60</f>
        <v>#DIV/0!</v>
      </c>
      <c r="G12" s="21">
        <f>Indicadores!E72</f>
        <v>1.2666666666666666</v>
      </c>
      <c r="H12" s="21" t="e">
        <f>Indicadores!E84</f>
        <v>#DIV/0!</v>
      </c>
      <c r="I12" s="21">
        <f>Indicadores!E96</f>
        <v>0</v>
      </c>
      <c r="J12" s="21">
        <f>Indicadores!E108</f>
        <v>1.3333333333333333</v>
      </c>
      <c r="K12" s="21">
        <f>Indicadores!E120</f>
        <v>0.98666666666666669</v>
      </c>
      <c r="L12" s="21">
        <f>Indicadores!E132</f>
        <v>0.73584905660377353</v>
      </c>
      <c r="M12" s="21">
        <f>Indicadores!E144</f>
        <v>1.1866666666666668</v>
      </c>
      <c r="N12" s="21" t="e">
        <f>Indicadores!E156</f>
        <v>#DIV/0!</v>
      </c>
      <c r="O12" s="21">
        <f>Indicadores!E168</f>
        <v>1.8518518518518519</v>
      </c>
      <c r="P12" s="21">
        <f>Indicadores!E180</f>
        <v>0</v>
      </c>
      <c r="Q12" s="21">
        <f>Indicadores!E192</f>
        <v>0.7466666666666667</v>
      </c>
      <c r="R12" s="21">
        <f>Indicadores!E204</f>
        <v>1.0666666666666667</v>
      </c>
      <c r="S12" s="21">
        <f>Indicadores!E216</f>
        <v>0</v>
      </c>
      <c r="T12" s="21">
        <f>Indicadores!E228</f>
        <v>0.48</v>
      </c>
      <c r="U12" s="21">
        <f>Indicadores!E240</f>
        <v>1.106060606060606</v>
      </c>
      <c r="V12" s="21">
        <f>Indicadores!E252</f>
        <v>1.1200000000000001</v>
      </c>
      <c r="W12" s="21">
        <f>Indicadores!E264</f>
        <v>1.0441176470588236</v>
      </c>
      <c r="X12" s="21" t="e">
        <f>Indicadores!E276</f>
        <v>#DIV/0!</v>
      </c>
      <c r="Y12" s="21">
        <f>Indicadores!E288</f>
        <v>0.82222222222222219</v>
      </c>
      <c r="Z12" s="21">
        <f>Indicadores!E300</f>
        <v>1.1466666666666667</v>
      </c>
      <c r="AA12" s="21">
        <f>Indicadores!E312</f>
        <v>0</v>
      </c>
      <c r="AB12" s="21">
        <f>Indicadores!E324</f>
        <v>1.0133333333333334</v>
      </c>
      <c r="AC12" s="21" t="e">
        <f>Indicadores!E336</f>
        <v>#DIV/0!</v>
      </c>
      <c r="AD12" s="21">
        <f>Indicadores!E348</f>
        <v>0.72</v>
      </c>
      <c r="AE12" s="21" t="e">
        <f>Indicadores!E360</f>
        <v>#DIV/0!</v>
      </c>
      <c r="AF12" s="21">
        <f>Indicadores!E372</f>
        <v>1.0133333333333334</v>
      </c>
      <c r="AG12" s="21" t="e">
        <f>Indicadores!E384</f>
        <v>#DIV/0!</v>
      </c>
      <c r="AH12" s="21">
        <f>Indicadores!E396</f>
        <v>1.1142857142857143</v>
      </c>
      <c r="AI12" s="21">
        <f>Indicadores!E408</f>
        <v>0.70666666666666667</v>
      </c>
      <c r="AJ12" s="21" t="e">
        <f>Indicadores!E420</f>
        <v>#DIV/0!</v>
      </c>
      <c r="AK12" s="21" t="e">
        <f>Indicadores!E432</f>
        <v>#DIV/0!</v>
      </c>
      <c r="AL12" s="21">
        <f>Indicadores!E444</f>
        <v>1.04</v>
      </c>
      <c r="AM12" s="21" t="e">
        <f>Indicadores!E456</f>
        <v>#DIV/0!</v>
      </c>
      <c r="AN12" s="21">
        <f>Indicadores!E468</f>
        <v>0.61333333333333329</v>
      </c>
      <c r="AO12" s="21" t="e">
        <f>Indicadores!E480</f>
        <v>#DIV/0!</v>
      </c>
      <c r="AP12" s="21">
        <f>Indicadores!E492</f>
        <v>1.3333333333333333</v>
      </c>
      <c r="AQ12" s="21">
        <f>Indicadores!E504</f>
        <v>0.45454545454545453</v>
      </c>
      <c r="AR12" s="21">
        <f>Indicadores!E516</f>
        <v>1.05</v>
      </c>
      <c r="AS12" s="21">
        <f>Indicadores!E528</f>
        <v>1.3333333333333333</v>
      </c>
      <c r="AT12" s="21">
        <f>Indicadores!E540</f>
        <v>0</v>
      </c>
      <c r="AU12" s="21">
        <f>Indicadores!E552</f>
        <v>0.76</v>
      </c>
      <c r="AV12" s="20">
        <f>Indicadores!E564</f>
        <v>1.1506849315068493</v>
      </c>
      <c r="AW12" s="20">
        <f>Indicadores!E576</f>
        <v>1.0266666666666666</v>
      </c>
      <c r="AX12" s="20">
        <f>Indicadores!E588</f>
        <v>0.70666666666666667</v>
      </c>
      <c r="AY12" s="20">
        <f>Indicadores!E600</f>
        <v>0.78666666666666663</v>
      </c>
      <c r="AZ12" s="20">
        <f>Indicadores!E612</f>
        <v>1.28</v>
      </c>
      <c r="BA12" s="20">
        <f>Indicadores!E624</f>
        <v>2</v>
      </c>
      <c r="BB12" s="20" t="e">
        <f>Indicadores!E636</f>
        <v>#DIV/0!</v>
      </c>
      <c r="BC12" s="20">
        <f>Indicadores!E648</f>
        <v>1.3692307692307693</v>
      </c>
      <c r="BD12" s="4">
        <f t="shared" si="1"/>
        <v>0.94582556715526966</v>
      </c>
      <c r="BE12" s="4">
        <f t="shared" si="2"/>
        <v>1.4311117173682604</v>
      </c>
      <c r="BF12" s="4">
        <f t="shared" si="0"/>
        <v>0.46053941694227907</v>
      </c>
      <c r="BG12" s="3">
        <f t="shared" si="3"/>
        <v>0.4852861502129906</v>
      </c>
    </row>
    <row r="13" spans="1:59" ht="14.4" x14ac:dyDescent="0.25">
      <c r="A13" s="20" t="s">
        <v>169</v>
      </c>
      <c r="B13" s="21">
        <f>Indicadores!E13</f>
        <v>1.3333333333333333</v>
      </c>
      <c r="C13" s="20" t="e">
        <f>Indicadores!E25</f>
        <v>#DIV/0!</v>
      </c>
      <c r="D13" s="21">
        <f>Indicadores!E37</f>
        <v>2.3714285714285714</v>
      </c>
      <c r="E13" s="21">
        <f>Indicadores!E49</f>
        <v>1.28</v>
      </c>
      <c r="F13" s="21" t="e">
        <f>Indicadores!E61</f>
        <v>#DIV/0!</v>
      </c>
      <c r="G13" s="21">
        <f>Indicadores!E73</f>
        <v>1.3333333333333333</v>
      </c>
      <c r="H13" s="21" t="e">
        <f>Indicadores!E85</f>
        <v>#DIV/0!</v>
      </c>
      <c r="I13" s="21">
        <f>Indicadores!E97</f>
        <v>0</v>
      </c>
      <c r="J13" s="21">
        <f>Indicadores!E109</f>
        <v>1.3333333333333333</v>
      </c>
      <c r="K13" s="21">
        <f>Indicadores!E121</f>
        <v>1.0933333333333333</v>
      </c>
      <c r="L13" s="21">
        <f>Indicadores!E133</f>
        <v>0.94339622641509435</v>
      </c>
      <c r="M13" s="21">
        <f>Indicadores!E145</f>
        <v>1.1866666666666668</v>
      </c>
      <c r="N13" s="21" t="e">
        <f>Indicadores!E157</f>
        <v>#DIV/0!</v>
      </c>
      <c r="O13" s="21">
        <f>Indicadores!E169</f>
        <v>1.8518518518518519</v>
      </c>
      <c r="P13" s="21">
        <f>Indicadores!E181</f>
        <v>0</v>
      </c>
      <c r="Q13" s="21">
        <f>Indicadores!E193</f>
        <v>0.7466666666666667</v>
      </c>
      <c r="R13" s="21">
        <f>Indicadores!E205</f>
        <v>1.25</v>
      </c>
      <c r="S13" s="21">
        <f>Indicadores!E217</f>
        <v>0</v>
      </c>
      <c r="T13" s="21">
        <f>Indicadores!E229</f>
        <v>0.48</v>
      </c>
      <c r="U13" s="21">
        <f>Indicadores!E241</f>
        <v>1.106060606060606</v>
      </c>
      <c r="V13" s="21">
        <f>Indicadores!E253</f>
        <v>1.2666666666666666</v>
      </c>
      <c r="W13" s="21">
        <f>Indicadores!E265</f>
        <v>1.088235294117647</v>
      </c>
      <c r="X13" s="21" t="e">
        <f>Indicadores!E277</f>
        <v>#DIV/0!</v>
      </c>
      <c r="Y13" s="21">
        <f>Indicadores!E289</f>
        <v>0.82222222222222219</v>
      </c>
      <c r="Z13" s="21">
        <f>Indicadores!E301</f>
        <v>1.1466666666666667</v>
      </c>
      <c r="AA13" s="21">
        <f>Indicadores!E313</f>
        <v>0</v>
      </c>
      <c r="AB13" s="21">
        <f>Indicadores!E325</f>
        <v>1.0133333333333334</v>
      </c>
      <c r="AC13" s="21" t="e">
        <f>Indicadores!E337</f>
        <v>#DIV/0!</v>
      </c>
      <c r="AD13" s="21">
        <f>Indicadores!E349</f>
        <v>1.0533333333333332</v>
      </c>
      <c r="AE13" s="21" t="e">
        <f>Indicadores!E361</f>
        <v>#DIV/0!</v>
      </c>
      <c r="AF13" s="21">
        <f>Indicadores!E373</f>
        <v>1.04</v>
      </c>
      <c r="AG13" s="21" t="e">
        <f>Indicadores!E385</f>
        <v>#DIV/0!</v>
      </c>
      <c r="AH13" s="21">
        <f>Indicadores!E397</f>
        <v>1.3714285714285714</v>
      </c>
      <c r="AI13" s="21">
        <f>Indicadores!E409</f>
        <v>0.8666666666666667</v>
      </c>
      <c r="AJ13" s="21" t="e">
        <f>Indicadores!E421</f>
        <v>#DIV/0!</v>
      </c>
      <c r="AK13" s="21" t="e">
        <f>Indicadores!E433</f>
        <v>#DIV/0!</v>
      </c>
      <c r="AL13" s="21">
        <f>Indicadores!E445</f>
        <v>1.1200000000000001</v>
      </c>
      <c r="AM13" s="21" t="e">
        <f>Indicadores!E457</f>
        <v>#DIV/0!</v>
      </c>
      <c r="AN13" s="21">
        <f>Indicadores!E469</f>
        <v>0.72</v>
      </c>
      <c r="AO13" s="21" t="e">
        <f>Indicadores!E481</f>
        <v>#DIV/0!</v>
      </c>
      <c r="AP13" s="21">
        <f>Indicadores!E493</f>
        <v>1.3333333333333333</v>
      </c>
      <c r="AQ13" s="21">
        <f>Indicadores!E505</f>
        <v>0.45454545454545453</v>
      </c>
      <c r="AR13" s="21">
        <f>Indicadores!E517</f>
        <v>1.05</v>
      </c>
      <c r="AS13" s="21">
        <f>Indicadores!E529</f>
        <v>1.3333333333333333</v>
      </c>
      <c r="AT13" s="21">
        <f>Indicadores!E541</f>
        <v>0</v>
      </c>
      <c r="AU13" s="21">
        <f>Indicadores!E553</f>
        <v>0.76</v>
      </c>
      <c r="AV13" s="20">
        <f>Indicadores!E565</f>
        <v>1.1506849315068493</v>
      </c>
      <c r="AW13" s="20">
        <f>Indicadores!E577</f>
        <v>1.0266666666666666</v>
      </c>
      <c r="AX13" s="20">
        <f>Indicadores!E589</f>
        <v>0.70666666666666667</v>
      </c>
      <c r="AY13" s="20">
        <f>Indicadores!E601</f>
        <v>0.78666666666666663</v>
      </c>
      <c r="AZ13" s="20">
        <f>Indicadores!E613</f>
        <v>1.28</v>
      </c>
      <c r="BA13" s="20">
        <f>Indicadores!E625</f>
        <v>2</v>
      </c>
      <c r="BB13" s="20" t="e">
        <f>Indicadores!E637</f>
        <v>#DIV/0!</v>
      </c>
      <c r="BC13" s="20">
        <f>Indicadores!E649</f>
        <v>1.3692307692307693</v>
      </c>
      <c r="BD13" s="4">
        <f t="shared" si="1"/>
        <v>1.0016849877757958</v>
      </c>
      <c r="BE13" s="4">
        <f t="shared" si="2"/>
        <v>1.521489991464148</v>
      </c>
      <c r="BF13" s="4">
        <f t="shared" si="0"/>
        <v>0.48187998408744359</v>
      </c>
      <c r="BG13" s="3">
        <f t="shared" si="3"/>
        <v>0.51980500368835225</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E1A1-EDC2-4BCD-A3D0-86790FE034A1}">
  <dimension ref="A1:K649"/>
  <sheetViews>
    <sheetView zoomScale="80" zoomScaleNormal="80" workbookViewId="0">
      <selection activeCell="D31" sqref="D31"/>
    </sheetView>
  </sheetViews>
  <sheetFormatPr defaultColWidth="12.09765625" defaultRowHeight="13.8" x14ac:dyDescent="0.25"/>
  <cols>
    <col min="1" max="1" width="71.69921875" style="3" customWidth="1"/>
    <col min="2" max="2" width="9.09765625" style="3" bestFit="1" customWidth="1"/>
    <col min="3" max="3" width="12.09765625" style="3"/>
    <col min="4" max="4" width="57.59765625" style="3" bestFit="1" customWidth="1"/>
    <col min="5" max="5" width="57.19921875" style="3" bestFit="1" customWidth="1"/>
    <col min="6" max="6" width="33.296875" style="3" bestFit="1" customWidth="1"/>
    <col min="7" max="7" width="47.09765625" style="3" bestFit="1" customWidth="1"/>
    <col min="8" max="8" width="54.5" style="3" bestFit="1" customWidth="1"/>
    <col min="9" max="9" width="35.5" style="3" bestFit="1" customWidth="1"/>
    <col min="10" max="10" width="18.59765625" style="3" bestFit="1" customWidth="1"/>
    <col min="11" max="16384" width="12.09765625" style="3"/>
  </cols>
  <sheetData>
    <row r="1" spans="1:11" ht="15.6" x14ac:dyDescent="0.25">
      <c r="A1" s="34" t="s">
        <v>0</v>
      </c>
      <c r="B1" s="34" t="s">
        <v>172</v>
      </c>
      <c r="C1" s="40" t="s">
        <v>249</v>
      </c>
      <c r="D1" s="34" t="s">
        <v>6</v>
      </c>
      <c r="E1" s="34" t="s">
        <v>7</v>
      </c>
      <c r="F1" s="34" t="s">
        <v>12</v>
      </c>
      <c r="G1" s="34" t="s">
        <v>13</v>
      </c>
      <c r="H1" s="34" t="s">
        <v>18</v>
      </c>
      <c r="I1" s="34" t="s">
        <v>19</v>
      </c>
      <c r="J1" s="34" t="s">
        <v>3</v>
      </c>
    </row>
    <row r="2" spans="1:11" x14ac:dyDescent="0.25">
      <c r="A2" s="35" t="s">
        <v>87</v>
      </c>
      <c r="B2" s="35" t="s">
        <v>158</v>
      </c>
      <c r="C2" s="6">
        <f t="shared" ref="C2:C65" si="0">_xlfn.IFS(B2="Janeiro",1,B2="Fevereiro",2,B2="Março",3,B2="Abril",4,B2="Maio",5,B2="Junho",6,B2="Julho",7,B2="Agosto",8,B2="Setembro",9,B2="Outubro",10,B2="Novembro",11,B2="Dezembro",12,TRUE,0)</f>
        <v>1</v>
      </c>
      <c r="D2" s="77">
        <v>5</v>
      </c>
      <c r="E2" s="77">
        <v>22</v>
      </c>
      <c r="F2" s="77">
        <v>0</v>
      </c>
      <c r="G2" s="77">
        <v>0</v>
      </c>
      <c r="H2" s="77">
        <v>1</v>
      </c>
      <c r="I2" s="77">
        <v>4</v>
      </c>
      <c r="J2" s="77">
        <v>2</v>
      </c>
      <c r="K2" s="46"/>
    </row>
    <row r="3" spans="1:11" x14ac:dyDescent="0.25">
      <c r="A3" s="36" t="s">
        <v>87</v>
      </c>
      <c r="B3" s="36" t="s">
        <v>159</v>
      </c>
      <c r="C3" s="6">
        <f t="shared" si="0"/>
        <v>2</v>
      </c>
      <c r="D3" s="75">
        <v>2</v>
      </c>
      <c r="E3" s="75">
        <v>9</v>
      </c>
      <c r="F3" s="75">
        <v>0</v>
      </c>
      <c r="G3" s="75">
        <v>0</v>
      </c>
      <c r="H3" s="75">
        <v>0</v>
      </c>
      <c r="I3" s="75">
        <v>0</v>
      </c>
      <c r="J3" s="75">
        <v>1</v>
      </c>
      <c r="K3" s="46"/>
    </row>
    <row r="4" spans="1:11" x14ac:dyDescent="0.25">
      <c r="A4" s="35" t="s">
        <v>87</v>
      </c>
      <c r="B4" s="35" t="s">
        <v>160</v>
      </c>
      <c r="C4" s="6">
        <f t="shared" si="0"/>
        <v>3</v>
      </c>
      <c r="D4" s="77">
        <v>0</v>
      </c>
      <c r="E4" s="77">
        <v>0</v>
      </c>
      <c r="F4" s="77">
        <v>0</v>
      </c>
      <c r="G4" s="77">
        <v>0</v>
      </c>
      <c r="H4" s="77">
        <v>7</v>
      </c>
      <c r="I4" s="77">
        <v>31</v>
      </c>
      <c r="J4" s="77">
        <v>0</v>
      </c>
      <c r="K4" s="46"/>
    </row>
    <row r="5" spans="1:11" x14ac:dyDescent="0.25">
      <c r="A5" s="36" t="s">
        <v>87</v>
      </c>
      <c r="B5" s="36" t="s">
        <v>161</v>
      </c>
      <c r="C5" s="6">
        <f t="shared" si="0"/>
        <v>4</v>
      </c>
      <c r="D5" s="75">
        <v>2</v>
      </c>
      <c r="E5" s="75">
        <v>9</v>
      </c>
      <c r="F5" s="75">
        <v>0</v>
      </c>
      <c r="G5" s="75">
        <v>0</v>
      </c>
      <c r="H5" s="75">
        <v>0</v>
      </c>
      <c r="I5" s="75">
        <v>0</v>
      </c>
      <c r="J5" s="75">
        <v>1</v>
      </c>
      <c r="K5" s="46"/>
    </row>
    <row r="6" spans="1:11" x14ac:dyDescent="0.25">
      <c r="A6" s="35" t="s">
        <v>87</v>
      </c>
      <c r="B6" s="35" t="s">
        <v>162</v>
      </c>
      <c r="C6" s="6">
        <f t="shared" si="0"/>
        <v>5</v>
      </c>
      <c r="D6" s="77">
        <v>5</v>
      </c>
      <c r="E6" s="77">
        <v>22</v>
      </c>
      <c r="F6" s="77">
        <v>0</v>
      </c>
      <c r="G6" s="77">
        <v>0</v>
      </c>
      <c r="H6" s="77">
        <v>13</v>
      </c>
      <c r="I6" s="77">
        <v>59</v>
      </c>
      <c r="J6" s="77">
        <v>2</v>
      </c>
      <c r="K6" s="46"/>
    </row>
    <row r="7" spans="1:11" x14ac:dyDescent="0.25">
      <c r="A7" s="36" t="s">
        <v>87</v>
      </c>
      <c r="B7" s="36" t="s">
        <v>163</v>
      </c>
      <c r="C7" s="6">
        <f t="shared" si="0"/>
        <v>6</v>
      </c>
      <c r="D7" s="75">
        <v>4</v>
      </c>
      <c r="E7" s="75">
        <v>18</v>
      </c>
      <c r="F7" s="75">
        <v>0</v>
      </c>
      <c r="G7" s="75">
        <v>0</v>
      </c>
      <c r="H7" s="75">
        <v>3</v>
      </c>
      <c r="I7" s="75">
        <v>13</v>
      </c>
      <c r="J7" s="75">
        <v>2</v>
      </c>
      <c r="K7" s="46"/>
    </row>
    <row r="8" spans="1:11" x14ac:dyDescent="0.25">
      <c r="A8" s="35" t="s">
        <v>87</v>
      </c>
      <c r="B8" s="35" t="s">
        <v>164</v>
      </c>
      <c r="C8" s="6">
        <f t="shared" si="0"/>
        <v>7</v>
      </c>
      <c r="D8" s="77">
        <v>0</v>
      </c>
      <c r="E8" s="77">
        <v>0</v>
      </c>
      <c r="F8" s="77">
        <v>0</v>
      </c>
      <c r="G8" s="77">
        <v>0</v>
      </c>
      <c r="H8" s="77">
        <v>0</v>
      </c>
      <c r="I8" s="77">
        <v>0</v>
      </c>
      <c r="J8" s="77">
        <v>0</v>
      </c>
    </row>
    <row r="9" spans="1:11" x14ac:dyDescent="0.25">
      <c r="A9" s="36" t="s">
        <v>87</v>
      </c>
      <c r="B9" s="36" t="s">
        <v>165</v>
      </c>
      <c r="C9" s="6">
        <f t="shared" si="0"/>
        <v>8</v>
      </c>
      <c r="D9" s="75">
        <v>2</v>
      </c>
      <c r="E9" s="75">
        <v>9</v>
      </c>
      <c r="F9" s="75">
        <v>0</v>
      </c>
      <c r="G9" s="75">
        <v>0</v>
      </c>
      <c r="H9" s="75">
        <v>0</v>
      </c>
      <c r="I9" s="75">
        <v>0</v>
      </c>
      <c r="J9" s="75">
        <v>1</v>
      </c>
    </row>
    <row r="10" spans="1:11" x14ac:dyDescent="0.25">
      <c r="A10" s="35" t="s">
        <v>87</v>
      </c>
      <c r="B10" s="35" t="s">
        <v>166</v>
      </c>
      <c r="C10" s="6">
        <f t="shared" si="0"/>
        <v>9</v>
      </c>
      <c r="D10" s="77">
        <v>4</v>
      </c>
      <c r="E10" s="77">
        <v>18</v>
      </c>
      <c r="F10" s="77">
        <v>0</v>
      </c>
      <c r="G10" s="77">
        <v>0</v>
      </c>
      <c r="H10" s="77">
        <v>11</v>
      </c>
      <c r="I10" s="77">
        <v>50</v>
      </c>
      <c r="J10" s="77">
        <v>2</v>
      </c>
    </row>
    <row r="11" spans="1:11" x14ac:dyDescent="0.25">
      <c r="A11" s="36" t="s">
        <v>87</v>
      </c>
      <c r="B11" s="36" t="s">
        <v>167</v>
      </c>
      <c r="C11" s="6">
        <f t="shared" si="0"/>
        <v>10</v>
      </c>
      <c r="D11" s="75">
        <v>5</v>
      </c>
      <c r="E11" s="75">
        <v>22</v>
      </c>
      <c r="F11" s="75">
        <v>0</v>
      </c>
      <c r="G11" s="75">
        <v>0</v>
      </c>
      <c r="H11" s="75">
        <v>0</v>
      </c>
      <c r="I11" s="75">
        <v>0</v>
      </c>
      <c r="J11" s="75">
        <v>2</v>
      </c>
    </row>
    <row r="12" spans="1:11" x14ac:dyDescent="0.25">
      <c r="A12" s="35" t="s">
        <v>87</v>
      </c>
      <c r="B12" s="35" t="s">
        <v>168</v>
      </c>
      <c r="C12" s="6">
        <f t="shared" si="0"/>
        <v>11</v>
      </c>
      <c r="D12" s="77">
        <v>7</v>
      </c>
      <c r="E12" s="77">
        <v>31</v>
      </c>
      <c r="F12" s="77">
        <v>3</v>
      </c>
      <c r="G12" s="77">
        <v>1</v>
      </c>
      <c r="H12" s="77">
        <v>0</v>
      </c>
      <c r="I12" s="77">
        <v>0</v>
      </c>
      <c r="J12" s="77">
        <v>3</v>
      </c>
    </row>
    <row r="13" spans="1:11" x14ac:dyDescent="0.25">
      <c r="A13" s="36" t="s">
        <v>87</v>
      </c>
      <c r="B13" s="36" t="s">
        <v>169</v>
      </c>
      <c r="C13" s="6">
        <f t="shared" si="0"/>
        <v>12</v>
      </c>
      <c r="D13" s="75">
        <v>3</v>
      </c>
      <c r="E13" s="75">
        <v>13</v>
      </c>
      <c r="F13" s="75">
        <v>0</v>
      </c>
      <c r="G13" s="75">
        <v>0</v>
      </c>
      <c r="H13" s="75">
        <v>0</v>
      </c>
      <c r="I13" s="75">
        <v>0</v>
      </c>
      <c r="J13" s="75">
        <v>1</v>
      </c>
    </row>
    <row r="14" spans="1:11" x14ac:dyDescent="0.25">
      <c r="A14" s="35" t="s">
        <v>98</v>
      </c>
      <c r="B14" s="35" t="s">
        <v>158</v>
      </c>
      <c r="C14" s="6">
        <f t="shared" si="0"/>
        <v>1</v>
      </c>
      <c r="D14" s="77">
        <v>0</v>
      </c>
      <c r="E14" s="77">
        <v>0</v>
      </c>
      <c r="F14" s="77">
        <v>0</v>
      </c>
      <c r="G14" s="77">
        <v>0</v>
      </c>
      <c r="H14" s="77">
        <v>0</v>
      </c>
      <c r="I14" s="77">
        <v>0</v>
      </c>
      <c r="J14" s="77">
        <v>0</v>
      </c>
    </row>
    <row r="15" spans="1:11" x14ac:dyDescent="0.25">
      <c r="A15" s="36" t="s">
        <v>98</v>
      </c>
      <c r="B15" s="36" t="s">
        <v>159</v>
      </c>
      <c r="C15" s="6">
        <f t="shared" si="0"/>
        <v>2</v>
      </c>
      <c r="D15" s="75">
        <v>0</v>
      </c>
      <c r="E15" s="75">
        <v>0</v>
      </c>
      <c r="F15" s="75">
        <v>0</v>
      </c>
      <c r="G15" s="75">
        <v>0</v>
      </c>
      <c r="H15" s="75">
        <v>0</v>
      </c>
      <c r="I15" s="75">
        <v>0</v>
      </c>
      <c r="J15" s="75">
        <v>0</v>
      </c>
    </row>
    <row r="16" spans="1:11" x14ac:dyDescent="0.25">
      <c r="A16" s="35" t="s">
        <v>98</v>
      </c>
      <c r="B16" s="35" t="s">
        <v>160</v>
      </c>
      <c r="C16" s="6">
        <f t="shared" si="0"/>
        <v>3</v>
      </c>
      <c r="D16" s="77">
        <v>0</v>
      </c>
      <c r="E16" s="77">
        <v>0</v>
      </c>
      <c r="F16" s="77">
        <v>0</v>
      </c>
      <c r="G16" s="77">
        <v>0</v>
      </c>
      <c r="H16" s="77">
        <v>0</v>
      </c>
      <c r="I16" s="77">
        <v>0</v>
      </c>
      <c r="J16" s="77">
        <v>0</v>
      </c>
    </row>
    <row r="17" spans="1:10" x14ac:dyDescent="0.25">
      <c r="A17" s="36" t="s">
        <v>98</v>
      </c>
      <c r="B17" s="36" t="s">
        <v>161</v>
      </c>
      <c r="C17" s="6">
        <f t="shared" si="0"/>
        <v>4</v>
      </c>
      <c r="D17" s="75">
        <v>0</v>
      </c>
      <c r="E17" s="75">
        <v>0</v>
      </c>
      <c r="F17" s="75">
        <v>0</v>
      </c>
      <c r="G17" s="75">
        <v>0</v>
      </c>
      <c r="H17" s="75">
        <v>0</v>
      </c>
      <c r="I17" s="75">
        <v>0</v>
      </c>
      <c r="J17" s="75">
        <v>0</v>
      </c>
    </row>
    <row r="18" spans="1:10" x14ac:dyDescent="0.25">
      <c r="A18" s="35" t="s">
        <v>98</v>
      </c>
      <c r="B18" s="35" t="s">
        <v>162</v>
      </c>
      <c r="C18" s="6">
        <f t="shared" si="0"/>
        <v>5</v>
      </c>
      <c r="D18" s="77">
        <v>0</v>
      </c>
      <c r="E18" s="77">
        <v>0</v>
      </c>
      <c r="F18" s="77">
        <v>0</v>
      </c>
      <c r="G18" s="77">
        <v>0</v>
      </c>
      <c r="H18" s="77">
        <v>0</v>
      </c>
      <c r="I18" s="77">
        <v>0</v>
      </c>
      <c r="J18" s="77">
        <v>0</v>
      </c>
    </row>
    <row r="19" spans="1:10" x14ac:dyDescent="0.25">
      <c r="A19" s="36" t="s">
        <v>98</v>
      </c>
      <c r="B19" s="36" t="s">
        <v>163</v>
      </c>
      <c r="C19" s="6">
        <f t="shared" si="0"/>
        <v>6</v>
      </c>
      <c r="D19" s="75">
        <v>0</v>
      </c>
      <c r="E19" s="75">
        <v>0</v>
      </c>
      <c r="F19" s="75">
        <v>0</v>
      </c>
      <c r="G19" s="75">
        <v>0</v>
      </c>
      <c r="H19" s="75">
        <v>0</v>
      </c>
      <c r="I19" s="75">
        <v>0</v>
      </c>
      <c r="J19" s="75">
        <v>0</v>
      </c>
    </row>
    <row r="20" spans="1:10" x14ac:dyDescent="0.25">
      <c r="A20" s="35" t="s">
        <v>98</v>
      </c>
      <c r="B20" s="35" t="s">
        <v>164</v>
      </c>
      <c r="C20" s="6">
        <f t="shared" si="0"/>
        <v>7</v>
      </c>
      <c r="D20" s="77">
        <v>0</v>
      </c>
      <c r="E20" s="77">
        <v>0</v>
      </c>
      <c r="F20" s="77">
        <v>0</v>
      </c>
      <c r="G20" s="77">
        <v>0</v>
      </c>
      <c r="H20" s="77">
        <v>0</v>
      </c>
      <c r="I20" s="77">
        <v>0</v>
      </c>
      <c r="J20" s="77">
        <v>0</v>
      </c>
    </row>
    <row r="21" spans="1:10" x14ac:dyDescent="0.25">
      <c r="A21" s="36" t="s">
        <v>98</v>
      </c>
      <c r="B21" s="36" t="s">
        <v>165</v>
      </c>
      <c r="C21" s="6">
        <f t="shared" si="0"/>
        <v>8</v>
      </c>
      <c r="D21" s="75">
        <v>0</v>
      </c>
      <c r="E21" s="75">
        <v>0</v>
      </c>
      <c r="F21" s="75">
        <v>0</v>
      </c>
      <c r="G21" s="75">
        <v>0</v>
      </c>
      <c r="H21" s="75">
        <v>0</v>
      </c>
      <c r="I21" s="75">
        <v>0</v>
      </c>
      <c r="J21" s="75">
        <v>0</v>
      </c>
    </row>
    <row r="22" spans="1:10" x14ac:dyDescent="0.25">
      <c r="A22" s="35" t="s">
        <v>98</v>
      </c>
      <c r="B22" s="35" t="s">
        <v>166</v>
      </c>
      <c r="C22" s="6">
        <f t="shared" si="0"/>
        <v>9</v>
      </c>
      <c r="D22" s="77">
        <v>0</v>
      </c>
      <c r="E22" s="77">
        <v>0</v>
      </c>
      <c r="F22" s="77">
        <v>0</v>
      </c>
      <c r="G22" s="77">
        <v>0</v>
      </c>
      <c r="H22" s="77">
        <v>0</v>
      </c>
      <c r="I22" s="77">
        <v>0</v>
      </c>
      <c r="J22" s="77">
        <v>0</v>
      </c>
    </row>
    <row r="23" spans="1:10" x14ac:dyDescent="0.25">
      <c r="A23" s="36" t="s">
        <v>98</v>
      </c>
      <c r="B23" s="36" t="s">
        <v>167</v>
      </c>
      <c r="C23" s="6">
        <f t="shared" si="0"/>
        <v>10</v>
      </c>
      <c r="D23" s="75">
        <v>0</v>
      </c>
      <c r="E23" s="75">
        <v>0</v>
      </c>
      <c r="F23" s="75">
        <v>0</v>
      </c>
      <c r="G23" s="75">
        <v>0</v>
      </c>
      <c r="H23" s="75">
        <v>0</v>
      </c>
      <c r="I23" s="75">
        <v>0</v>
      </c>
      <c r="J23" s="75">
        <v>0</v>
      </c>
    </row>
    <row r="24" spans="1:10" x14ac:dyDescent="0.25">
      <c r="A24" s="35" t="s">
        <v>98</v>
      </c>
      <c r="B24" s="35" t="s">
        <v>168</v>
      </c>
      <c r="C24" s="6">
        <f t="shared" si="0"/>
        <v>11</v>
      </c>
      <c r="D24" s="77">
        <v>0</v>
      </c>
      <c r="E24" s="77">
        <v>0</v>
      </c>
      <c r="F24" s="77">
        <v>0</v>
      </c>
      <c r="G24" s="77">
        <v>0</v>
      </c>
      <c r="H24" s="77">
        <v>0</v>
      </c>
      <c r="I24" s="77">
        <v>0</v>
      </c>
      <c r="J24" s="77">
        <v>0</v>
      </c>
    </row>
    <row r="25" spans="1:10" x14ac:dyDescent="0.25">
      <c r="A25" s="36" t="s">
        <v>98</v>
      </c>
      <c r="B25" s="36" t="s">
        <v>169</v>
      </c>
      <c r="C25" s="6">
        <f t="shared" si="0"/>
        <v>12</v>
      </c>
      <c r="D25" s="75">
        <v>0</v>
      </c>
      <c r="E25" s="75">
        <v>0</v>
      </c>
      <c r="F25" s="75">
        <v>0</v>
      </c>
      <c r="G25" s="75">
        <v>0</v>
      </c>
      <c r="H25" s="75">
        <v>0</v>
      </c>
      <c r="I25" s="75">
        <v>0</v>
      </c>
      <c r="J25" s="75">
        <v>0</v>
      </c>
    </row>
    <row r="26" spans="1:10" x14ac:dyDescent="0.25">
      <c r="A26" s="35" t="s">
        <v>56</v>
      </c>
      <c r="B26" s="35" t="s">
        <v>158</v>
      </c>
      <c r="C26" s="6">
        <f t="shared" si="0"/>
        <v>1</v>
      </c>
      <c r="D26" s="77">
        <v>0</v>
      </c>
      <c r="E26" s="77">
        <v>0</v>
      </c>
      <c r="F26" s="77">
        <v>0</v>
      </c>
      <c r="G26" s="77">
        <v>0</v>
      </c>
      <c r="H26" s="77">
        <v>0</v>
      </c>
      <c r="I26" s="77">
        <v>0</v>
      </c>
      <c r="J26" s="77">
        <v>0</v>
      </c>
    </row>
    <row r="27" spans="1:10" x14ac:dyDescent="0.25">
      <c r="A27" s="36" t="s">
        <v>56</v>
      </c>
      <c r="B27" s="36" t="s">
        <v>159</v>
      </c>
      <c r="C27" s="6">
        <f t="shared" si="0"/>
        <v>2</v>
      </c>
      <c r="D27" s="75">
        <v>0</v>
      </c>
      <c r="E27" s="75">
        <v>0</v>
      </c>
      <c r="F27" s="75">
        <v>0</v>
      </c>
      <c r="G27" s="75">
        <v>0</v>
      </c>
      <c r="H27" s="75">
        <v>0</v>
      </c>
      <c r="I27" s="75">
        <v>0</v>
      </c>
      <c r="J27" s="75">
        <v>0</v>
      </c>
    </row>
    <row r="28" spans="1:10" x14ac:dyDescent="0.25">
      <c r="A28" s="35" t="s">
        <v>56</v>
      </c>
      <c r="B28" s="35" t="s">
        <v>160</v>
      </c>
      <c r="C28" s="6">
        <f t="shared" si="0"/>
        <v>3</v>
      </c>
      <c r="D28" s="77">
        <v>0</v>
      </c>
      <c r="E28" s="77">
        <v>0</v>
      </c>
      <c r="F28" s="77">
        <v>0</v>
      </c>
      <c r="G28" s="77">
        <v>0</v>
      </c>
      <c r="H28" s="77">
        <v>4</v>
      </c>
      <c r="I28" s="77">
        <v>16</v>
      </c>
      <c r="J28" s="77">
        <v>0</v>
      </c>
    </row>
    <row r="29" spans="1:10" x14ac:dyDescent="0.25">
      <c r="A29" s="36" t="s">
        <v>56</v>
      </c>
      <c r="B29" s="36" t="s">
        <v>161</v>
      </c>
      <c r="C29" s="6">
        <f t="shared" si="0"/>
        <v>4</v>
      </c>
      <c r="D29" s="75">
        <v>0</v>
      </c>
      <c r="E29" s="75">
        <v>0</v>
      </c>
      <c r="F29" s="75">
        <v>0</v>
      </c>
      <c r="G29" s="75">
        <v>0</v>
      </c>
      <c r="H29" s="75">
        <v>0</v>
      </c>
      <c r="I29" s="75">
        <v>0</v>
      </c>
      <c r="J29" s="75">
        <v>0</v>
      </c>
    </row>
    <row r="30" spans="1:10" x14ac:dyDescent="0.25">
      <c r="A30" s="35" t="s">
        <v>56</v>
      </c>
      <c r="B30" s="35" t="s">
        <v>162</v>
      </c>
      <c r="C30" s="6">
        <f t="shared" si="0"/>
        <v>5</v>
      </c>
      <c r="D30" s="77">
        <v>8</v>
      </c>
      <c r="E30" s="77">
        <v>33</v>
      </c>
      <c r="F30" s="77">
        <v>0</v>
      </c>
      <c r="G30" s="77">
        <v>0</v>
      </c>
      <c r="H30" s="77">
        <v>0</v>
      </c>
      <c r="I30" s="77">
        <v>0</v>
      </c>
      <c r="J30" s="77">
        <v>4</v>
      </c>
    </row>
    <row r="31" spans="1:10" x14ac:dyDescent="0.25">
      <c r="A31" s="36" t="s">
        <v>56</v>
      </c>
      <c r="B31" s="36" t="s">
        <v>163</v>
      </c>
      <c r="C31" s="6">
        <f t="shared" si="0"/>
        <v>6</v>
      </c>
      <c r="D31" s="75">
        <v>0</v>
      </c>
      <c r="E31" s="75">
        <v>0</v>
      </c>
      <c r="F31" s="75">
        <v>0</v>
      </c>
      <c r="G31" s="75">
        <v>0</v>
      </c>
      <c r="H31" s="75">
        <v>8</v>
      </c>
      <c r="I31" s="75">
        <v>33</v>
      </c>
      <c r="J31" s="75">
        <v>0</v>
      </c>
    </row>
    <row r="32" spans="1:10" x14ac:dyDescent="0.25">
      <c r="A32" s="35" t="s">
        <v>56</v>
      </c>
      <c r="B32" s="35" t="s">
        <v>164</v>
      </c>
      <c r="C32" s="6">
        <f t="shared" si="0"/>
        <v>7</v>
      </c>
      <c r="D32" s="77">
        <v>0</v>
      </c>
      <c r="E32" s="77">
        <v>0</v>
      </c>
      <c r="F32" s="77">
        <v>0</v>
      </c>
      <c r="G32" s="77">
        <v>0</v>
      </c>
      <c r="H32" s="77">
        <v>0</v>
      </c>
      <c r="I32" s="77">
        <v>0</v>
      </c>
      <c r="J32" s="77">
        <v>0</v>
      </c>
    </row>
    <row r="33" spans="1:10" x14ac:dyDescent="0.25">
      <c r="A33" s="36" t="s">
        <v>56</v>
      </c>
      <c r="B33" s="36" t="s">
        <v>165</v>
      </c>
      <c r="C33" s="6">
        <f t="shared" si="0"/>
        <v>8</v>
      </c>
      <c r="D33" s="75">
        <v>0</v>
      </c>
      <c r="E33" s="75">
        <v>0</v>
      </c>
      <c r="F33" s="75">
        <v>0</v>
      </c>
      <c r="G33" s="75">
        <v>0</v>
      </c>
      <c r="H33" s="75">
        <v>0</v>
      </c>
      <c r="I33" s="75">
        <v>0</v>
      </c>
      <c r="J33" s="75">
        <v>0</v>
      </c>
    </row>
    <row r="34" spans="1:10" x14ac:dyDescent="0.25">
      <c r="A34" s="35" t="s">
        <v>56</v>
      </c>
      <c r="B34" s="35" t="s">
        <v>166</v>
      </c>
      <c r="C34" s="6">
        <f t="shared" si="0"/>
        <v>9</v>
      </c>
      <c r="D34" s="77">
        <v>0</v>
      </c>
      <c r="E34" s="77">
        <v>0</v>
      </c>
      <c r="F34" s="77">
        <v>0</v>
      </c>
      <c r="G34" s="77">
        <v>0</v>
      </c>
      <c r="H34" s="77">
        <v>9</v>
      </c>
      <c r="I34" s="77">
        <v>37</v>
      </c>
      <c r="J34" s="77">
        <v>0</v>
      </c>
    </row>
    <row r="35" spans="1:10" x14ac:dyDescent="0.25">
      <c r="A35" s="36" t="s">
        <v>56</v>
      </c>
      <c r="B35" s="36" t="s">
        <v>167</v>
      </c>
      <c r="C35" s="6">
        <f t="shared" si="0"/>
        <v>10</v>
      </c>
      <c r="D35" s="75">
        <v>7</v>
      </c>
      <c r="E35" s="75">
        <v>29</v>
      </c>
      <c r="F35" s="75">
        <v>1</v>
      </c>
      <c r="G35" s="75">
        <v>0</v>
      </c>
      <c r="H35" s="75">
        <v>0</v>
      </c>
      <c r="I35" s="75">
        <v>0</v>
      </c>
      <c r="J35" s="75">
        <v>2</v>
      </c>
    </row>
    <row r="36" spans="1:10" x14ac:dyDescent="0.25">
      <c r="A36" s="35" t="s">
        <v>56</v>
      </c>
      <c r="B36" s="35" t="s">
        <v>168</v>
      </c>
      <c r="C36" s="6">
        <f t="shared" si="0"/>
        <v>11</v>
      </c>
      <c r="D36" s="77">
        <v>8</v>
      </c>
      <c r="E36" s="77">
        <v>33</v>
      </c>
      <c r="F36" s="77">
        <v>0</v>
      </c>
      <c r="G36" s="77">
        <v>0</v>
      </c>
      <c r="H36" s="77">
        <v>11</v>
      </c>
      <c r="I36" s="77">
        <v>45</v>
      </c>
      <c r="J36" s="77">
        <v>5</v>
      </c>
    </row>
    <row r="37" spans="1:10" x14ac:dyDescent="0.25">
      <c r="A37" s="36" t="s">
        <v>56</v>
      </c>
      <c r="B37" s="36" t="s">
        <v>169</v>
      </c>
      <c r="C37" s="6">
        <f t="shared" si="0"/>
        <v>12</v>
      </c>
      <c r="D37" s="75">
        <v>13</v>
      </c>
      <c r="E37" s="75">
        <v>54</v>
      </c>
      <c r="F37" s="75">
        <v>1</v>
      </c>
      <c r="G37" s="75">
        <v>1</v>
      </c>
      <c r="H37" s="75">
        <v>0</v>
      </c>
      <c r="I37" s="75">
        <v>0</v>
      </c>
      <c r="J37" s="75">
        <v>5</v>
      </c>
    </row>
    <row r="38" spans="1:10" x14ac:dyDescent="0.25">
      <c r="A38" s="35" t="s">
        <v>149</v>
      </c>
      <c r="B38" s="35" t="s">
        <v>158</v>
      </c>
      <c r="C38" s="6">
        <f t="shared" si="0"/>
        <v>1</v>
      </c>
      <c r="D38" s="77">
        <v>0</v>
      </c>
      <c r="E38" s="77">
        <v>0</v>
      </c>
      <c r="F38" s="77">
        <v>0</v>
      </c>
      <c r="G38" s="77">
        <v>0</v>
      </c>
      <c r="H38" s="77">
        <v>5</v>
      </c>
      <c r="I38" s="77">
        <v>20</v>
      </c>
      <c r="J38" s="77">
        <v>0</v>
      </c>
    </row>
    <row r="39" spans="1:10" x14ac:dyDescent="0.25">
      <c r="A39" s="36" t="s">
        <v>149</v>
      </c>
      <c r="B39" s="36" t="s">
        <v>159</v>
      </c>
      <c r="C39" s="6">
        <f t="shared" si="0"/>
        <v>2</v>
      </c>
      <c r="D39" s="75">
        <v>3</v>
      </c>
      <c r="E39" s="75">
        <v>12</v>
      </c>
      <c r="F39" s="75">
        <v>0</v>
      </c>
      <c r="G39" s="75">
        <v>0</v>
      </c>
      <c r="H39" s="75">
        <v>0</v>
      </c>
      <c r="I39" s="75">
        <v>0</v>
      </c>
      <c r="J39" s="75">
        <v>2</v>
      </c>
    </row>
    <row r="40" spans="1:10" x14ac:dyDescent="0.25">
      <c r="A40" s="35" t="s">
        <v>149</v>
      </c>
      <c r="B40" s="35" t="s">
        <v>160</v>
      </c>
      <c r="C40" s="6">
        <f t="shared" si="0"/>
        <v>3</v>
      </c>
      <c r="D40" s="77">
        <v>3</v>
      </c>
      <c r="E40" s="77">
        <v>12</v>
      </c>
      <c r="F40" s="77">
        <v>0</v>
      </c>
      <c r="G40" s="77">
        <v>0</v>
      </c>
      <c r="H40" s="77">
        <v>8</v>
      </c>
      <c r="I40" s="77">
        <v>33</v>
      </c>
      <c r="J40" s="77">
        <v>2</v>
      </c>
    </row>
    <row r="41" spans="1:10" x14ac:dyDescent="0.25">
      <c r="A41" s="36" t="s">
        <v>149</v>
      </c>
      <c r="B41" s="36" t="s">
        <v>161</v>
      </c>
      <c r="C41" s="6">
        <f t="shared" si="0"/>
        <v>4</v>
      </c>
      <c r="D41" s="75">
        <v>2</v>
      </c>
      <c r="E41" s="75">
        <v>8</v>
      </c>
      <c r="F41" s="75">
        <v>0</v>
      </c>
      <c r="G41" s="75">
        <v>0</v>
      </c>
      <c r="H41" s="75">
        <v>0</v>
      </c>
      <c r="I41" s="75">
        <v>0</v>
      </c>
      <c r="J41" s="75">
        <v>1</v>
      </c>
    </row>
    <row r="42" spans="1:10" x14ac:dyDescent="0.25">
      <c r="A42" s="35" t="s">
        <v>149</v>
      </c>
      <c r="B42" s="35" t="s">
        <v>162</v>
      </c>
      <c r="C42" s="6">
        <f t="shared" si="0"/>
        <v>5</v>
      </c>
      <c r="D42" s="77">
        <v>5</v>
      </c>
      <c r="E42" s="77">
        <v>20</v>
      </c>
      <c r="F42" s="77">
        <v>0</v>
      </c>
      <c r="G42" s="77">
        <v>0</v>
      </c>
      <c r="H42" s="77">
        <v>0</v>
      </c>
      <c r="I42" s="77">
        <v>0</v>
      </c>
      <c r="J42" s="77">
        <v>2</v>
      </c>
    </row>
    <row r="43" spans="1:10" x14ac:dyDescent="0.25">
      <c r="A43" s="36" t="s">
        <v>149</v>
      </c>
      <c r="B43" s="36" t="s">
        <v>163</v>
      </c>
      <c r="C43" s="6">
        <f t="shared" si="0"/>
        <v>6</v>
      </c>
      <c r="D43" s="75">
        <v>0</v>
      </c>
      <c r="E43" s="75">
        <v>0</v>
      </c>
      <c r="F43" s="75">
        <v>0</v>
      </c>
      <c r="G43" s="75">
        <v>0</v>
      </c>
      <c r="H43" s="75">
        <v>15</v>
      </c>
      <c r="I43" s="75">
        <v>62</v>
      </c>
      <c r="J43" s="75">
        <v>0</v>
      </c>
    </row>
    <row r="44" spans="1:10" x14ac:dyDescent="0.25">
      <c r="A44" s="35" t="s">
        <v>149</v>
      </c>
      <c r="B44" s="35" t="s">
        <v>164</v>
      </c>
      <c r="C44" s="6">
        <f t="shared" si="0"/>
        <v>7</v>
      </c>
      <c r="D44" s="77">
        <v>6</v>
      </c>
      <c r="E44" s="77">
        <v>25</v>
      </c>
      <c r="F44" s="77">
        <v>0</v>
      </c>
      <c r="G44" s="77">
        <v>0</v>
      </c>
      <c r="H44" s="77">
        <v>0</v>
      </c>
      <c r="I44" s="77">
        <v>0</v>
      </c>
      <c r="J44" s="77">
        <v>3</v>
      </c>
    </row>
    <row r="45" spans="1:10" x14ac:dyDescent="0.25">
      <c r="A45" s="36" t="s">
        <v>149</v>
      </c>
      <c r="B45" s="36" t="s">
        <v>165</v>
      </c>
      <c r="C45" s="6">
        <f t="shared" si="0"/>
        <v>8</v>
      </c>
      <c r="D45" s="75">
        <v>6</v>
      </c>
      <c r="E45" s="75">
        <v>25</v>
      </c>
      <c r="F45" s="75">
        <v>0</v>
      </c>
      <c r="G45" s="75">
        <v>0</v>
      </c>
      <c r="H45" s="75">
        <v>0</v>
      </c>
      <c r="I45" s="75">
        <v>0</v>
      </c>
      <c r="J45" s="75">
        <v>4</v>
      </c>
    </row>
    <row r="46" spans="1:10" x14ac:dyDescent="0.25">
      <c r="A46" s="35" t="s">
        <v>149</v>
      </c>
      <c r="B46" s="35" t="s">
        <v>166</v>
      </c>
      <c r="C46" s="6">
        <f t="shared" si="0"/>
        <v>9</v>
      </c>
      <c r="D46" s="77">
        <v>7</v>
      </c>
      <c r="E46" s="77">
        <v>29</v>
      </c>
      <c r="F46" s="77">
        <v>0</v>
      </c>
      <c r="G46" s="77">
        <v>0</v>
      </c>
      <c r="H46" s="77">
        <v>10</v>
      </c>
      <c r="I46" s="77">
        <v>41</v>
      </c>
      <c r="J46" s="77">
        <v>6</v>
      </c>
    </row>
    <row r="47" spans="1:10" x14ac:dyDescent="0.25">
      <c r="A47" s="36" t="s">
        <v>149</v>
      </c>
      <c r="B47" s="36" t="s">
        <v>167</v>
      </c>
      <c r="C47" s="6">
        <f t="shared" si="0"/>
        <v>10</v>
      </c>
      <c r="D47" s="75">
        <v>6</v>
      </c>
      <c r="E47" s="75">
        <v>25</v>
      </c>
      <c r="F47" s="75">
        <v>0</v>
      </c>
      <c r="G47" s="75">
        <v>0</v>
      </c>
      <c r="H47" s="75">
        <v>0</v>
      </c>
      <c r="I47" s="75">
        <v>0</v>
      </c>
      <c r="J47" s="75">
        <v>3</v>
      </c>
    </row>
    <row r="48" spans="1:10" x14ac:dyDescent="0.25">
      <c r="A48" s="35" t="s">
        <v>149</v>
      </c>
      <c r="B48" s="35" t="s">
        <v>168</v>
      </c>
      <c r="C48" s="6">
        <f t="shared" si="0"/>
        <v>11</v>
      </c>
      <c r="D48" s="77">
        <v>8</v>
      </c>
      <c r="E48" s="77">
        <v>33</v>
      </c>
      <c r="F48" s="77">
        <v>0</v>
      </c>
      <c r="G48" s="77">
        <v>0</v>
      </c>
      <c r="H48" s="77">
        <v>12</v>
      </c>
      <c r="I48" s="77">
        <v>50</v>
      </c>
      <c r="J48" s="77">
        <v>5</v>
      </c>
    </row>
    <row r="49" spans="1:10" x14ac:dyDescent="0.25">
      <c r="A49" s="36" t="s">
        <v>149</v>
      </c>
      <c r="B49" s="36" t="s">
        <v>169</v>
      </c>
      <c r="C49" s="6">
        <f t="shared" si="0"/>
        <v>12</v>
      </c>
      <c r="D49" s="75">
        <v>0</v>
      </c>
      <c r="E49" s="75">
        <v>0</v>
      </c>
      <c r="F49" s="75">
        <v>1</v>
      </c>
      <c r="G49" s="75">
        <v>0</v>
      </c>
      <c r="H49" s="75">
        <v>0</v>
      </c>
      <c r="I49" s="75">
        <v>0</v>
      </c>
      <c r="J49" s="75">
        <v>0</v>
      </c>
    </row>
    <row r="50" spans="1:10" x14ac:dyDescent="0.25">
      <c r="A50" s="35" t="s">
        <v>66</v>
      </c>
      <c r="B50" s="35" t="s">
        <v>158</v>
      </c>
      <c r="C50" s="6">
        <f t="shared" si="0"/>
        <v>1</v>
      </c>
      <c r="D50" s="77">
        <v>0</v>
      </c>
      <c r="E50" s="77">
        <v>0</v>
      </c>
      <c r="F50" s="77">
        <v>0</v>
      </c>
      <c r="G50" s="77">
        <v>0</v>
      </c>
      <c r="H50" s="77">
        <v>0</v>
      </c>
      <c r="I50" s="77">
        <v>0</v>
      </c>
      <c r="J50" s="77">
        <v>0</v>
      </c>
    </row>
    <row r="51" spans="1:10" x14ac:dyDescent="0.25">
      <c r="A51" s="36" t="s">
        <v>66</v>
      </c>
      <c r="B51" s="36" t="s">
        <v>159</v>
      </c>
      <c r="C51" s="6">
        <f t="shared" si="0"/>
        <v>2</v>
      </c>
      <c r="D51" s="75">
        <v>0</v>
      </c>
      <c r="E51" s="75">
        <v>0</v>
      </c>
      <c r="F51" s="75">
        <v>0</v>
      </c>
      <c r="G51" s="75">
        <v>0</v>
      </c>
      <c r="H51" s="75">
        <v>0</v>
      </c>
      <c r="I51" s="75">
        <v>0</v>
      </c>
      <c r="J51" s="75">
        <v>0</v>
      </c>
    </row>
    <row r="52" spans="1:10" x14ac:dyDescent="0.25">
      <c r="A52" s="35" t="s">
        <v>66</v>
      </c>
      <c r="B52" s="35" t="s">
        <v>160</v>
      </c>
      <c r="C52" s="6">
        <f t="shared" si="0"/>
        <v>3</v>
      </c>
      <c r="D52" s="77">
        <v>0</v>
      </c>
      <c r="E52" s="77">
        <v>0</v>
      </c>
      <c r="F52" s="77">
        <v>0</v>
      </c>
      <c r="G52" s="77">
        <v>0</v>
      </c>
      <c r="H52" s="77">
        <v>0</v>
      </c>
      <c r="I52" s="77">
        <v>0</v>
      </c>
      <c r="J52" s="77">
        <v>0</v>
      </c>
    </row>
    <row r="53" spans="1:10" x14ac:dyDescent="0.25">
      <c r="A53" s="36" t="s">
        <v>66</v>
      </c>
      <c r="B53" s="36" t="s">
        <v>161</v>
      </c>
      <c r="C53" s="6">
        <f t="shared" si="0"/>
        <v>4</v>
      </c>
      <c r="D53" s="75">
        <v>0</v>
      </c>
      <c r="E53" s="75">
        <v>0</v>
      </c>
      <c r="F53" s="75">
        <v>0</v>
      </c>
      <c r="G53" s="75">
        <v>0</v>
      </c>
      <c r="H53" s="75">
        <v>0</v>
      </c>
      <c r="I53" s="75">
        <v>0</v>
      </c>
      <c r="J53" s="75">
        <v>0</v>
      </c>
    </row>
    <row r="54" spans="1:10" x14ac:dyDescent="0.25">
      <c r="A54" s="35" t="s">
        <v>66</v>
      </c>
      <c r="B54" s="35" t="s">
        <v>162</v>
      </c>
      <c r="C54" s="6">
        <f t="shared" si="0"/>
        <v>5</v>
      </c>
      <c r="D54" s="77">
        <v>0</v>
      </c>
      <c r="E54" s="77">
        <v>0</v>
      </c>
      <c r="F54" s="77">
        <v>0</v>
      </c>
      <c r="G54" s="77">
        <v>0</v>
      </c>
      <c r="H54" s="77">
        <v>0</v>
      </c>
      <c r="I54" s="77">
        <v>0</v>
      </c>
      <c r="J54" s="77">
        <v>1</v>
      </c>
    </row>
    <row r="55" spans="1:10" x14ac:dyDescent="0.25">
      <c r="A55" s="36" t="s">
        <v>66</v>
      </c>
      <c r="B55" s="36" t="s">
        <v>163</v>
      </c>
      <c r="C55" s="6">
        <f t="shared" si="0"/>
        <v>6</v>
      </c>
      <c r="D55" s="75">
        <v>0</v>
      </c>
      <c r="E55" s="75">
        <v>0</v>
      </c>
      <c r="F55" s="75">
        <v>0</v>
      </c>
      <c r="G55" s="75">
        <v>0</v>
      </c>
      <c r="H55" s="75">
        <v>0</v>
      </c>
      <c r="I55" s="75">
        <v>0</v>
      </c>
      <c r="J55" s="75">
        <v>0</v>
      </c>
    </row>
    <row r="56" spans="1:10" x14ac:dyDescent="0.25">
      <c r="A56" s="35" t="s">
        <v>66</v>
      </c>
      <c r="B56" s="35" t="s">
        <v>164</v>
      </c>
      <c r="C56" s="6">
        <f t="shared" si="0"/>
        <v>7</v>
      </c>
      <c r="D56" s="77">
        <v>0</v>
      </c>
      <c r="E56" s="77">
        <v>0</v>
      </c>
      <c r="F56" s="77">
        <v>0</v>
      </c>
      <c r="G56" s="77">
        <v>0</v>
      </c>
      <c r="H56" s="77">
        <v>0</v>
      </c>
      <c r="I56" s="77">
        <v>0</v>
      </c>
      <c r="J56" s="77">
        <v>2</v>
      </c>
    </row>
    <row r="57" spans="1:10" x14ac:dyDescent="0.25">
      <c r="A57" s="36" t="s">
        <v>66</v>
      </c>
      <c r="B57" s="36" t="s">
        <v>165</v>
      </c>
      <c r="C57" s="6">
        <f t="shared" si="0"/>
        <v>8</v>
      </c>
      <c r="D57" s="75">
        <v>0</v>
      </c>
      <c r="E57" s="75">
        <v>0</v>
      </c>
      <c r="F57" s="75">
        <v>0</v>
      </c>
      <c r="G57" s="75">
        <v>0</v>
      </c>
      <c r="H57" s="75">
        <v>0</v>
      </c>
      <c r="I57" s="75">
        <v>0</v>
      </c>
      <c r="J57" s="75">
        <v>1</v>
      </c>
    </row>
    <row r="58" spans="1:10" x14ac:dyDescent="0.25">
      <c r="A58" s="35" t="s">
        <v>66</v>
      </c>
      <c r="B58" s="35" t="s">
        <v>166</v>
      </c>
      <c r="C58" s="6">
        <f t="shared" si="0"/>
        <v>9</v>
      </c>
      <c r="D58" s="77">
        <v>0</v>
      </c>
      <c r="E58" s="77">
        <v>0</v>
      </c>
      <c r="F58" s="77">
        <v>0</v>
      </c>
      <c r="G58" s="77">
        <v>0</v>
      </c>
      <c r="H58" s="77">
        <v>0</v>
      </c>
      <c r="I58" s="77">
        <v>0</v>
      </c>
      <c r="J58" s="77">
        <v>0</v>
      </c>
    </row>
    <row r="59" spans="1:10" x14ac:dyDescent="0.25">
      <c r="A59" s="36" t="s">
        <v>66</v>
      </c>
      <c r="B59" s="36" t="s">
        <v>167</v>
      </c>
      <c r="C59" s="6">
        <f t="shared" si="0"/>
        <v>10</v>
      </c>
      <c r="D59" s="75">
        <v>0</v>
      </c>
      <c r="E59" s="75">
        <v>0</v>
      </c>
      <c r="F59" s="75">
        <v>0</v>
      </c>
      <c r="G59" s="75">
        <v>0</v>
      </c>
      <c r="H59" s="75">
        <v>0</v>
      </c>
      <c r="I59" s="75">
        <v>0</v>
      </c>
      <c r="J59" s="75">
        <v>0</v>
      </c>
    </row>
    <row r="60" spans="1:10" x14ac:dyDescent="0.25">
      <c r="A60" s="35" t="s">
        <v>66</v>
      </c>
      <c r="B60" s="35" t="s">
        <v>168</v>
      </c>
      <c r="C60" s="6">
        <f t="shared" si="0"/>
        <v>11</v>
      </c>
      <c r="D60" s="77">
        <v>0</v>
      </c>
      <c r="E60" s="77">
        <v>0</v>
      </c>
      <c r="F60" s="77">
        <v>0</v>
      </c>
      <c r="G60" s="77">
        <v>0</v>
      </c>
      <c r="H60" s="77">
        <v>0</v>
      </c>
      <c r="I60" s="77">
        <v>0</v>
      </c>
      <c r="J60" s="77">
        <v>0</v>
      </c>
    </row>
    <row r="61" spans="1:10" x14ac:dyDescent="0.25">
      <c r="A61" s="36" t="s">
        <v>66</v>
      </c>
      <c r="B61" s="36" t="s">
        <v>169</v>
      </c>
      <c r="C61" s="6">
        <f t="shared" si="0"/>
        <v>12</v>
      </c>
      <c r="D61" s="75">
        <v>0</v>
      </c>
      <c r="E61" s="75">
        <v>0</v>
      </c>
      <c r="F61" s="75">
        <v>0</v>
      </c>
      <c r="G61" s="75">
        <v>0</v>
      </c>
      <c r="H61" s="75">
        <v>0</v>
      </c>
      <c r="I61" s="75">
        <v>0</v>
      </c>
      <c r="J61" s="75">
        <v>1</v>
      </c>
    </row>
    <row r="62" spans="1:10" x14ac:dyDescent="0.25">
      <c r="A62" s="35" t="s">
        <v>42</v>
      </c>
      <c r="B62" s="35" t="s">
        <v>158</v>
      </c>
      <c r="C62" s="6">
        <f t="shared" si="0"/>
        <v>1</v>
      </c>
      <c r="D62" s="77">
        <v>12</v>
      </c>
      <c r="E62" s="77">
        <v>31</v>
      </c>
      <c r="F62" s="77">
        <v>0</v>
      </c>
      <c r="G62" s="77">
        <v>0</v>
      </c>
      <c r="H62" s="77">
        <v>3</v>
      </c>
      <c r="I62" s="77">
        <v>7</v>
      </c>
      <c r="J62" s="77">
        <v>9</v>
      </c>
    </row>
    <row r="63" spans="1:10" x14ac:dyDescent="0.25">
      <c r="A63" s="36" t="s">
        <v>42</v>
      </c>
      <c r="B63" s="36" t="s">
        <v>159</v>
      </c>
      <c r="C63" s="6">
        <f t="shared" si="0"/>
        <v>2</v>
      </c>
      <c r="D63" s="75">
        <v>19</v>
      </c>
      <c r="E63" s="75">
        <v>50</v>
      </c>
      <c r="F63" s="75">
        <v>1</v>
      </c>
      <c r="G63" s="75">
        <v>0</v>
      </c>
      <c r="H63" s="75">
        <v>0</v>
      </c>
      <c r="I63" s="75">
        <v>0</v>
      </c>
      <c r="J63" s="75">
        <v>12</v>
      </c>
    </row>
    <row r="64" spans="1:10" x14ac:dyDescent="0.25">
      <c r="A64" s="35" t="s">
        <v>42</v>
      </c>
      <c r="B64" s="35" t="s">
        <v>160</v>
      </c>
      <c r="C64" s="6">
        <f t="shared" si="0"/>
        <v>3</v>
      </c>
      <c r="D64" s="77">
        <v>20</v>
      </c>
      <c r="E64" s="77">
        <v>52</v>
      </c>
      <c r="F64" s="77">
        <v>0</v>
      </c>
      <c r="G64" s="77">
        <v>0</v>
      </c>
      <c r="H64" s="77">
        <v>10</v>
      </c>
      <c r="I64" s="77">
        <v>26</v>
      </c>
      <c r="J64" s="77">
        <v>19</v>
      </c>
    </row>
    <row r="65" spans="1:10" x14ac:dyDescent="0.25">
      <c r="A65" s="36" t="s">
        <v>42</v>
      </c>
      <c r="B65" s="36" t="s">
        <v>161</v>
      </c>
      <c r="C65" s="6">
        <f t="shared" si="0"/>
        <v>4</v>
      </c>
      <c r="D65" s="75">
        <v>20</v>
      </c>
      <c r="E65" s="75">
        <v>52</v>
      </c>
      <c r="F65" s="75">
        <v>0</v>
      </c>
      <c r="G65" s="75">
        <v>0</v>
      </c>
      <c r="H65" s="75">
        <v>0</v>
      </c>
      <c r="I65" s="75">
        <v>0</v>
      </c>
      <c r="J65" s="75">
        <v>28</v>
      </c>
    </row>
    <row r="66" spans="1:10" x14ac:dyDescent="0.25">
      <c r="A66" s="35" t="s">
        <v>42</v>
      </c>
      <c r="B66" s="35" t="s">
        <v>162</v>
      </c>
      <c r="C66" s="6">
        <f t="shared" ref="C66:C129" si="1">_xlfn.IFS(B66="Janeiro",1,B66="Fevereiro",2,B66="Março",3,B66="Abril",4,B66="Maio",5,B66="Junho",6,B66="Julho",7,B66="Agosto",8,B66="Setembro",9,B66="Outubro",10,B66="Novembro",11,B66="Dezembro",12,TRUE,0)</f>
        <v>5</v>
      </c>
      <c r="D66" s="77">
        <v>14</v>
      </c>
      <c r="E66" s="77">
        <v>36</v>
      </c>
      <c r="F66" s="77">
        <v>0</v>
      </c>
      <c r="G66" s="77">
        <v>0</v>
      </c>
      <c r="H66" s="77">
        <v>0</v>
      </c>
      <c r="I66" s="77">
        <v>0</v>
      </c>
      <c r="J66" s="77">
        <v>7</v>
      </c>
    </row>
    <row r="67" spans="1:10" x14ac:dyDescent="0.25">
      <c r="A67" s="36" t="s">
        <v>42</v>
      </c>
      <c r="B67" s="36" t="s">
        <v>163</v>
      </c>
      <c r="C67" s="6">
        <f t="shared" si="1"/>
        <v>6</v>
      </c>
      <c r="D67" s="75">
        <v>12</v>
      </c>
      <c r="E67" s="75">
        <v>31</v>
      </c>
      <c r="F67" s="75">
        <v>0</v>
      </c>
      <c r="G67" s="75">
        <v>0</v>
      </c>
      <c r="H67" s="75">
        <v>13</v>
      </c>
      <c r="I67" s="75">
        <v>34</v>
      </c>
      <c r="J67" s="75">
        <v>2</v>
      </c>
    </row>
    <row r="68" spans="1:10" x14ac:dyDescent="0.25">
      <c r="A68" s="35" t="s">
        <v>42</v>
      </c>
      <c r="B68" s="35" t="s">
        <v>164</v>
      </c>
      <c r="C68" s="6">
        <f t="shared" si="1"/>
        <v>7</v>
      </c>
      <c r="D68" s="77">
        <v>11</v>
      </c>
      <c r="E68" s="77">
        <v>28</v>
      </c>
      <c r="F68" s="77">
        <v>0</v>
      </c>
      <c r="G68" s="77">
        <v>0</v>
      </c>
      <c r="H68" s="77">
        <v>0</v>
      </c>
      <c r="I68" s="77">
        <v>0</v>
      </c>
      <c r="J68" s="77">
        <v>5</v>
      </c>
    </row>
    <row r="69" spans="1:10" x14ac:dyDescent="0.25">
      <c r="A69" s="36" t="s">
        <v>42</v>
      </c>
      <c r="B69" s="36" t="s">
        <v>165</v>
      </c>
      <c r="C69" s="6">
        <f t="shared" si="1"/>
        <v>8</v>
      </c>
      <c r="D69" s="75">
        <v>15</v>
      </c>
      <c r="E69" s="75">
        <v>39</v>
      </c>
      <c r="F69" s="75">
        <v>0</v>
      </c>
      <c r="G69" s="75">
        <v>0</v>
      </c>
      <c r="H69" s="75">
        <v>0</v>
      </c>
      <c r="I69" s="75">
        <v>0</v>
      </c>
      <c r="J69" s="75">
        <v>8</v>
      </c>
    </row>
    <row r="70" spans="1:10" x14ac:dyDescent="0.25">
      <c r="A70" s="35" t="s">
        <v>42</v>
      </c>
      <c r="B70" s="35" t="s">
        <v>166</v>
      </c>
      <c r="C70" s="6">
        <f t="shared" si="1"/>
        <v>9</v>
      </c>
      <c r="D70" s="77">
        <v>14</v>
      </c>
      <c r="E70" s="77">
        <v>36</v>
      </c>
      <c r="F70" s="77">
        <v>0</v>
      </c>
      <c r="G70" s="77">
        <v>0</v>
      </c>
      <c r="H70" s="77">
        <v>19</v>
      </c>
      <c r="I70" s="77">
        <v>50</v>
      </c>
      <c r="J70" s="77">
        <v>3</v>
      </c>
    </row>
    <row r="71" spans="1:10" x14ac:dyDescent="0.25">
      <c r="A71" s="36" t="s">
        <v>42</v>
      </c>
      <c r="B71" s="36" t="s">
        <v>167</v>
      </c>
      <c r="C71" s="6">
        <f t="shared" si="1"/>
        <v>10</v>
      </c>
      <c r="D71" s="75">
        <v>13</v>
      </c>
      <c r="E71" s="75">
        <v>34</v>
      </c>
      <c r="F71" s="75">
        <v>0</v>
      </c>
      <c r="G71" s="75">
        <v>0</v>
      </c>
      <c r="H71" s="75">
        <v>0</v>
      </c>
      <c r="I71" s="75">
        <v>0</v>
      </c>
      <c r="J71" s="75">
        <v>3</v>
      </c>
    </row>
    <row r="72" spans="1:10" x14ac:dyDescent="0.25">
      <c r="A72" s="35" t="s">
        <v>42</v>
      </c>
      <c r="B72" s="35" t="s">
        <v>168</v>
      </c>
      <c r="C72" s="6">
        <f t="shared" si="1"/>
        <v>11</v>
      </c>
      <c r="D72" s="77">
        <v>17</v>
      </c>
      <c r="E72" s="77">
        <v>44</v>
      </c>
      <c r="F72" s="77">
        <v>0</v>
      </c>
      <c r="G72" s="77">
        <v>0</v>
      </c>
      <c r="H72" s="77">
        <v>15</v>
      </c>
      <c r="I72" s="77">
        <v>39</v>
      </c>
      <c r="J72" s="77">
        <v>8</v>
      </c>
    </row>
    <row r="73" spans="1:10" x14ac:dyDescent="0.25">
      <c r="A73" s="36" t="s">
        <v>42</v>
      </c>
      <c r="B73" s="36" t="s">
        <v>169</v>
      </c>
      <c r="C73" s="6">
        <f t="shared" si="1"/>
        <v>12</v>
      </c>
      <c r="D73" s="75">
        <v>13</v>
      </c>
      <c r="E73" s="75">
        <v>34</v>
      </c>
      <c r="F73" s="75">
        <v>0</v>
      </c>
      <c r="G73" s="75">
        <v>0</v>
      </c>
      <c r="H73" s="75">
        <v>0</v>
      </c>
      <c r="I73" s="75">
        <v>0</v>
      </c>
      <c r="J73" s="75">
        <v>8</v>
      </c>
    </row>
    <row r="74" spans="1:10" x14ac:dyDescent="0.25">
      <c r="A74" s="35" t="s">
        <v>63</v>
      </c>
      <c r="B74" s="35" t="s">
        <v>158</v>
      </c>
      <c r="C74" s="6">
        <f t="shared" si="1"/>
        <v>1</v>
      </c>
      <c r="D74" s="77">
        <v>0</v>
      </c>
      <c r="E74" s="77">
        <v>0</v>
      </c>
      <c r="F74" s="77">
        <v>0</v>
      </c>
      <c r="G74" s="77">
        <v>0</v>
      </c>
      <c r="H74" s="77">
        <v>0</v>
      </c>
      <c r="I74" s="77">
        <v>0</v>
      </c>
      <c r="J74" s="77">
        <v>0</v>
      </c>
    </row>
    <row r="75" spans="1:10" x14ac:dyDescent="0.25">
      <c r="A75" s="36" t="s">
        <v>63</v>
      </c>
      <c r="B75" s="36" t="s">
        <v>159</v>
      </c>
      <c r="C75" s="6">
        <f t="shared" si="1"/>
        <v>2</v>
      </c>
      <c r="D75" s="75">
        <v>0</v>
      </c>
      <c r="E75" s="75">
        <v>0</v>
      </c>
      <c r="F75" s="75">
        <v>0</v>
      </c>
      <c r="G75" s="75">
        <v>0</v>
      </c>
      <c r="H75" s="75">
        <v>0</v>
      </c>
      <c r="I75" s="75">
        <v>0</v>
      </c>
      <c r="J75" s="75">
        <v>0</v>
      </c>
    </row>
    <row r="76" spans="1:10" x14ac:dyDescent="0.25">
      <c r="A76" s="35" t="s">
        <v>63</v>
      </c>
      <c r="B76" s="35" t="s">
        <v>160</v>
      </c>
      <c r="C76" s="6">
        <f t="shared" si="1"/>
        <v>3</v>
      </c>
      <c r="D76" s="77">
        <v>0</v>
      </c>
      <c r="E76" s="77">
        <v>0</v>
      </c>
      <c r="F76" s="77">
        <v>0</v>
      </c>
      <c r="G76" s="77">
        <v>0</v>
      </c>
      <c r="H76" s="77">
        <v>0</v>
      </c>
      <c r="I76" s="77">
        <v>0</v>
      </c>
      <c r="J76" s="77">
        <v>0</v>
      </c>
    </row>
    <row r="77" spans="1:10" x14ac:dyDescent="0.25">
      <c r="A77" s="36" t="s">
        <v>63</v>
      </c>
      <c r="B77" s="36" t="s">
        <v>161</v>
      </c>
      <c r="C77" s="6">
        <f t="shared" si="1"/>
        <v>4</v>
      </c>
      <c r="D77" s="75">
        <v>0</v>
      </c>
      <c r="E77" s="75">
        <v>0</v>
      </c>
      <c r="F77" s="75">
        <v>0</v>
      </c>
      <c r="G77" s="75">
        <v>0</v>
      </c>
      <c r="H77" s="75">
        <v>0</v>
      </c>
      <c r="I77" s="75">
        <v>0</v>
      </c>
      <c r="J77" s="75">
        <v>0</v>
      </c>
    </row>
    <row r="78" spans="1:10" x14ac:dyDescent="0.25">
      <c r="A78" s="35" t="s">
        <v>63</v>
      </c>
      <c r="B78" s="35" t="s">
        <v>162</v>
      </c>
      <c r="C78" s="6">
        <f t="shared" si="1"/>
        <v>5</v>
      </c>
      <c r="D78" s="77">
        <v>0</v>
      </c>
      <c r="E78" s="77">
        <v>0</v>
      </c>
      <c r="F78" s="77">
        <v>0</v>
      </c>
      <c r="G78" s="77">
        <v>0</v>
      </c>
      <c r="H78" s="77">
        <v>2</v>
      </c>
      <c r="I78" s="77">
        <v>12</v>
      </c>
      <c r="J78" s="77">
        <v>0</v>
      </c>
    </row>
    <row r="79" spans="1:10" x14ac:dyDescent="0.25">
      <c r="A79" s="36" t="s">
        <v>63</v>
      </c>
      <c r="B79" s="36" t="s">
        <v>163</v>
      </c>
      <c r="C79" s="6">
        <f t="shared" si="1"/>
        <v>6</v>
      </c>
      <c r="D79" s="75">
        <v>3</v>
      </c>
      <c r="E79" s="75">
        <v>18</v>
      </c>
      <c r="F79" s="75">
        <v>0</v>
      </c>
      <c r="G79" s="75">
        <v>0</v>
      </c>
      <c r="H79" s="75">
        <v>0</v>
      </c>
      <c r="I79" s="75">
        <v>0</v>
      </c>
      <c r="J79" s="75">
        <v>1</v>
      </c>
    </row>
    <row r="80" spans="1:10" x14ac:dyDescent="0.25">
      <c r="A80" s="35" t="s">
        <v>63</v>
      </c>
      <c r="B80" s="35" t="s">
        <v>164</v>
      </c>
      <c r="C80" s="6">
        <f t="shared" si="1"/>
        <v>7</v>
      </c>
      <c r="D80" s="77">
        <v>0</v>
      </c>
      <c r="E80" s="77">
        <v>0</v>
      </c>
      <c r="F80" s="77">
        <v>0</v>
      </c>
      <c r="G80" s="77">
        <v>0</v>
      </c>
      <c r="H80" s="77">
        <v>0</v>
      </c>
      <c r="I80" s="77">
        <v>0</v>
      </c>
      <c r="J80" s="77">
        <v>0</v>
      </c>
    </row>
    <row r="81" spans="1:10" x14ac:dyDescent="0.25">
      <c r="A81" s="36" t="s">
        <v>63</v>
      </c>
      <c r="B81" s="36" t="s">
        <v>165</v>
      </c>
      <c r="C81" s="6">
        <f t="shared" si="1"/>
        <v>8</v>
      </c>
      <c r="D81" s="75">
        <v>0</v>
      </c>
      <c r="E81" s="75">
        <v>0</v>
      </c>
      <c r="F81" s="75">
        <v>1</v>
      </c>
      <c r="G81" s="75">
        <v>0</v>
      </c>
      <c r="H81" s="75">
        <v>0</v>
      </c>
      <c r="I81" s="75">
        <v>0</v>
      </c>
      <c r="J81" s="75">
        <v>0</v>
      </c>
    </row>
    <row r="82" spans="1:10" x14ac:dyDescent="0.25">
      <c r="A82" s="35" t="s">
        <v>63</v>
      </c>
      <c r="B82" s="35" t="s">
        <v>166</v>
      </c>
      <c r="C82" s="6">
        <f t="shared" si="1"/>
        <v>9</v>
      </c>
      <c r="D82" s="77">
        <v>0</v>
      </c>
      <c r="E82" s="77">
        <v>0</v>
      </c>
      <c r="F82" s="77">
        <v>0</v>
      </c>
      <c r="G82" s="77">
        <v>0</v>
      </c>
      <c r="H82" s="77">
        <v>2</v>
      </c>
      <c r="I82" s="77">
        <v>12</v>
      </c>
      <c r="J82" s="77">
        <v>0</v>
      </c>
    </row>
    <row r="83" spans="1:10" x14ac:dyDescent="0.25">
      <c r="A83" s="36" t="s">
        <v>63</v>
      </c>
      <c r="B83" s="36" t="s">
        <v>167</v>
      </c>
      <c r="C83" s="6">
        <f t="shared" si="1"/>
        <v>10</v>
      </c>
      <c r="D83" s="75">
        <v>0</v>
      </c>
      <c r="E83" s="75">
        <v>0</v>
      </c>
      <c r="F83" s="75">
        <v>0</v>
      </c>
      <c r="G83" s="75">
        <v>0</v>
      </c>
      <c r="H83" s="75">
        <v>0</v>
      </c>
      <c r="I83" s="75">
        <v>0</v>
      </c>
      <c r="J83" s="75">
        <v>0</v>
      </c>
    </row>
    <row r="84" spans="1:10" x14ac:dyDescent="0.25">
      <c r="A84" s="35" t="s">
        <v>63</v>
      </c>
      <c r="B84" s="35" t="s">
        <v>168</v>
      </c>
      <c r="C84" s="6">
        <f t="shared" si="1"/>
        <v>11</v>
      </c>
      <c r="D84" s="77">
        <v>0</v>
      </c>
      <c r="E84" s="77">
        <v>0</v>
      </c>
      <c r="F84" s="77">
        <v>0</v>
      </c>
      <c r="G84" s="77">
        <v>0</v>
      </c>
      <c r="H84" s="77">
        <v>0</v>
      </c>
      <c r="I84" s="77">
        <v>0</v>
      </c>
      <c r="J84" s="77">
        <v>0</v>
      </c>
    </row>
    <row r="85" spans="1:10" x14ac:dyDescent="0.25">
      <c r="A85" s="36" t="s">
        <v>63</v>
      </c>
      <c r="B85" s="36" t="s">
        <v>169</v>
      </c>
      <c r="C85" s="6">
        <f t="shared" si="1"/>
        <v>12</v>
      </c>
      <c r="D85" s="75">
        <v>0</v>
      </c>
      <c r="E85" s="75">
        <v>0</v>
      </c>
      <c r="F85" s="75">
        <v>0</v>
      </c>
      <c r="G85" s="75">
        <v>0</v>
      </c>
      <c r="H85" s="75">
        <v>0</v>
      </c>
      <c r="I85" s="75">
        <v>0</v>
      </c>
      <c r="J85" s="75">
        <v>0</v>
      </c>
    </row>
    <row r="86" spans="1:10" x14ac:dyDescent="0.25">
      <c r="A86" s="35" t="s">
        <v>120</v>
      </c>
      <c r="B86" s="35" t="s">
        <v>158</v>
      </c>
      <c r="C86" s="6">
        <f t="shared" si="1"/>
        <v>1</v>
      </c>
      <c r="D86" s="77">
        <v>0</v>
      </c>
      <c r="E86" s="77">
        <v>0</v>
      </c>
      <c r="F86" s="77">
        <v>0</v>
      </c>
      <c r="G86" s="77">
        <v>0</v>
      </c>
      <c r="H86" s="77">
        <v>0</v>
      </c>
      <c r="I86" s="77">
        <v>0</v>
      </c>
      <c r="J86" s="77">
        <v>2</v>
      </c>
    </row>
    <row r="87" spans="1:10" x14ac:dyDescent="0.25">
      <c r="A87" s="36" t="s">
        <v>120</v>
      </c>
      <c r="B87" s="36" t="s">
        <v>159</v>
      </c>
      <c r="C87" s="6">
        <f t="shared" si="1"/>
        <v>2</v>
      </c>
      <c r="D87" s="75">
        <v>0</v>
      </c>
      <c r="E87" s="75">
        <v>0</v>
      </c>
      <c r="F87" s="75">
        <v>0</v>
      </c>
      <c r="G87" s="75">
        <v>0</v>
      </c>
      <c r="H87" s="75">
        <v>0</v>
      </c>
      <c r="I87" s="75">
        <v>0</v>
      </c>
      <c r="J87" s="75">
        <v>0</v>
      </c>
    </row>
    <row r="88" spans="1:10" x14ac:dyDescent="0.25">
      <c r="A88" s="35" t="s">
        <v>120</v>
      </c>
      <c r="B88" s="35" t="s">
        <v>160</v>
      </c>
      <c r="C88" s="6">
        <f t="shared" si="1"/>
        <v>3</v>
      </c>
      <c r="D88" s="77">
        <v>0</v>
      </c>
      <c r="E88" s="77">
        <v>0</v>
      </c>
      <c r="F88" s="77">
        <v>0</v>
      </c>
      <c r="G88" s="77">
        <v>0</v>
      </c>
      <c r="H88" s="77">
        <v>0</v>
      </c>
      <c r="I88" s="77">
        <v>0</v>
      </c>
      <c r="J88" s="77">
        <v>2</v>
      </c>
    </row>
    <row r="89" spans="1:10" x14ac:dyDescent="0.25">
      <c r="A89" s="36" t="s">
        <v>120</v>
      </c>
      <c r="B89" s="36" t="s">
        <v>161</v>
      </c>
      <c r="C89" s="6">
        <f t="shared" si="1"/>
        <v>4</v>
      </c>
      <c r="D89" s="75">
        <v>0</v>
      </c>
      <c r="E89" s="75">
        <v>0</v>
      </c>
      <c r="F89" s="75">
        <v>0</v>
      </c>
      <c r="G89" s="75">
        <v>0</v>
      </c>
      <c r="H89" s="75">
        <v>0</v>
      </c>
      <c r="I89" s="75">
        <v>0</v>
      </c>
      <c r="J89" s="75">
        <v>4</v>
      </c>
    </row>
    <row r="90" spans="1:10" x14ac:dyDescent="0.25">
      <c r="A90" s="35" t="s">
        <v>120</v>
      </c>
      <c r="B90" s="35" t="s">
        <v>162</v>
      </c>
      <c r="C90" s="6">
        <f t="shared" si="1"/>
        <v>5</v>
      </c>
      <c r="D90" s="77">
        <v>0</v>
      </c>
      <c r="E90" s="77">
        <v>0</v>
      </c>
      <c r="F90" s="77">
        <v>0</v>
      </c>
      <c r="G90" s="77">
        <v>0</v>
      </c>
      <c r="H90" s="77">
        <v>0</v>
      </c>
      <c r="I90" s="77">
        <v>0</v>
      </c>
      <c r="J90" s="77">
        <v>0</v>
      </c>
    </row>
    <row r="91" spans="1:10" x14ac:dyDescent="0.25">
      <c r="A91" s="36" t="s">
        <v>120</v>
      </c>
      <c r="B91" s="36" t="s">
        <v>163</v>
      </c>
      <c r="C91" s="6">
        <f t="shared" si="1"/>
        <v>6</v>
      </c>
      <c r="D91" s="75">
        <v>0</v>
      </c>
      <c r="E91" s="75">
        <v>0</v>
      </c>
      <c r="F91" s="75">
        <v>0</v>
      </c>
      <c r="G91" s="75">
        <v>0</v>
      </c>
      <c r="H91" s="75">
        <v>0</v>
      </c>
      <c r="I91" s="75">
        <v>0</v>
      </c>
      <c r="J91" s="75">
        <v>2</v>
      </c>
    </row>
    <row r="92" spans="1:10" x14ac:dyDescent="0.25">
      <c r="A92" s="35" t="s">
        <v>120</v>
      </c>
      <c r="B92" s="35" t="s">
        <v>164</v>
      </c>
      <c r="C92" s="6">
        <f t="shared" si="1"/>
        <v>7</v>
      </c>
      <c r="D92" s="77">
        <v>0</v>
      </c>
      <c r="E92" s="77">
        <v>0</v>
      </c>
      <c r="F92" s="77">
        <v>0</v>
      </c>
      <c r="G92" s="77">
        <v>0</v>
      </c>
      <c r="H92" s="77">
        <v>0</v>
      </c>
      <c r="I92" s="77">
        <v>0</v>
      </c>
      <c r="J92" s="77">
        <v>0</v>
      </c>
    </row>
    <row r="93" spans="1:10" x14ac:dyDescent="0.25">
      <c r="A93" s="36" t="s">
        <v>120</v>
      </c>
      <c r="B93" s="36" t="s">
        <v>165</v>
      </c>
      <c r="C93" s="6">
        <f t="shared" si="1"/>
        <v>8</v>
      </c>
      <c r="D93" s="75">
        <v>0</v>
      </c>
      <c r="E93" s="75">
        <v>0</v>
      </c>
      <c r="F93" s="75">
        <v>0</v>
      </c>
      <c r="G93" s="75">
        <v>0</v>
      </c>
      <c r="H93" s="75">
        <v>0</v>
      </c>
      <c r="I93" s="75">
        <v>0</v>
      </c>
      <c r="J93" s="75">
        <v>1</v>
      </c>
    </row>
    <row r="94" spans="1:10" x14ac:dyDescent="0.25">
      <c r="A94" s="35" t="s">
        <v>120</v>
      </c>
      <c r="B94" s="35" t="s">
        <v>166</v>
      </c>
      <c r="C94" s="6">
        <f t="shared" si="1"/>
        <v>9</v>
      </c>
      <c r="D94" s="77">
        <v>0</v>
      </c>
      <c r="E94" s="77">
        <v>0</v>
      </c>
      <c r="F94" s="77">
        <v>0</v>
      </c>
      <c r="G94" s="77">
        <v>0</v>
      </c>
      <c r="H94" s="77">
        <v>0</v>
      </c>
      <c r="I94" s="77">
        <v>0</v>
      </c>
      <c r="J94" s="77">
        <v>2</v>
      </c>
    </row>
    <row r="95" spans="1:10" x14ac:dyDescent="0.25">
      <c r="A95" s="36" t="s">
        <v>120</v>
      </c>
      <c r="B95" s="36" t="s">
        <v>167</v>
      </c>
      <c r="C95" s="6">
        <f t="shared" si="1"/>
        <v>10</v>
      </c>
      <c r="D95" s="75">
        <v>0</v>
      </c>
      <c r="E95" s="75">
        <v>0</v>
      </c>
      <c r="F95" s="75">
        <v>1</v>
      </c>
      <c r="G95" s="75">
        <v>1</v>
      </c>
      <c r="H95" s="75">
        <v>0</v>
      </c>
      <c r="I95" s="75">
        <v>0</v>
      </c>
      <c r="J95" s="75">
        <v>6</v>
      </c>
    </row>
    <row r="96" spans="1:10" x14ac:dyDescent="0.25">
      <c r="A96" s="35" t="s">
        <v>120</v>
      </c>
      <c r="B96" s="35" t="s">
        <v>168</v>
      </c>
      <c r="C96" s="6">
        <f t="shared" si="1"/>
        <v>11</v>
      </c>
      <c r="D96" s="77">
        <v>0</v>
      </c>
      <c r="E96" s="77">
        <v>0</v>
      </c>
      <c r="F96" s="77">
        <v>1</v>
      </c>
      <c r="G96" s="77">
        <v>0</v>
      </c>
      <c r="H96" s="77">
        <v>0</v>
      </c>
      <c r="I96" s="77">
        <v>0</v>
      </c>
      <c r="J96" s="77">
        <v>2</v>
      </c>
    </row>
    <row r="97" spans="1:10" x14ac:dyDescent="0.25">
      <c r="A97" s="36" t="s">
        <v>120</v>
      </c>
      <c r="B97" s="36" t="s">
        <v>169</v>
      </c>
      <c r="C97" s="6">
        <f t="shared" si="1"/>
        <v>12</v>
      </c>
      <c r="D97" s="75">
        <v>0</v>
      </c>
      <c r="E97" s="75">
        <v>0</v>
      </c>
      <c r="F97" s="75">
        <v>0</v>
      </c>
      <c r="G97" s="75">
        <v>0</v>
      </c>
      <c r="H97" s="75">
        <v>0</v>
      </c>
      <c r="I97" s="75">
        <v>0</v>
      </c>
      <c r="J97" s="75">
        <v>0</v>
      </c>
    </row>
    <row r="98" spans="1:10" x14ac:dyDescent="0.25">
      <c r="A98" s="35" t="s">
        <v>48</v>
      </c>
      <c r="B98" s="35" t="s">
        <v>158</v>
      </c>
      <c r="C98" s="6">
        <f t="shared" si="1"/>
        <v>1</v>
      </c>
      <c r="D98" s="77">
        <v>14</v>
      </c>
      <c r="E98" s="77">
        <v>46</v>
      </c>
      <c r="F98" s="77">
        <v>0</v>
      </c>
      <c r="G98" s="77">
        <v>0</v>
      </c>
      <c r="H98" s="77">
        <v>4</v>
      </c>
      <c r="I98" s="77">
        <v>13</v>
      </c>
      <c r="J98" s="77">
        <v>2</v>
      </c>
    </row>
    <row r="99" spans="1:10" x14ac:dyDescent="0.25">
      <c r="A99" s="36" t="s">
        <v>48</v>
      </c>
      <c r="B99" s="36" t="s">
        <v>159</v>
      </c>
      <c r="C99" s="6">
        <f t="shared" si="1"/>
        <v>2</v>
      </c>
      <c r="D99" s="75">
        <v>5</v>
      </c>
      <c r="E99" s="75">
        <v>16</v>
      </c>
      <c r="F99" s="75">
        <v>0</v>
      </c>
      <c r="G99" s="75">
        <v>0</v>
      </c>
      <c r="H99" s="75">
        <v>0</v>
      </c>
      <c r="I99" s="75">
        <v>0</v>
      </c>
      <c r="J99" s="75">
        <v>2</v>
      </c>
    </row>
    <row r="100" spans="1:10" x14ac:dyDescent="0.25">
      <c r="A100" s="35" t="s">
        <v>48</v>
      </c>
      <c r="B100" s="35" t="s">
        <v>160</v>
      </c>
      <c r="C100" s="6">
        <f t="shared" si="1"/>
        <v>3</v>
      </c>
      <c r="D100" s="77">
        <v>6</v>
      </c>
      <c r="E100" s="77">
        <v>20</v>
      </c>
      <c r="F100" s="77">
        <v>0</v>
      </c>
      <c r="G100" s="77">
        <v>0</v>
      </c>
      <c r="H100" s="77">
        <v>2</v>
      </c>
      <c r="I100" s="77">
        <v>6</v>
      </c>
      <c r="J100" s="77">
        <v>2</v>
      </c>
    </row>
    <row r="101" spans="1:10" x14ac:dyDescent="0.25">
      <c r="A101" s="36" t="s">
        <v>48</v>
      </c>
      <c r="B101" s="36" t="s">
        <v>161</v>
      </c>
      <c r="C101" s="6">
        <f t="shared" si="1"/>
        <v>4</v>
      </c>
      <c r="D101" s="75">
        <v>10</v>
      </c>
      <c r="E101" s="75">
        <v>33</v>
      </c>
      <c r="F101" s="75">
        <v>0</v>
      </c>
      <c r="G101" s="75">
        <v>0</v>
      </c>
      <c r="H101" s="75">
        <v>0</v>
      </c>
      <c r="I101" s="75">
        <v>0</v>
      </c>
      <c r="J101" s="75">
        <v>2</v>
      </c>
    </row>
    <row r="102" spans="1:10" x14ac:dyDescent="0.25">
      <c r="A102" s="35" t="s">
        <v>48</v>
      </c>
      <c r="B102" s="35" t="s">
        <v>162</v>
      </c>
      <c r="C102" s="6">
        <f t="shared" si="1"/>
        <v>5</v>
      </c>
      <c r="D102" s="77">
        <v>1</v>
      </c>
      <c r="E102" s="77">
        <v>3</v>
      </c>
      <c r="F102" s="77">
        <v>1</v>
      </c>
      <c r="G102" s="77">
        <v>0</v>
      </c>
      <c r="H102" s="77">
        <v>0</v>
      </c>
      <c r="I102" s="77">
        <v>0</v>
      </c>
      <c r="J102" s="77">
        <v>2</v>
      </c>
    </row>
    <row r="103" spans="1:10" x14ac:dyDescent="0.25">
      <c r="A103" s="36" t="s">
        <v>48</v>
      </c>
      <c r="B103" s="36" t="s">
        <v>163</v>
      </c>
      <c r="C103" s="6">
        <f t="shared" si="1"/>
        <v>6</v>
      </c>
      <c r="D103" s="75">
        <v>13</v>
      </c>
      <c r="E103" s="75">
        <v>43</v>
      </c>
      <c r="F103" s="75">
        <v>1</v>
      </c>
      <c r="G103" s="75">
        <v>5</v>
      </c>
      <c r="H103" s="75">
        <v>14</v>
      </c>
      <c r="I103" s="75">
        <v>46</v>
      </c>
      <c r="J103" s="75">
        <v>2</v>
      </c>
    </row>
    <row r="104" spans="1:10" x14ac:dyDescent="0.25">
      <c r="A104" s="35" t="s">
        <v>48</v>
      </c>
      <c r="B104" s="35" t="s">
        <v>164</v>
      </c>
      <c r="C104" s="6">
        <f t="shared" si="1"/>
        <v>7</v>
      </c>
      <c r="D104" s="77">
        <v>11</v>
      </c>
      <c r="E104" s="77">
        <v>36</v>
      </c>
      <c r="F104" s="77">
        <v>0</v>
      </c>
      <c r="G104" s="77">
        <v>0</v>
      </c>
      <c r="H104" s="77">
        <v>0</v>
      </c>
      <c r="I104" s="77">
        <v>0</v>
      </c>
      <c r="J104" s="77">
        <v>3</v>
      </c>
    </row>
    <row r="105" spans="1:10" x14ac:dyDescent="0.25">
      <c r="A105" s="36" t="s">
        <v>48</v>
      </c>
      <c r="B105" s="36" t="s">
        <v>165</v>
      </c>
      <c r="C105" s="6">
        <f t="shared" si="1"/>
        <v>8</v>
      </c>
      <c r="D105" s="75">
        <v>21</v>
      </c>
      <c r="E105" s="75">
        <v>70</v>
      </c>
      <c r="F105" s="75">
        <v>0</v>
      </c>
      <c r="G105" s="75">
        <v>0</v>
      </c>
      <c r="H105" s="75">
        <v>0</v>
      </c>
      <c r="I105" s="75">
        <v>0</v>
      </c>
      <c r="J105" s="75">
        <v>4</v>
      </c>
    </row>
    <row r="106" spans="1:10" x14ac:dyDescent="0.25">
      <c r="A106" s="35" t="s">
        <v>48</v>
      </c>
      <c r="B106" s="35" t="s">
        <v>166</v>
      </c>
      <c r="C106" s="6">
        <f t="shared" si="1"/>
        <v>9</v>
      </c>
      <c r="D106" s="77">
        <v>5</v>
      </c>
      <c r="E106" s="77">
        <v>16</v>
      </c>
      <c r="F106" s="77">
        <v>1</v>
      </c>
      <c r="G106" s="77">
        <v>0</v>
      </c>
      <c r="H106" s="77">
        <v>7</v>
      </c>
      <c r="I106" s="77">
        <v>23</v>
      </c>
      <c r="J106" s="77">
        <v>2</v>
      </c>
    </row>
    <row r="107" spans="1:10" x14ac:dyDescent="0.25">
      <c r="A107" s="36" t="s">
        <v>48</v>
      </c>
      <c r="B107" s="36" t="s">
        <v>167</v>
      </c>
      <c r="C107" s="6">
        <f t="shared" si="1"/>
        <v>10</v>
      </c>
      <c r="D107" s="75">
        <v>13</v>
      </c>
      <c r="E107" s="75">
        <v>43</v>
      </c>
      <c r="F107" s="75">
        <v>2</v>
      </c>
      <c r="G107" s="75">
        <v>1</v>
      </c>
      <c r="H107" s="75">
        <v>15</v>
      </c>
      <c r="I107" s="75">
        <v>50</v>
      </c>
      <c r="J107" s="75">
        <v>7</v>
      </c>
    </row>
    <row r="108" spans="1:10" x14ac:dyDescent="0.25">
      <c r="A108" s="35" t="s">
        <v>48</v>
      </c>
      <c r="B108" s="35" t="s">
        <v>168</v>
      </c>
      <c r="C108" s="6">
        <f t="shared" si="1"/>
        <v>11</v>
      </c>
      <c r="D108" s="77">
        <v>8</v>
      </c>
      <c r="E108" s="77">
        <v>26</v>
      </c>
      <c r="F108" s="77">
        <v>0</v>
      </c>
      <c r="G108" s="77">
        <v>0</v>
      </c>
      <c r="H108" s="77">
        <v>0</v>
      </c>
      <c r="I108" s="77">
        <v>0</v>
      </c>
      <c r="J108" s="77">
        <v>6</v>
      </c>
    </row>
    <row r="109" spans="1:10" x14ac:dyDescent="0.25">
      <c r="A109" s="36" t="s">
        <v>48</v>
      </c>
      <c r="B109" s="36" t="s">
        <v>169</v>
      </c>
      <c r="C109" s="6">
        <f t="shared" si="1"/>
        <v>12</v>
      </c>
      <c r="D109" s="75">
        <v>5</v>
      </c>
      <c r="E109" s="75">
        <v>16</v>
      </c>
      <c r="F109" s="75">
        <v>1</v>
      </c>
      <c r="G109" s="75">
        <v>0</v>
      </c>
      <c r="H109" s="75">
        <v>0</v>
      </c>
      <c r="I109" s="75">
        <v>0</v>
      </c>
      <c r="J109" s="75">
        <v>1</v>
      </c>
    </row>
    <row r="110" spans="1:10" x14ac:dyDescent="0.25">
      <c r="A110" s="35" t="s">
        <v>93</v>
      </c>
      <c r="B110" s="35" t="s">
        <v>158</v>
      </c>
      <c r="C110" s="6">
        <f t="shared" si="1"/>
        <v>1</v>
      </c>
      <c r="D110" s="77">
        <v>3</v>
      </c>
      <c r="E110" s="77">
        <v>8</v>
      </c>
      <c r="F110" s="77">
        <v>0</v>
      </c>
      <c r="G110" s="77">
        <v>0</v>
      </c>
      <c r="H110" s="77">
        <v>6</v>
      </c>
      <c r="I110" s="77">
        <v>17</v>
      </c>
      <c r="J110" s="77">
        <v>1</v>
      </c>
    </row>
    <row r="111" spans="1:10" x14ac:dyDescent="0.25">
      <c r="A111" s="36" t="s">
        <v>93</v>
      </c>
      <c r="B111" s="36" t="s">
        <v>159</v>
      </c>
      <c r="C111" s="6">
        <f t="shared" si="1"/>
        <v>2</v>
      </c>
      <c r="D111" s="75">
        <v>4</v>
      </c>
      <c r="E111" s="75">
        <v>11</v>
      </c>
      <c r="F111" s="75">
        <v>0</v>
      </c>
      <c r="G111" s="75">
        <v>0</v>
      </c>
      <c r="H111" s="75">
        <v>0</v>
      </c>
      <c r="I111" s="75">
        <v>0</v>
      </c>
      <c r="J111" s="75">
        <v>2</v>
      </c>
    </row>
    <row r="112" spans="1:10" x14ac:dyDescent="0.25">
      <c r="A112" s="35" t="s">
        <v>93</v>
      </c>
      <c r="B112" s="35" t="s">
        <v>160</v>
      </c>
      <c r="C112" s="6">
        <f t="shared" si="1"/>
        <v>3</v>
      </c>
      <c r="D112" s="77">
        <v>2</v>
      </c>
      <c r="E112" s="77">
        <v>5</v>
      </c>
      <c r="F112" s="77">
        <v>0</v>
      </c>
      <c r="G112" s="77">
        <v>0</v>
      </c>
      <c r="H112" s="77">
        <v>4</v>
      </c>
      <c r="I112" s="77">
        <v>11</v>
      </c>
      <c r="J112" s="77">
        <v>1</v>
      </c>
    </row>
    <row r="113" spans="1:10" x14ac:dyDescent="0.25">
      <c r="A113" s="36" t="s">
        <v>93</v>
      </c>
      <c r="B113" s="36" t="s">
        <v>161</v>
      </c>
      <c r="C113" s="6">
        <f t="shared" si="1"/>
        <v>4</v>
      </c>
      <c r="D113" s="75">
        <v>3</v>
      </c>
      <c r="E113" s="75">
        <v>8</v>
      </c>
      <c r="F113" s="75">
        <v>0</v>
      </c>
      <c r="G113" s="75">
        <v>0</v>
      </c>
      <c r="H113" s="75">
        <v>0</v>
      </c>
      <c r="I113" s="75">
        <v>0</v>
      </c>
      <c r="J113" s="75">
        <v>1</v>
      </c>
    </row>
    <row r="114" spans="1:10" x14ac:dyDescent="0.25">
      <c r="A114" s="35" t="s">
        <v>93</v>
      </c>
      <c r="B114" s="35" t="s">
        <v>162</v>
      </c>
      <c r="C114" s="6">
        <f t="shared" si="1"/>
        <v>5</v>
      </c>
      <c r="D114" s="77">
        <v>8</v>
      </c>
      <c r="E114" s="77">
        <v>23</v>
      </c>
      <c r="F114" s="77">
        <v>0</v>
      </c>
      <c r="G114" s="77">
        <v>0</v>
      </c>
      <c r="H114" s="77">
        <v>0</v>
      </c>
      <c r="I114" s="77">
        <v>0</v>
      </c>
      <c r="J114" s="77">
        <v>2</v>
      </c>
    </row>
    <row r="115" spans="1:10" x14ac:dyDescent="0.25">
      <c r="A115" s="36" t="s">
        <v>93</v>
      </c>
      <c r="B115" s="36" t="s">
        <v>163</v>
      </c>
      <c r="C115" s="6">
        <f t="shared" si="1"/>
        <v>6</v>
      </c>
      <c r="D115" s="75">
        <v>0</v>
      </c>
      <c r="E115" s="75">
        <v>0</v>
      </c>
      <c r="F115" s="75">
        <v>0</v>
      </c>
      <c r="G115" s="75">
        <v>0</v>
      </c>
      <c r="H115" s="75">
        <v>12</v>
      </c>
      <c r="I115" s="75">
        <v>35</v>
      </c>
      <c r="J115" s="75">
        <v>0</v>
      </c>
    </row>
    <row r="116" spans="1:10" x14ac:dyDescent="0.25">
      <c r="A116" s="35" t="s">
        <v>93</v>
      </c>
      <c r="B116" s="35" t="s">
        <v>164</v>
      </c>
      <c r="C116" s="6">
        <f t="shared" si="1"/>
        <v>7</v>
      </c>
      <c r="D116" s="77">
        <v>4</v>
      </c>
      <c r="E116" s="77">
        <v>11</v>
      </c>
      <c r="F116" s="77">
        <v>0</v>
      </c>
      <c r="G116" s="77">
        <v>0</v>
      </c>
      <c r="H116" s="77">
        <v>0</v>
      </c>
      <c r="I116" s="77">
        <v>0</v>
      </c>
      <c r="J116" s="77">
        <v>1</v>
      </c>
    </row>
    <row r="117" spans="1:10" x14ac:dyDescent="0.25">
      <c r="A117" s="36" t="s">
        <v>93</v>
      </c>
      <c r="B117" s="36" t="s">
        <v>165</v>
      </c>
      <c r="C117" s="6">
        <f t="shared" si="1"/>
        <v>8</v>
      </c>
      <c r="D117" s="75">
        <v>5</v>
      </c>
      <c r="E117" s="75">
        <v>14</v>
      </c>
      <c r="F117" s="75">
        <v>0</v>
      </c>
      <c r="G117" s="75">
        <v>0</v>
      </c>
      <c r="H117" s="75">
        <v>0</v>
      </c>
      <c r="I117" s="75">
        <v>0</v>
      </c>
      <c r="J117" s="75">
        <v>2</v>
      </c>
    </row>
    <row r="118" spans="1:10" x14ac:dyDescent="0.25">
      <c r="A118" s="35" t="s">
        <v>93</v>
      </c>
      <c r="B118" s="35" t="s">
        <v>166</v>
      </c>
      <c r="C118" s="6">
        <f t="shared" si="1"/>
        <v>9</v>
      </c>
      <c r="D118" s="77">
        <v>0</v>
      </c>
      <c r="E118" s="77">
        <v>0</v>
      </c>
      <c r="F118" s="77">
        <v>0</v>
      </c>
      <c r="G118" s="77">
        <v>0</v>
      </c>
      <c r="H118" s="77">
        <v>14</v>
      </c>
      <c r="I118" s="77">
        <v>41</v>
      </c>
      <c r="J118" s="77">
        <v>0</v>
      </c>
    </row>
    <row r="119" spans="1:10" x14ac:dyDescent="0.25">
      <c r="A119" s="36" t="s">
        <v>93</v>
      </c>
      <c r="B119" s="36" t="s">
        <v>167</v>
      </c>
      <c r="C119" s="6">
        <f t="shared" si="1"/>
        <v>10</v>
      </c>
      <c r="D119" s="75">
        <v>3</v>
      </c>
      <c r="E119" s="75">
        <v>8</v>
      </c>
      <c r="F119" s="75">
        <v>0</v>
      </c>
      <c r="G119" s="75">
        <v>0</v>
      </c>
      <c r="H119" s="75">
        <v>0</v>
      </c>
      <c r="I119" s="75">
        <v>0</v>
      </c>
      <c r="J119" s="75">
        <v>1</v>
      </c>
    </row>
    <row r="120" spans="1:10" x14ac:dyDescent="0.25">
      <c r="A120" s="35" t="s">
        <v>93</v>
      </c>
      <c r="B120" s="35" t="s">
        <v>168</v>
      </c>
      <c r="C120" s="6">
        <f t="shared" si="1"/>
        <v>11</v>
      </c>
      <c r="D120" s="77">
        <v>4</v>
      </c>
      <c r="E120" s="77">
        <v>11</v>
      </c>
      <c r="F120" s="77">
        <v>0</v>
      </c>
      <c r="G120" s="77">
        <v>0</v>
      </c>
      <c r="H120" s="77">
        <v>10</v>
      </c>
      <c r="I120" s="77">
        <v>29</v>
      </c>
      <c r="J120" s="77">
        <v>2</v>
      </c>
    </row>
    <row r="121" spans="1:10" x14ac:dyDescent="0.25">
      <c r="A121" s="36" t="s">
        <v>93</v>
      </c>
      <c r="B121" s="36" t="s">
        <v>169</v>
      </c>
      <c r="C121" s="6">
        <f t="shared" si="1"/>
        <v>12</v>
      </c>
      <c r="D121" s="75">
        <v>7</v>
      </c>
      <c r="E121" s="75">
        <v>20</v>
      </c>
      <c r="F121" s="75">
        <v>0</v>
      </c>
      <c r="G121" s="75">
        <v>0</v>
      </c>
      <c r="H121" s="75">
        <v>0</v>
      </c>
      <c r="I121" s="75">
        <v>0</v>
      </c>
      <c r="J121" s="75">
        <v>2</v>
      </c>
    </row>
    <row r="122" spans="1:10" x14ac:dyDescent="0.25">
      <c r="A122" s="35" t="s">
        <v>119</v>
      </c>
      <c r="B122" s="35" t="s">
        <v>158</v>
      </c>
      <c r="C122" s="6">
        <f t="shared" si="1"/>
        <v>1</v>
      </c>
      <c r="D122" s="77">
        <v>0</v>
      </c>
      <c r="E122" s="77">
        <v>0</v>
      </c>
      <c r="F122" s="77">
        <v>0</v>
      </c>
      <c r="G122" s="77">
        <v>0</v>
      </c>
      <c r="H122" s="77">
        <v>0</v>
      </c>
      <c r="I122" s="77">
        <v>0</v>
      </c>
      <c r="J122" s="77">
        <v>0</v>
      </c>
    </row>
    <row r="123" spans="1:10" x14ac:dyDescent="0.25">
      <c r="A123" s="36" t="s">
        <v>119</v>
      </c>
      <c r="B123" s="36" t="s">
        <v>159</v>
      </c>
      <c r="C123" s="6">
        <f t="shared" si="1"/>
        <v>2</v>
      </c>
      <c r="D123" s="75">
        <v>0</v>
      </c>
      <c r="E123" s="75">
        <v>0</v>
      </c>
      <c r="F123" s="75">
        <v>0</v>
      </c>
      <c r="G123" s="75">
        <v>0</v>
      </c>
      <c r="H123" s="75">
        <v>0</v>
      </c>
      <c r="I123" s="75">
        <v>0</v>
      </c>
      <c r="J123" s="75">
        <v>0</v>
      </c>
    </row>
    <row r="124" spans="1:10" x14ac:dyDescent="0.25">
      <c r="A124" s="35" t="s">
        <v>119</v>
      </c>
      <c r="B124" s="35" t="s">
        <v>160</v>
      </c>
      <c r="C124" s="6">
        <f t="shared" si="1"/>
        <v>3</v>
      </c>
      <c r="D124" s="77">
        <v>0</v>
      </c>
      <c r="E124" s="77">
        <v>0</v>
      </c>
      <c r="F124" s="77">
        <v>0</v>
      </c>
      <c r="G124" s="77">
        <v>0</v>
      </c>
      <c r="H124" s="77">
        <v>2</v>
      </c>
      <c r="I124" s="77">
        <v>11</v>
      </c>
      <c r="J124" s="77">
        <v>0</v>
      </c>
    </row>
    <row r="125" spans="1:10" x14ac:dyDescent="0.25">
      <c r="A125" s="36" t="s">
        <v>119</v>
      </c>
      <c r="B125" s="36" t="s">
        <v>161</v>
      </c>
      <c r="C125" s="6">
        <f t="shared" si="1"/>
        <v>4</v>
      </c>
      <c r="D125" s="75">
        <v>2</v>
      </c>
      <c r="E125" s="75">
        <v>11</v>
      </c>
      <c r="F125" s="75">
        <v>0</v>
      </c>
      <c r="G125" s="75">
        <v>0</v>
      </c>
      <c r="H125" s="75">
        <v>0</v>
      </c>
      <c r="I125" s="75">
        <v>0</v>
      </c>
      <c r="J125" s="75">
        <v>1</v>
      </c>
    </row>
    <row r="126" spans="1:10" x14ac:dyDescent="0.25">
      <c r="A126" s="35" t="s">
        <v>119</v>
      </c>
      <c r="B126" s="35" t="s">
        <v>162</v>
      </c>
      <c r="C126" s="6">
        <f t="shared" si="1"/>
        <v>5</v>
      </c>
      <c r="D126" s="77">
        <v>0</v>
      </c>
      <c r="E126" s="77">
        <v>0</v>
      </c>
      <c r="F126" s="77">
        <v>0</v>
      </c>
      <c r="G126" s="77">
        <v>0</v>
      </c>
      <c r="H126" s="77">
        <v>7</v>
      </c>
      <c r="I126" s="77">
        <v>38</v>
      </c>
      <c r="J126" s="77">
        <v>0</v>
      </c>
    </row>
    <row r="127" spans="1:10" x14ac:dyDescent="0.25">
      <c r="A127" s="36" t="s">
        <v>119</v>
      </c>
      <c r="B127" s="36" t="s">
        <v>163</v>
      </c>
      <c r="C127" s="6">
        <f t="shared" si="1"/>
        <v>6</v>
      </c>
      <c r="D127" s="75">
        <v>0</v>
      </c>
      <c r="E127" s="75">
        <v>0</v>
      </c>
      <c r="F127" s="75">
        <v>0</v>
      </c>
      <c r="G127" s="75">
        <v>0</v>
      </c>
      <c r="H127" s="75">
        <v>0</v>
      </c>
      <c r="I127" s="75">
        <v>0</v>
      </c>
      <c r="J127" s="75">
        <v>0</v>
      </c>
    </row>
    <row r="128" spans="1:10" x14ac:dyDescent="0.25">
      <c r="A128" s="35" t="s">
        <v>119</v>
      </c>
      <c r="B128" s="35" t="s">
        <v>164</v>
      </c>
      <c r="C128" s="6">
        <f t="shared" si="1"/>
        <v>7</v>
      </c>
      <c r="D128" s="77">
        <v>0</v>
      </c>
      <c r="E128" s="77">
        <v>0</v>
      </c>
      <c r="F128" s="77">
        <v>0</v>
      </c>
      <c r="G128" s="77">
        <v>0</v>
      </c>
      <c r="H128" s="77">
        <v>0</v>
      </c>
      <c r="I128" s="77">
        <v>0</v>
      </c>
      <c r="J128" s="77">
        <v>0</v>
      </c>
    </row>
    <row r="129" spans="1:10" x14ac:dyDescent="0.25">
      <c r="A129" s="36" t="s">
        <v>119</v>
      </c>
      <c r="B129" s="36" t="s">
        <v>165</v>
      </c>
      <c r="C129" s="6">
        <f t="shared" si="1"/>
        <v>8</v>
      </c>
      <c r="D129" s="75">
        <v>0</v>
      </c>
      <c r="E129" s="75">
        <v>0</v>
      </c>
      <c r="F129" s="75">
        <v>0</v>
      </c>
      <c r="G129" s="75">
        <v>0</v>
      </c>
      <c r="H129" s="75">
        <v>0</v>
      </c>
      <c r="I129" s="75">
        <v>0</v>
      </c>
      <c r="J129" s="75">
        <v>0</v>
      </c>
    </row>
    <row r="130" spans="1:10" x14ac:dyDescent="0.25">
      <c r="A130" s="35" t="s">
        <v>119</v>
      </c>
      <c r="B130" s="35" t="s">
        <v>166</v>
      </c>
      <c r="C130" s="6">
        <f t="shared" ref="C130:C193" si="2">_xlfn.IFS(B130="Janeiro",1,B130="Fevereiro",2,B130="Março",3,B130="Abril",4,B130="Maio",5,B130="Junho",6,B130="Julho",7,B130="Agosto",8,B130="Setembro",9,B130="Outubro",10,B130="Novembro",11,B130="Dezembro",12,TRUE,0)</f>
        <v>9</v>
      </c>
      <c r="D130" s="77">
        <v>2</v>
      </c>
      <c r="E130" s="77">
        <v>11</v>
      </c>
      <c r="F130" s="77">
        <v>0</v>
      </c>
      <c r="G130" s="77">
        <v>0</v>
      </c>
      <c r="H130" s="77">
        <v>3</v>
      </c>
      <c r="I130" s="77">
        <v>16</v>
      </c>
      <c r="J130" s="77">
        <v>1</v>
      </c>
    </row>
    <row r="131" spans="1:10" x14ac:dyDescent="0.25">
      <c r="A131" s="36" t="s">
        <v>119</v>
      </c>
      <c r="B131" s="36" t="s">
        <v>167</v>
      </c>
      <c r="C131" s="6">
        <f t="shared" si="2"/>
        <v>10</v>
      </c>
      <c r="D131" s="75">
        <v>4</v>
      </c>
      <c r="E131" s="75">
        <v>22</v>
      </c>
      <c r="F131" s="75">
        <v>0</v>
      </c>
      <c r="G131" s="75">
        <v>0</v>
      </c>
      <c r="H131" s="75">
        <v>0</v>
      </c>
      <c r="I131" s="75">
        <v>0</v>
      </c>
      <c r="J131" s="75">
        <v>1</v>
      </c>
    </row>
    <row r="132" spans="1:10" x14ac:dyDescent="0.25">
      <c r="A132" s="35" t="s">
        <v>119</v>
      </c>
      <c r="B132" s="35" t="s">
        <v>168</v>
      </c>
      <c r="C132" s="6">
        <f t="shared" si="2"/>
        <v>11</v>
      </c>
      <c r="D132" s="77">
        <v>0</v>
      </c>
      <c r="E132" s="77">
        <v>0</v>
      </c>
      <c r="F132" s="77">
        <v>0</v>
      </c>
      <c r="G132" s="77">
        <v>0</v>
      </c>
      <c r="H132" s="77">
        <v>0</v>
      </c>
      <c r="I132" s="77">
        <v>0</v>
      </c>
      <c r="J132" s="77">
        <v>0</v>
      </c>
    </row>
    <row r="133" spans="1:10" x14ac:dyDescent="0.25">
      <c r="A133" s="36" t="s">
        <v>119</v>
      </c>
      <c r="B133" s="36" t="s">
        <v>169</v>
      </c>
      <c r="C133" s="6">
        <f t="shared" si="2"/>
        <v>12</v>
      </c>
      <c r="D133" s="75">
        <v>2</v>
      </c>
      <c r="E133" s="75">
        <v>11</v>
      </c>
      <c r="F133" s="75">
        <v>1</v>
      </c>
      <c r="G133" s="75">
        <v>1</v>
      </c>
      <c r="H133" s="75">
        <v>0</v>
      </c>
      <c r="I133" s="75">
        <v>0</v>
      </c>
      <c r="J133" s="75">
        <v>1</v>
      </c>
    </row>
    <row r="134" spans="1:10" x14ac:dyDescent="0.25">
      <c r="A134" s="35" t="s">
        <v>123</v>
      </c>
      <c r="B134" s="35" t="s">
        <v>158</v>
      </c>
      <c r="C134" s="6">
        <f t="shared" si="2"/>
        <v>1</v>
      </c>
      <c r="D134" s="77">
        <v>3</v>
      </c>
      <c r="E134" s="77">
        <v>10</v>
      </c>
      <c r="F134" s="77">
        <v>0</v>
      </c>
      <c r="G134" s="77">
        <v>0</v>
      </c>
      <c r="H134" s="77">
        <v>5</v>
      </c>
      <c r="I134" s="77">
        <v>17</v>
      </c>
      <c r="J134" s="77">
        <v>1</v>
      </c>
    </row>
    <row r="135" spans="1:10" x14ac:dyDescent="0.25">
      <c r="A135" s="36" t="s">
        <v>123</v>
      </c>
      <c r="B135" s="36" t="s">
        <v>159</v>
      </c>
      <c r="C135" s="6">
        <f t="shared" si="2"/>
        <v>2</v>
      </c>
      <c r="D135" s="75">
        <v>3</v>
      </c>
      <c r="E135" s="75">
        <v>10</v>
      </c>
      <c r="F135" s="75">
        <v>0</v>
      </c>
      <c r="G135" s="75">
        <v>0</v>
      </c>
      <c r="H135" s="75">
        <v>0</v>
      </c>
      <c r="I135" s="75">
        <v>0</v>
      </c>
      <c r="J135" s="75">
        <v>2</v>
      </c>
    </row>
    <row r="136" spans="1:10" x14ac:dyDescent="0.25">
      <c r="A136" s="35" t="s">
        <v>123</v>
      </c>
      <c r="B136" s="35" t="s">
        <v>160</v>
      </c>
      <c r="C136" s="6">
        <f t="shared" si="2"/>
        <v>3</v>
      </c>
      <c r="D136" s="77">
        <v>3</v>
      </c>
      <c r="E136" s="77">
        <v>10</v>
      </c>
      <c r="F136" s="77">
        <v>0</v>
      </c>
      <c r="G136" s="77">
        <v>0</v>
      </c>
      <c r="H136" s="77">
        <v>2</v>
      </c>
      <c r="I136" s="77">
        <v>7</v>
      </c>
      <c r="J136" s="77">
        <v>1</v>
      </c>
    </row>
    <row r="137" spans="1:10" x14ac:dyDescent="0.25">
      <c r="A137" s="36" t="s">
        <v>123</v>
      </c>
      <c r="B137" s="36" t="s">
        <v>161</v>
      </c>
      <c r="C137" s="6">
        <f t="shared" si="2"/>
        <v>4</v>
      </c>
      <c r="D137" s="75">
        <v>2</v>
      </c>
      <c r="E137" s="75">
        <v>7</v>
      </c>
      <c r="F137" s="75">
        <v>0</v>
      </c>
      <c r="G137" s="75">
        <v>0</v>
      </c>
      <c r="H137" s="75">
        <v>0</v>
      </c>
      <c r="I137" s="75">
        <v>0</v>
      </c>
      <c r="J137" s="75">
        <v>1</v>
      </c>
    </row>
    <row r="138" spans="1:10" x14ac:dyDescent="0.25">
      <c r="A138" s="35" t="s">
        <v>123</v>
      </c>
      <c r="B138" s="35" t="s">
        <v>162</v>
      </c>
      <c r="C138" s="6">
        <f t="shared" si="2"/>
        <v>5</v>
      </c>
      <c r="D138" s="77">
        <v>7</v>
      </c>
      <c r="E138" s="77">
        <v>25</v>
      </c>
      <c r="F138" s="77">
        <v>0</v>
      </c>
      <c r="G138" s="77">
        <v>0</v>
      </c>
      <c r="H138" s="77">
        <v>0</v>
      </c>
      <c r="I138" s="77">
        <v>0</v>
      </c>
      <c r="J138" s="77">
        <v>3</v>
      </c>
    </row>
    <row r="139" spans="1:10" x14ac:dyDescent="0.25">
      <c r="A139" s="36" t="s">
        <v>123</v>
      </c>
      <c r="B139" s="36" t="s">
        <v>163</v>
      </c>
      <c r="C139" s="6">
        <f t="shared" si="2"/>
        <v>6</v>
      </c>
      <c r="D139" s="75">
        <v>4</v>
      </c>
      <c r="E139" s="75">
        <v>14</v>
      </c>
      <c r="F139" s="75">
        <v>1</v>
      </c>
      <c r="G139" s="75">
        <v>1</v>
      </c>
      <c r="H139" s="75">
        <v>4</v>
      </c>
      <c r="I139" s="75">
        <v>14</v>
      </c>
      <c r="J139" s="75">
        <v>3</v>
      </c>
    </row>
    <row r="140" spans="1:10" x14ac:dyDescent="0.25">
      <c r="A140" s="35" t="s">
        <v>123</v>
      </c>
      <c r="B140" s="35" t="s">
        <v>164</v>
      </c>
      <c r="C140" s="6">
        <f t="shared" si="2"/>
        <v>7</v>
      </c>
      <c r="D140" s="77">
        <v>3</v>
      </c>
      <c r="E140" s="77">
        <v>10</v>
      </c>
      <c r="F140" s="77">
        <v>0</v>
      </c>
      <c r="G140" s="77">
        <v>0</v>
      </c>
      <c r="H140" s="77">
        <v>0</v>
      </c>
      <c r="I140" s="77">
        <v>0</v>
      </c>
      <c r="J140" s="77">
        <v>1</v>
      </c>
    </row>
    <row r="141" spans="1:10" x14ac:dyDescent="0.25">
      <c r="A141" s="36" t="s">
        <v>123</v>
      </c>
      <c r="B141" s="36" t="s">
        <v>165</v>
      </c>
      <c r="C141" s="6">
        <f t="shared" si="2"/>
        <v>8</v>
      </c>
      <c r="D141" s="75">
        <v>8</v>
      </c>
      <c r="E141" s="75">
        <v>28</v>
      </c>
      <c r="F141" s="75">
        <v>0</v>
      </c>
      <c r="G141" s="75">
        <v>0</v>
      </c>
      <c r="H141" s="75">
        <v>0</v>
      </c>
      <c r="I141" s="75">
        <v>0</v>
      </c>
      <c r="J141" s="75">
        <v>3</v>
      </c>
    </row>
    <row r="142" spans="1:10" x14ac:dyDescent="0.25">
      <c r="A142" s="35" t="s">
        <v>123</v>
      </c>
      <c r="B142" s="35" t="s">
        <v>166</v>
      </c>
      <c r="C142" s="6">
        <f t="shared" si="2"/>
        <v>9</v>
      </c>
      <c r="D142" s="77">
        <v>7</v>
      </c>
      <c r="E142" s="77">
        <v>25</v>
      </c>
      <c r="F142" s="77">
        <v>0</v>
      </c>
      <c r="G142" s="77">
        <v>0</v>
      </c>
      <c r="H142" s="77">
        <v>25</v>
      </c>
      <c r="I142" s="77">
        <v>89</v>
      </c>
      <c r="J142" s="77">
        <v>3</v>
      </c>
    </row>
    <row r="143" spans="1:10" x14ac:dyDescent="0.25">
      <c r="A143" s="36" t="s">
        <v>123</v>
      </c>
      <c r="B143" s="36" t="s">
        <v>167</v>
      </c>
      <c r="C143" s="6">
        <f t="shared" si="2"/>
        <v>10</v>
      </c>
      <c r="D143" s="75">
        <v>2</v>
      </c>
      <c r="E143" s="75">
        <v>7</v>
      </c>
      <c r="F143" s="75">
        <v>1</v>
      </c>
      <c r="G143" s="75">
        <v>2</v>
      </c>
      <c r="H143" s="75">
        <v>9</v>
      </c>
      <c r="I143" s="75">
        <v>32</v>
      </c>
      <c r="J143" s="75">
        <v>2</v>
      </c>
    </row>
    <row r="144" spans="1:10" x14ac:dyDescent="0.25">
      <c r="A144" s="35" t="s">
        <v>123</v>
      </c>
      <c r="B144" s="35" t="s">
        <v>168</v>
      </c>
      <c r="C144" s="6">
        <f t="shared" si="2"/>
        <v>11</v>
      </c>
      <c r="D144" s="77">
        <v>11</v>
      </c>
      <c r="E144" s="77">
        <v>39</v>
      </c>
      <c r="F144" s="77">
        <v>1</v>
      </c>
      <c r="G144" s="77">
        <v>1</v>
      </c>
      <c r="H144" s="77">
        <v>0</v>
      </c>
      <c r="I144" s="77">
        <v>0</v>
      </c>
      <c r="J144" s="77">
        <v>6</v>
      </c>
    </row>
    <row r="145" spans="1:10" x14ac:dyDescent="0.25">
      <c r="A145" s="36" t="s">
        <v>123</v>
      </c>
      <c r="B145" s="36" t="s">
        <v>169</v>
      </c>
      <c r="C145" s="6">
        <f t="shared" si="2"/>
        <v>12</v>
      </c>
      <c r="D145" s="75">
        <v>3</v>
      </c>
      <c r="E145" s="75">
        <v>10</v>
      </c>
      <c r="F145" s="75">
        <v>0</v>
      </c>
      <c r="G145" s="75">
        <v>0</v>
      </c>
      <c r="H145" s="75">
        <v>0</v>
      </c>
      <c r="I145" s="75">
        <v>0</v>
      </c>
      <c r="J145" s="75">
        <v>2</v>
      </c>
    </row>
    <row r="146" spans="1:10" x14ac:dyDescent="0.25">
      <c r="A146" s="35" t="s">
        <v>103</v>
      </c>
      <c r="B146" s="35" t="s">
        <v>158</v>
      </c>
      <c r="C146" s="6">
        <f t="shared" si="2"/>
        <v>1</v>
      </c>
      <c r="D146" s="77">
        <v>0</v>
      </c>
      <c r="E146" s="77">
        <v>0</v>
      </c>
      <c r="F146" s="77">
        <v>0</v>
      </c>
      <c r="G146" s="77">
        <v>0</v>
      </c>
      <c r="H146" s="77">
        <v>0</v>
      </c>
      <c r="I146" s="77">
        <v>0</v>
      </c>
      <c r="J146" s="77">
        <v>0</v>
      </c>
    </row>
    <row r="147" spans="1:10" x14ac:dyDescent="0.25">
      <c r="A147" s="36" t="s">
        <v>103</v>
      </c>
      <c r="B147" s="36" t="s">
        <v>159</v>
      </c>
      <c r="C147" s="6">
        <f t="shared" si="2"/>
        <v>2</v>
      </c>
      <c r="D147" s="75">
        <v>0</v>
      </c>
      <c r="E147" s="75">
        <v>0</v>
      </c>
      <c r="F147" s="75">
        <v>0</v>
      </c>
      <c r="G147" s="75">
        <v>0</v>
      </c>
      <c r="H147" s="75">
        <v>0</v>
      </c>
      <c r="I147" s="75">
        <v>0</v>
      </c>
      <c r="J147" s="75">
        <v>0</v>
      </c>
    </row>
    <row r="148" spans="1:10" x14ac:dyDescent="0.25">
      <c r="A148" s="35" t="s">
        <v>103</v>
      </c>
      <c r="B148" s="35" t="s">
        <v>160</v>
      </c>
      <c r="C148" s="6">
        <f t="shared" si="2"/>
        <v>3</v>
      </c>
      <c r="D148" s="77">
        <v>1</v>
      </c>
      <c r="E148" s="77">
        <v>5</v>
      </c>
      <c r="F148" s="77">
        <v>0</v>
      </c>
      <c r="G148" s="77">
        <v>0</v>
      </c>
      <c r="H148" s="77">
        <v>2</v>
      </c>
      <c r="I148" s="77">
        <v>10</v>
      </c>
      <c r="J148" s="77">
        <v>1</v>
      </c>
    </row>
    <row r="149" spans="1:10" x14ac:dyDescent="0.25">
      <c r="A149" s="36" t="s">
        <v>103</v>
      </c>
      <c r="B149" s="36" t="s">
        <v>161</v>
      </c>
      <c r="C149" s="6">
        <f t="shared" si="2"/>
        <v>4</v>
      </c>
      <c r="D149" s="75">
        <v>1</v>
      </c>
      <c r="E149" s="75">
        <v>5</v>
      </c>
      <c r="F149" s="75">
        <v>0</v>
      </c>
      <c r="G149" s="75">
        <v>0</v>
      </c>
      <c r="H149" s="75">
        <v>0</v>
      </c>
      <c r="I149" s="75">
        <v>0</v>
      </c>
      <c r="J149" s="75">
        <v>1</v>
      </c>
    </row>
    <row r="150" spans="1:10" x14ac:dyDescent="0.25">
      <c r="A150" s="35" t="s">
        <v>103</v>
      </c>
      <c r="B150" s="35" t="s">
        <v>162</v>
      </c>
      <c r="C150" s="6">
        <f t="shared" si="2"/>
        <v>5</v>
      </c>
      <c r="D150" s="77">
        <v>0</v>
      </c>
      <c r="E150" s="77">
        <v>0</v>
      </c>
      <c r="F150" s="77">
        <v>0</v>
      </c>
      <c r="G150" s="77">
        <v>0</v>
      </c>
      <c r="H150" s="77">
        <v>5</v>
      </c>
      <c r="I150" s="77">
        <v>26</v>
      </c>
      <c r="J150" s="77">
        <v>0</v>
      </c>
    </row>
    <row r="151" spans="1:10" x14ac:dyDescent="0.25">
      <c r="A151" s="36" t="s">
        <v>103</v>
      </c>
      <c r="B151" s="36" t="s">
        <v>163</v>
      </c>
      <c r="C151" s="6">
        <f t="shared" si="2"/>
        <v>6</v>
      </c>
      <c r="D151" s="75">
        <v>2</v>
      </c>
      <c r="E151" s="75">
        <v>10</v>
      </c>
      <c r="F151" s="75">
        <v>0</v>
      </c>
      <c r="G151" s="75">
        <v>0</v>
      </c>
      <c r="H151" s="75">
        <v>1</v>
      </c>
      <c r="I151" s="75">
        <v>5</v>
      </c>
      <c r="J151" s="75">
        <v>3</v>
      </c>
    </row>
    <row r="152" spans="1:10" x14ac:dyDescent="0.25">
      <c r="A152" s="35" t="s">
        <v>103</v>
      </c>
      <c r="B152" s="35" t="s">
        <v>164</v>
      </c>
      <c r="C152" s="6">
        <f t="shared" si="2"/>
        <v>7</v>
      </c>
      <c r="D152" s="77">
        <v>3</v>
      </c>
      <c r="E152" s="77">
        <v>15</v>
      </c>
      <c r="F152" s="77">
        <v>0</v>
      </c>
      <c r="G152" s="77">
        <v>0</v>
      </c>
      <c r="H152" s="77">
        <v>0</v>
      </c>
      <c r="I152" s="77">
        <v>0</v>
      </c>
      <c r="J152" s="77">
        <v>2</v>
      </c>
    </row>
    <row r="153" spans="1:10" x14ac:dyDescent="0.25">
      <c r="A153" s="36" t="s">
        <v>103</v>
      </c>
      <c r="B153" s="36" t="s">
        <v>165</v>
      </c>
      <c r="C153" s="6">
        <f t="shared" si="2"/>
        <v>8</v>
      </c>
      <c r="D153" s="75">
        <v>0</v>
      </c>
      <c r="E153" s="75">
        <v>0</v>
      </c>
      <c r="F153" s="75">
        <v>0</v>
      </c>
      <c r="G153" s="75">
        <v>0</v>
      </c>
      <c r="H153" s="75">
        <v>0</v>
      </c>
      <c r="I153" s="75">
        <v>0</v>
      </c>
      <c r="J153" s="75">
        <v>0</v>
      </c>
    </row>
    <row r="154" spans="1:10" x14ac:dyDescent="0.25">
      <c r="A154" s="35" t="s">
        <v>103</v>
      </c>
      <c r="B154" s="35" t="s">
        <v>166</v>
      </c>
      <c r="C154" s="6">
        <f t="shared" si="2"/>
        <v>9</v>
      </c>
      <c r="D154" s="77">
        <v>0</v>
      </c>
      <c r="E154" s="77">
        <v>0</v>
      </c>
      <c r="F154" s="77">
        <v>0</v>
      </c>
      <c r="G154" s="77">
        <v>0</v>
      </c>
      <c r="H154" s="77">
        <v>1</v>
      </c>
      <c r="I154" s="77">
        <v>5</v>
      </c>
      <c r="J154" s="77">
        <v>0</v>
      </c>
    </row>
    <row r="155" spans="1:10" x14ac:dyDescent="0.25">
      <c r="A155" s="36" t="s">
        <v>103</v>
      </c>
      <c r="B155" s="36" t="s">
        <v>167</v>
      </c>
      <c r="C155" s="6">
        <f t="shared" si="2"/>
        <v>10</v>
      </c>
      <c r="D155" s="75">
        <v>0</v>
      </c>
      <c r="E155" s="75">
        <v>0</v>
      </c>
      <c r="F155" s="75">
        <v>0</v>
      </c>
      <c r="G155" s="75">
        <v>0</v>
      </c>
      <c r="H155" s="75">
        <v>0</v>
      </c>
      <c r="I155" s="75">
        <v>0</v>
      </c>
      <c r="J155" s="75">
        <v>0</v>
      </c>
    </row>
    <row r="156" spans="1:10" x14ac:dyDescent="0.25">
      <c r="A156" s="35" t="s">
        <v>103</v>
      </c>
      <c r="B156" s="35" t="s">
        <v>168</v>
      </c>
      <c r="C156" s="6">
        <f t="shared" si="2"/>
        <v>11</v>
      </c>
      <c r="D156" s="77">
        <v>6</v>
      </c>
      <c r="E156" s="77">
        <v>31</v>
      </c>
      <c r="F156" s="77">
        <v>0</v>
      </c>
      <c r="G156" s="77">
        <v>0</v>
      </c>
      <c r="H156" s="77">
        <v>0</v>
      </c>
      <c r="I156" s="77">
        <v>0</v>
      </c>
      <c r="J156" s="77">
        <v>2</v>
      </c>
    </row>
    <row r="157" spans="1:10" x14ac:dyDescent="0.25">
      <c r="A157" s="36" t="s">
        <v>103</v>
      </c>
      <c r="B157" s="36" t="s">
        <v>169</v>
      </c>
      <c r="C157" s="6">
        <f t="shared" si="2"/>
        <v>12</v>
      </c>
      <c r="D157" s="75">
        <v>4</v>
      </c>
      <c r="E157" s="75">
        <v>21</v>
      </c>
      <c r="F157" s="75">
        <v>0</v>
      </c>
      <c r="G157" s="75">
        <v>0</v>
      </c>
      <c r="H157" s="75">
        <v>0</v>
      </c>
      <c r="I157" s="75">
        <v>0</v>
      </c>
      <c r="J157" s="75">
        <v>1</v>
      </c>
    </row>
    <row r="158" spans="1:10" x14ac:dyDescent="0.25">
      <c r="A158" s="35" t="s">
        <v>129</v>
      </c>
      <c r="B158" s="35" t="s">
        <v>158</v>
      </c>
      <c r="C158" s="6">
        <f t="shared" si="2"/>
        <v>1</v>
      </c>
      <c r="D158" s="77">
        <v>0</v>
      </c>
      <c r="E158" s="77">
        <v>0</v>
      </c>
      <c r="F158" s="77">
        <v>0</v>
      </c>
      <c r="G158" s="77">
        <v>0</v>
      </c>
      <c r="H158" s="77">
        <v>0</v>
      </c>
      <c r="I158" s="77">
        <v>0</v>
      </c>
      <c r="J158" s="77">
        <v>0</v>
      </c>
    </row>
    <row r="159" spans="1:10" x14ac:dyDescent="0.25">
      <c r="A159" s="36" t="s">
        <v>129</v>
      </c>
      <c r="B159" s="36" t="s">
        <v>159</v>
      </c>
      <c r="C159" s="6">
        <f t="shared" si="2"/>
        <v>2</v>
      </c>
      <c r="D159" s="75">
        <v>13</v>
      </c>
      <c r="E159" s="75">
        <v>76</v>
      </c>
      <c r="F159" s="75">
        <v>0</v>
      </c>
      <c r="G159" s="75">
        <v>0</v>
      </c>
      <c r="H159" s="75">
        <v>0</v>
      </c>
      <c r="I159" s="75">
        <v>0</v>
      </c>
      <c r="J159" s="75">
        <v>1</v>
      </c>
    </row>
    <row r="160" spans="1:10" x14ac:dyDescent="0.25">
      <c r="A160" s="35" t="s">
        <v>129</v>
      </c>
      <c r="B160" s="35" t="s">
        <v>160</v>
      </c>
      <c r="C160" s="6">
        <f t="shared" si="2"/>
        <v>3</v>
      </c>
      <c r="D160" s="77">
        <v>0</v>
      </c>
      <c r="E160" s="77">
        <v>0</v>
      </c>
      <c r="F160" s="77">
        <v>0</v>
      </c>
      <c r="G160" s="77">
        <v>0</v>
      </c>
      <c r="H160" s="77">
        <v>0</v>
      </c>
      <c r="I160" s="77">
        <v>0</v>
      </c>
      <c r="J160" s="77">
        <v>0</v>
      </c>
    </row>
    <row r="161" spans="1:10" x14ac:dyDescent="0.25">
      <c r="A161" s="36" t="s">
        <v>129</v>
      </c>
      <c r="B161" s="36" t="s">
        <v>161</v>
      </c>
      <c r="C161" s="6">
        <f t="shared" si="2"/>
        <v>4</v>
      </c>
      <c r="D161" s="75">
        <v>0</v>
      </c>
      <c r="E161" s="75">
        <v>0</v>
      </c>
      <c r="F161" s="75">
        <v>0</v>
      </c>
      <c r="G161" s="75">
        <v>0</v>
      </c>
      <c r="H161" s="75">
        <v>0</v>
      </c>
      <c r="I161" s="75">
        <v>0</v>
      </c>
      <c r="J161" s="75">
        <v>0</v>
      </c>
    </row>
    <row r="162" spans="1:10" x14ac:dyDescent="0.25">
      <c r="A162" s="35" t="s">
        <v>129</v>
      </c>
      <c r="B162" s="35" t="s">
        <v>162</v>
      </c>
      <c r="C162" s="6">
        <f t="shared" si="2"/>
        <v>5</v>
      </c>
      <c r="D162" s="77">
        <v>6</v>
      </c>
      <c r="E162" s="77">
        <v>35</v>
      </c>
      <c r="F162" s="77">
        <v>1</v>
      </c>
      <c r="G162" s="77">
        <v>1</v>
      </c>
      <c r="H162" s="77">
        <v>0</v>
      </c>
      <c r="I162" s="77">
        <v>0</v>
      </c>
      <c r="J162" s="77">
        <v>2</v>
      </c>
    </row>
    <row r="163" spans="1:10" x14ac:dyDescent="0.25">
      <c r="A163" s="36" t="s">
        <v>129</v>
      </c>
      <c r="B163" s="36" t="s">
        <v>163</v>
      </c>
      <c r="C163" s="6">
        <f t="shared" si="2"/>
        <v>6</v>
      </c>
      <c r="D163" s="75">
        <v>9</v>
      </c>
      <c r="E163" s="75">
        <v>52</v>
      </c>
      <c r="F163" s="75">
        <v>0</v>
      </c>
      <c r="G163" s="75">
        <v>0</v>
      </c>
      <c r="H163" s="75">
        <v>14</v>
      </c>
      <c r="I163" s="75">
        <v>82</v>
      </c>
      <c r="J163" s="75">
        <v>1</v>
      </c>
    </row>
    <row r="164" spans="1:10" x14ac:dyDescent="0.25">
      <c r="A164" s="35" t="s">
        <v>129</v>
      </c>
      <c r="B164" s="35" t="s">
        <v>164</v>
      </c>
      <c r="C164" s="6">
        <f t="shared" si="2"/>
        <v>7</v>
      </c>
      <c r="D164" s="77">
        <v>8</v>
      </c>
      <c r="E164" s="77">
        <v>47</v>
      </c>
      <c r="F164" s="77">
        <v>0</v>
      </c>
      <c r="G164" s="77">
        <v>0</v>
      </c>
      <c r="H164" s="77">
        <v>0</v>
      </c>
      <c r="I164" s="77">
        <v>0</v>
      </c>
      <c r="J164" s="77">
        <v>2</v>
      </c>
    </row>
    <row r="165" spans="1:10" x14ac:dyDescent="0.25">
      <c r="A165" s="36" t="s">
        <v>129</v>
      </c>
      <c r="B165" s="36" t="s">
        <v>165</v>
      </c>
      <c r="C165" s="6">
        <f t="shared" si="2"/>
        <v>8</v>
      </c>
      <c r="D165" s="75">
        <v>12</v>
      </c>
      <c r="E165" s="75">
        <v>70</v>
      </c>
      <c r="F165" s="75">
        <v>0</v>
      </c>
      <c r="G165" s="75">
        <v>0</v>
      </c>
      <c r="H165" s="75">
        <v>0</v>
      </c>
      <c r="I165" s="75">
        <v>0</v>
      </c>
      <c r="J165" s="75">
        <v>2</v>
      </c>
    </row>
    <row r="166" spans="1:10" x14ac:dyDescent="0.25">
      <c r="A166" s="35" t="s">
        <v>129</v>
      </c>
      <c r="B166" s="35" t="s">
        <v>166</v>
      </c>
      <c r="C166" s="6">
        <f t="shared" si="2"/>
        <v>9</v>
      </c>
      <c r="D166" s="77">
        <v>7</v>
      </c>
      <c r="E166" s="77">
        <v>41</v>
      </c>
      <c r="F166" s="77">
        <v>0</v>
      </c>
      <c r="G166" s="77">
        <v>0</v>
      </c>
      <c r="H166" s="77">
        <v>12</v>
      </c>
      <c r="I166" s="77">
        <v>70</v>
      </c>
      <c r="J166" s="77">
        <v>1</v>
      </c>
    </row>
    <row r="167" spans="1:10" x14ac:dyDescent="0.25">
      <c r="A167" s="36" t="s">
        <v>129</v>
      </c>
      <c r="B167" s="36" t="s">
        <v>167</v>
      </c>
      <c r="C167" s="6">
        <f t="shared" si="2"/>
        <v>10</v>
      </c>
      <c r="D167" s="75">
        <v>7</v>
      </c>
      <c r="E167" s="75">
        <v>41</v>
      </c>
      <c r="F167" s="75">
        <v>0</v>
      </c>
      <c r="G167" s="75">
        <v>0</v>
      </c>
      <c r="H167" s="75">
        <v>0</v>
      </c>
      <c r="I167" s="75">
        <v>0</v>
      </c>
      <c r="J167" s="75">
        <v>2</v>
      </c>
    </row>
    <row r="168" spans="1:10" x14ac:dyDescent="0.25">
      <c r="A168" s="35" t="s">
        <v>129</v>
      </c>
      <c r="B168" s="35" t="s">
        <v>168</v>
      </c>
      <c r="C168" s="6">
        <f t="shared" si="2"/>
        <v>11</v>
      </c>
      <c r="D168" s="77">
        <v>3</v>
      </c>
      <c r="E168" s="77">
        <v>17</v>
      </c>
      <c r="F168" s="77">
        <v>0</v>
      </c>
      <c r="G168" s="77">
        <v>0</v>
      </c>
      <c r="H168" s="77">
        <v>7</v>
      </c>
      <c r="I168" s="77">
        <v>41</v>
      </c>
      <c r="J168" s="77">
        <v>1</v>
      </c>
    </row>
    <row r="169" spans="1:10" x14ac:dyDescent="0.25">
      <c r="A169" s="36" t="s">
        <v>129</v>
      </c>
      <c r="B169" s="36" t="s">
        <v>169</v>
      </c>
      <c r="C169" s="6">
        <f t="shared" si="2"/>
        <v>12</v>
      </c>
      <c r="D169" s="75">
        <v>0</v>
      </c>
      <c r="E169" s="75">
        <v>0</v>
      </c>
      <c r="F169" s="75">
        <v>0</v>
      </c>
      <c r="G169" s="75">
        <v>0</v>
      </c>
      <c r="H169" s="75">
        <v>0</v>
      </c>
      <c r="I169" s="75">
        <v>0</v>
      </c>
      <c r="J169" s="75">
        <v>0</v>
      </c>
    </row>
    <row r="170" spans="1:10" x14ac:dyDescent="0.25">
      <c r="A170" s="35" t="s">
        <v>96</v>
      </c>
      <c r="B170" s="35" t="s">
        <v>158</v>
      </c>
      <c r="C170" s="6">
        <f t="shared" si="2"/>
        <v>1</v>
      </c>
      <c r="D170" s="77">
        <v>0</v>
      </c>
      <c r="E170" s="77">
        <v>0</v>
      </c>
      <c r="F170" s="77">
        <v>0</v>
      </c>
      <c r="G170" s="77">
        <v>0</v>
      </c>
      <c r="H170" s="77">
        <v>0</v>
      </c>
      <c r="I170" s="77">
        <v>0</v>
      </c>
      <c r="J170" s="77">
        <v>2</v>
      </c>
    </row>
    <row r="171" spans="1:10" x14ac:dyDescent="0.25">
      <c r="A171" s="36" t="s">
        <v>96</v>
      </c>
      <c r="B171" s="36" t="s">
        <v>159</v>
      </c>
      <c r="C171" s="6">
        <f t="shared" si="2"/>
        <v>2</v>
      </c>
      <c r="D171" s="75">
        <v>0</v>
      </c>
      <c r="E171" s="75">
        <v>0</v>
      </c>
      <c r="F171" s="75">
        <v>0</v>
      </c>
      <c r="G171" s="75">
        <v>0</v>
      </c>
      <c r="H171" s="75">
        <v>0</v>
      </c>
      <c r="I171" s="75">
        <v>0</v>
      </c>
      <c r="J171" s="75">
        <v>2</v>
      </c>
    </row>
    <row r="172" spans="1:10" x14ac:dyDescent="0.25">
      <c r="A172" s="35" t="s">
        <v>96</v>
      </c>
      <c r="B172" s="35" t="s">
        <v>160</v>
      </c>
      <c r="C172" s="6">
        <f t="shared" si="2"/>
        <v>3</v>
      </c>
      <c r="D172" s="77">
        <v>0</v>
      </c>
      <c r="E172" s="77">
        <v>0</v>
      </c>
      <c r="F172" s="77">
        <v>0</v>
      </c>
      <c r="G172" s="77">
        <v>0</v>
      </c>
      <c r="H172" s="77">
        <v>0</v>
      </c>
      <c r="I172" s="77">
        <v>0</v>
      </c>
      <c r="J172" s="77">
        <v>0</v>
      </c>
    </row>
    <row r="173" spans="1:10" x14ac:dyDescent="0.25">
      <c r="A173" s="36" t="s">
        <v>96</v>
      </c>
      <c r="B173" s="36" t="s">
        <v>161</v>
      </c>
      <c r="C173" s="6">
        <f t="shared" si="2"/>
        <v>4</v>
      </c>
      <c r="D173" s="75">
        <v>0</v>
      </c>
      <c r="E173" s="75">
        <v>0</v>
      </c>
      <c r="F173" s="75">
        <v>0</v>
      </c>
      <c r="G173" s="75">
        <v>0</v>
      </c>
      <c r="H173" s="75">
        <v>0</v>
      </c>
      <c r="I173" s="75">
        <v>0</v>
      </c>
      <c r="J173" s="75">
        <v>2</v>
      </c>
    </row>
    <row r="174" spans="1:10" x14ac:dyDescent="0.25">
      <c r="A174" s="35" t="s">
        <v>96</v>
      </c>
      <c r="B174" s="35" t="s">
        <v>162</v>
      </c>
      <c r="C174" s="6">
        <f t="shared" si="2"/>
        <v>5</v>
      </c>
      <c r="D174" s="77">
        <v>0</v>
      </c>
      <c r="E174" s="77">
        <v>0</v>
      </c>
      <c r="F174" s="77">
        <v>0</v>
      </c>
      <c r="G174" s="77">
        <v>0</v>
      </c>
      <c r="H174" s="77">
        <v>0</v>
      </c>
      <c r="I174" s="77">
        <v>0</v>
      </c>
      <c r="J174" s="77">
        <v>1</v>
      </c>
    </row>
    <row r="175" spans="1:10" x14ac:dyDescent="0.25">
      <c r="A175" s="36" t="s">
        <v>96</v>
      </c>
      <c r="B175" s="36" t="s">
        <v>163</v>
      </c>
      <c r="C175" s="6">
        <f t="shared" si="2"/>
        <v>6</v>
      </c>
      <c r="D175" s="75">
        <v>0</v>
      </c>
      <c r="E175" s="75">
        <v>0</v>
      </c>
      <c r="F175" s="75">
        <v>0</v>
      </c>
      <c r="G175" s="75">
        <v>0</v>
      </c>
      <c r="H175" s="75">
        <v>0</v>
      </c>
      <c r="I175" s="75">
        <v>0</v>
      </c>
      <c r="J175" s="75">
        <v>6</v>
      </c>
    </row>
    <row r="176" spans="1:10" x14ac:dyDescent="0.25">
      <c r="A176" s="35" t="s">
        <v>96</v>
      </c>
      <c r="B176" s="35" t="s">
        <v>164</v>
      </c>
      <c r="C176" s="6">
        <f t="shared" si="2"/>
        <v>7</v>
      </c>
      <c r="D176" s="77">
        <v>0</v>
      </c>
      <c r="E176" s="77">
        <v>0</v>
      </c>
      <c r="F176" s="77">
        <v>0</v>
      </c>
      <c r="G176" s="77">
        <v>0</v>
      </c>
      <c r="H176" s="77">
        <v>0</v>
      </c>
      <c r="I176" s="77">
        <v>0</v>
      </c>
      <c r="J176" s="77">
        <v>3</v>
      </c>
    </row>
    <row r="177" spans="1:10" x14ac:dyDescent="0.25">
      <c r="A177" s="36" t="s">
        <v>96</v>
      </c>
      <c r="B177" s="36" t="s">
        <v>165</v>
      </c>
      <c r="C177" s="6">
        <f t="shared" si="2"/>
        <v>8</v>
      </c>
      <c r="D177" s="75">
        <v>0</v>
      </c>
      <c r="E177" s="75">
        <v>0</v>
      </c>
      <c r="F177" s="75">
        <v>0</v>
      </c>
      <c r="G177" s="75">
        <v>0</v>
      </c>
      <c r="H177" s="75">
        <v>0</v>
      </c>
      <c r="I177" s="75">
        <v>0</v>
      </c>
      <c r="J177" s="75">
        <v>1</v>
      </c>
    </row>
    <row r="178" spans="1:10" x14ac:dyDescent="0.25">
      <c r="A178" s="35" t="s">
        <v>96</v>
      </c>
      <c r="B178" s="35" t="s">
        <v>166</v>
      </c>
      <c r="C178" s="6">
        <f t="shared" si="2"/>
        <v>9</v>
      </c>
      <c r="D178" s="77">
        <v>0</v>
      </c>
      <c r="E178" s="77">
        <v>0</v>
      </c>
      <c r="F178" s="77">
        <v>0</v>
      </c>
      <c r="G178" s="77">
        <v>0</v>
      </c>
      <c r="H178" s="77">
        <v>0</v>
      </c>
      <c r="I178" s="77">
        <v>0</v>
      </c>
      <c r="J178" s="77">
        <v>3</v>
      </c>
    </row>
    <row r="179" spans="1:10" x14ac:dyDescent="0.25">
      <c r="A179" s="36" t="s">
        <v>96</v>
      </c>
      <c r="B179" s="36" t="s">
        <v>167</v>
      </c>
      <c r="C179" s="6">
        <f t="shared" si="2"/>
        <v>10</v>
      </c>
      <c r="D179" s="75">
        <v>0</v>
      </c>
      <c r="E179" s="75">
        <v>0</v>
      </c>
      <c r="F179" s="75">
        <v>0</v>
      </c>
      <c r="G179" s="75">
        <v>0</v>
      </c>
      <c r="H179" s="75">
        <v>0</v>
      </c>
      <c r="I179" s="75">
        <v>0</v>
      </c>
      <c r="J179" s="75">
        <v>6</v>
      </c>
    </row>
    <row r="180" spans="1:10" x14ac:dyDescent="0.25">
      <c r="A180" s="35" t="s">
        <v>96</v>
      </c>
      <c r="B180" s="35" t="s">
        <v>168</v>
      </c>
      <c r="C180" s="6">
        <f t="shared" si="2"/>
        <v>11</v>
      </c>
      <c r="D180" s="77">
        <v>0</v>
      </c>
      <c r="E180" s="77">
        <v>0</v>
      </c>
      <c r="F180" s="77">
        <v>0</v>
      </c>
      <c r="G180" s="77">
        <v>0</v>
      </c>
      <c r="H180" s="77">
        <v>0</v>
      </c>
      <c r="I180" s="77">
        <v>0</v>
      </c>
      <c r="J180" s="77">
        <v>5</v>
      </c>
    </row>
    <row r="181" spans="1:10" x14ac:dyDescent="0.25">
      <c r="A181" s="36" t="s">
        <v>96</v>
      </c>
      <c r="B181" s="36" t="s">
        <v>169</v>
      </c>
      <c r="C181" s="6">
        <f t="shared" si="2"/>
        <v>12</v>
      </c>
      <c r="D181" s="75">
        <v>0</v>
      </c>
      <c r="E181" s="75">
        <v>0</v>
      </c>
      <c r="F181" s="75">
        <v>1</v>
      </c>
      <c r="G181" s="75">
        <v>1</v>
      </c>
      <c r="H181" s="75">
        <v>0</v>
      </c>
      <c r="I181" s="75">
        <v>0</v>
      </c>
      <c r="J181" s="75">
        <v>5</v>
      </c>
    </row>
    <row r="182" spans="1:10" x14ac:dyDescent="0.25">
      <c r="A182" s="35" t="s">
        <v>38</v>
      </c>
      <c r="B182" s="35" t="s">
        <v>158</v>
      </c>
      <c r="C182" s="6">
        <f t="shared" si="2"/>
        <v>1</v>
      </c>
      <c r="D182" s="77">
        <v>0</v>
      </c>
      <c r="E182" s="77">
        <v>0</v>
      </c>
      <c r="F182" s="77">
        <v>0</v>
      </c>
      <c r="G182" s="77">
        <v>0</v>
      </c>
      <c r="H182" s="77">
        <v>0</v>
      </c>
      <c r="I182" s="77">
        <v>0</v>
      </c>
      <c r="J182" s="77">
        <v>0</v>
      </c>
    </row>
    <row r="183" spans="1:10" x14ac:dyDescent="0.25">
      <c r="A183" s="36" t="s">
        <v>38</v>
      </c>
      <c r="B183" s="36" t="s">
        <v>159</v>
      </c>
      <c r="C183" s="6">
        <f t="shared" si="2"/>
        <v>2</v>
      </c>
      <c r="D183" s="75">
        <v>0</v>
      </c>
      <c r="E183" s="75">
        <v>0</v>
      </c>
      <c r="F183" s="75">
        <v>0</v>
      </c>
      <c r="G183" s="75">
        <v>0</v>
      </c>
      <c r="H183" s="75">
        <v>0</v>
      </c>
      <c r="I183" s="75">
        <v>0</v>
      </c>
      <c r="J183" s="75">
        <v>0</v>
      </c>
    </row>
    <row r="184" spans="1:10" x14ac:dyDescent="0.25">
      <c r="A184" s="35" t="s">
        <v>38</v>
      </c>
      <c r="B184" s="35" t="s">
        <v>160</v>
      </c>
      <c r="C184" s="6">
        <f t="shared" si="2"/>
        <v>3</v>
      </c>
      <c r="D184" s="77">
        <v>0</v>
      </c>
      <c r="E184" s="77">
        <v>0</v>
      </c>
      <c r="F184" s="77">
        <v>0</v>
      </c>
      <c r="G184" s="77">
        <v>0</v>
      </c>
      <c r="H184" s="77">
        <v>0</v>
      </c>
      <c r="I184" s="77">
        <v>0</v>
      </c>
      <c r="J184" s="77">
        <v>0</v>
      </c>
    </row>
    <row r="185" spans="1:10" x14ac:dyDescent="0.25">
      <c r="A185" s="36" t="s">
        <v>38</v>
      </c>
      <c r="B185" s="36" t="s">
        <v>161</v>
      </c>
      <c r="C185" s="6">
        <f t="shared" si="2"/>
        <v>4</v>
      </c>
      <c r="D185" s="75">
        <v>0</v>
      </c>
      <c r="E185" s="75">
        <v>0</v>
      </c>
      <c r="F185" s="75">
        <v>0</v>
      </c>
      <c r="G185" s="75">
        <v>0</v>
      </c>
      <c r="H185" s="75">
        <v>0</v>
      </c>
      <c r="I185" s="75">
        <v>0</v>
      </c>
      <c r="J185" s="75">
        <v>0</v>
      </c>
    </row>
    <row r="186" spans="1:10" x14ac:dyDescent="0.25">
      <c r="A186" s="35" t="s">
        <v>38</v>
      </c>
      <c r="B186" s="35" t="s">
        <v>162</v>
      </c>
      <c r="C186" s="6">
        <f t="shared" si="2"/>
        <v>5</v>
      </c>
      <c r="D186" s="77">
        <v>0</v>
      </c>
      <c r="E186" s="77">
        <v>0</v>
      </c>
      <c r="F186" s="77">
        <v>1</v>
      </c>
      <c r="G186" s="77">
        <v>0</v>
      </c>
      <c r="H186" s="77">
        <v>0</v>
      </c>
      <c r="I186" s="77">
        <v>0</v>
      </c>
      <c r="J186" s="77">
        <v>0</v>
      </c>
    </row>
    <row r="187" spans="1:10" x14ac:dyDescent="0.25">
      <c r="A187" s="36" t="s">
        <v>38</v>
      </c>
      <c r="B187" s="36" t="s">
        <v>163</v>
      </c>
      <c r="C187" s="6">
        <f t="shared" si="2"/>
        <v>6</v>
      </c>
      <c r="D187" s="75">
        <v>2</v>
      </c>
      <c r="E187" s="75">
        <v>22</v>
      </c>
      <c r="F187" s="75">
        <v>0</v>
      </c>
      <c r="G187" s="75">
        <v>0</v>
      </c>
      <c r="H187" s="75">
        <v>0</v>
      </c>
      <c r="I187" s="75">
        <v>0</v>
      </c>
      <c r="J187" s="75">
        <v>1</v>
      </c>
    </row>
    <row r="188" spans="1:10" x14ac:dyDescent="0.25">
      <c r="A188" s="35" t="s">
        <v>38</v>
      </c>
      <c r="B188" s="35" t="s">
        <v>164</v>
      </c>
      <c r="C188" s="6">
        <f t="shared" si="2"/>
        <v>7</v>
      </c>
      <c r="D188" s="77">
        <v>0</v>
      </c>
      <c r="E188" s="77">
        <v>0</v>
      </c>
      <c r="F188" s="77">
        <v>0</v>
      </c>
      <c r="G188" s="77">
        <v>0</v>
      </c>
      <c r="H188" s="77">
        <v>0</v>
      </c>
      <c r="I188" s="77">
        <v>0</v>
      </c>
      <c r="J188" s="77">
        <v>0</v>
      </c>
    </row>
    <row r="189" spans="1:10" x14ac:dyDescent="0.25">
      <c r="A189" s="36" t="s">
        <v>38</v>
      </c>
      <c r="B189" s="36" t="s">
        <v>165</v>
      </c>
      <c r="C189" s="6">
        <f t="shared" si="2"/>
        <v>8</v>
      </c>
      <c r="D189" s="75">
        <v>0</v>
      </c>
      <c r="E189" s="75">
        <v>0</v>
      </c>
      <c r="F189" s="75">
        <v>0</v>
      </c>
      <c r="G189" s="75">
        <v>0</v>
      </c>
      <c r="H189" s="75">
        <v>0</v>
      </c>
      <c r="I189" s="75">
        <v>0</v>
      </c>
      <c r="J189" s="75">
        <v>0</v>
      </c>
    </row>
    <row r="190" spans="1:10" x14ac:dyDescent="0.25">
      <c r="A190" s="35" t="s">
        <v>38</v>
      </c>
      <c r="B190" s="35" t="s">
        <v>166</v>
      </c>
      <c r="C190" s="6">
        <f t="shared" si="2"/>
        <v>9</v>
      </c>
      <c r="D190" s="77">
        <v>0</v>
      </c>
      <c r="E190" s="77">
        <v>0</v>
      </c>
      <c r="F190" s="77">
        <v>0</v>
      </c>
      <c r="G190" s="77">
        <v>0</v>
      </c>
      <c r="H190" s="77">
        <v>4</v>
      </c>
      <c r="I190" s="77">
        <v>44</v>
      </c>
      <c r="J190" s="77">
        <v>0</v>
      </c>
    </row>
    <row r="191" spans="1:10" x14ac:dyDescent="0.25">
      <c r="A191" s="36" t="s">
        <v>38</v>
      </c>
      <c r="B191" s="36" t="s">
        <v>167</v>
      </c>
      <c r="C191" s="6">
        <f t="shared" si="2"/>
        <v>10</v>
      </c>
      <c r="D191" s="75">
        <v>2</v>
      </c>
      <c r="E191" s="75">
        <v>22</v>
      </c>
      <c r="F191" s="75">
        <v>0</v>
      </c>
      <c r="G191" s="75">
        <v>0</v>
      </c>
      <c r="H191" s="75">
        <v>4</v>
      </c>
      <c r="I191" s="75">
        <v>44</v>
      </c>
      <c r="J191" s="75">
        <v>1</v>
      </c>
    </row>
    <row r="192" spans="1:10" x14ac:dyDescent="0.25">
      <c r="A192" s="35" t="s">
        <v>38</v>
      </c>
      <c r="B192" s="35" t="s">
        <v>168</v>
      </c>
      <c r="C192" s="6">
        <f t="shared" si="2"/>
        <v>11</v>
      </c>
      <c r="D192" s="77">
        <v>4</v>
      </c>
      <c r="E192" s="77">
        <v>44</v>
      </c>
      <c r="F192" s="77">
        <v>0</v>
      </c>
      <c r="G192" s="77">
        <v>0</v>
      </c>
      <c r="H192" s="77">
        <v>0</v>
      </c>
      <c r="I192" s="77">
        <v>0</v>
      </c>
      <c r="J192" s="77">
        <v>2</v>
      </c>
    </row>
    <row r="193" spans="1:10" x14ac:dyDescent="0.25">
      <c r="A193" s="36" t="s">
        <v>38</v>
      </c>
      <c r="B193" s="36" t="s">
        <v>169</v>
      </c>
      <c r="C193" s="6">
        <f t="shared" si="2"/>
        <v>12</v>
      </c>
      <c r="D193" s="75">
        <v>2</v>
      </c>
      <c r="E193" s="75">
        <v>22</v>
      </c>
      <c r="F193" s="75">
        <v>0</v>
      </c>
      <c r="G193" s="75">
        <v>0</v>
      </c>
      <c r="H193" s="75">
        <v>0</v>
      </c>
      <c r="I193" s="75">
        <v>0</v>
      </c>
      <c r="J193" s="75">
        <v>1</v>
      </c>
    </row>
    <row r="194" spans="1:10" x14ac:dyDescent="0.25">
      <c r="A194" s="35" t="s">
        <v>95</v>
      </c>
      <c r="B194" s="35" t="s">
        <v>158</v>
      </c>
      <c r="C194" s="6">
        <f t="shared" ref="C194:C257" si="3">_xlfn.IFS(B194="Janeiro",1,B194="Fevereiro",2,B194="Março",3,B194="Abril",4,B194="Maio",5,B194="Junho",6,B194="Julho",7,B194="Agosto",8,B194="Setembro",9,B194="Outubro",10,B194="Novembro",11,B194="Dezembro",12,TRUE,0)</f>
        <v>1</v>
      </c>
      <c r="D194" s="77">
        <v>4</v>
      </c>
      <c r="E194" s="77">
        <v>14</v>
      </c>
      <c r="F194" s="77">
        <v>0</v>
      </c>
      <c r="G194" s="77">
        <v>0</v>
      </c>
      <c r="H194" s="77">
        <v>5</v>
      </c>
      <c r="I194" s="77">
        <v>17</v>
      </c>
      <c r="J194" s="77">
        <v>1</v>
      </c>
    </row>
    <row r="195" spans="1:10" x14ac:dyDescent="0.25">
      <c r="A195" s="36" t="s">
        <v>95</v>
      </c>
      <c r="B195" s="36" t="s">
        <v>159</v>
      </c>
      <c r="C195" s="6">
        <f t="shared" si="3"/>
        <v>2</v>
      </c>
      <c r="D195" s="75">
        <v>1</v>
      </c>
      <c r="E195" s="75">
        <v>3</v>
      </c>
      <c r="F195" s="75">
        <v>0</v>
      </c>
      <c r="G195" s="75">
        <v>0</v>
      </c>
      <c r="H195" s="75">
        <v>0</v>
      </c>
      <c r="I195" s="75">
        <v>0</v>
      </c>
      <c r="J195" s="75">
        <v>1</v>
      </c>
    </row>
    <row r="196" spans="1:10" x14ac:dyDescent="0.25">
      <c r="A196" s="35" t="s">
        <v>95</v>
      </c>
      <c r="B196" s="35" t="s">
        <v>160</v>
      </c>
      <c r="C196" s="6">
        <f t="shared" si="3"/>
        <v>3</v>
      </c>
      <c r="D196" s="77">
        <v>0</v>
      </c>
      <c r="E196" s="77">
        <v>0</v>
      </c>
      <c r="F196" s="77">
        <v>0</v>
      </c>
      <c r="G196" s="77">
        <v>0</v>
      </c>
      <c r="H196" s="77">
        <v>0</v>
      </c>
      <c r="I196" s="77">
        <v>0</v>
      </c>
      <c r="J196" s="77">
        <v>0</v>
      </c>
    </row>
    <row r="197" spans="1:10" x14ac:dyDescent="0.25">
      <c r="A197" s="36" t="s">
        <v>95</v>
      </c>
      <c r="B197" s="36" t="s">
        <v>161</v>
      </c>
      <c r="C197" s="6">
        <f t="shared" si="3"/>
        <v>4</v>
      </c>
      <c r="D197" s="75">
        <v>0</v>
      </c>
      <c r="E197" s="75">
        <v>0</v>
      </c>
      <c r="F197" s="75">
        <v>0</v>
      </c>
      <c r="G197" s="75">
        <v>0</v>
      </c>
      <c r="H197" s="75">
        <v>0</v>
      </c>
      <c r="I197" s="75">
        <v>0</v>
      </c>
      <c r="J197" s="75">
        <v>0</v>
      </c>
    </row>
    <row r="198" spans="1:10" x14ac:dyDescent="0.25">
      <c r="A198" s="35" t="s">
        <v>95</v>
      </c>
      <c r="B198" s="35" t="s">
        <v>162</v>
      </c>
      <c r="C198" s="6">
        <f t="shared" si="3"/>
        <v>5</v>
      </c>
      <c r="D198" s="77">
        <v>0</v>
      </c>
      <c r="E198" s="77">
        <v>0</v>
      </c>
      <c r="F198" s="77">
        <v>0</v>
      </c>
      <c r="G198" s="77">
        <v>0</v>
      </c>
      <c r="H198" s="77">
        <v>0</v>
      </c>
      <c r="I198" s="77">
        <v>0</v>
      </c>
      <c r="J198" s="77">
        <v>0</v>
      </c>
    </row>
    <row r="199" spans="1:10" x14ac:dyDescent="0.25">
      <c r="A199" s="36" t="s">
        <v>95</v>
      </c>
      <c r="B199" s="36" t="s">
        <v>163</v>
      </c>
      <c r="C199" s="6">
        <f t="shared" si="3"/>
        <v>6</v>
      </c>
      <c r="D199" s="75">
        <v>0</v>
      </c>
      <c r="E199" s="75">
        <v>0</v>
      </c>
      <c r="F199" s="75">
        <v>1</v>
      </c>
      <c r="G199" s="75">
        <v>0</v>
      </c>
      <c r="H199" s="75">
        <v>16</v>
      </c>
      <c r="I199" s="75">
        <v>57</v>
      </c>
      <c r="J199" s="75">
        <v>0</v>
      </c>
    </row>
    <row r="200" spans="1:10" x14ac:dyDescent="0.25">
      <c r="A200" s="35" t="s">
        <v>95</v>
      </c>
      <c r="B200" s="35" t="s">
        <v>164</v>
      </c>
      <c r="C200" s="6">
        <f t="shared" si="3"/>
        <v>7</v>
      </c>
      <c r="D200" s="77">
        <v>0</v>
      </c>
      <c r="E200" s="77">
        <v>0</v>
      </c>
      <c r="F200" s="77">
        <v>0</v>
      </c>
      <c r="G200" s="77">
        <v>0</v>
      </c>
      <c r="H200" s="77">
        <v>0</v>
      </c>
      <c r="I200" s="77">
        <v>0</v>
      </c>
      <c r="J200" s="77">
        <v>0</v>
      </c>
    </row>
    <row r="201" spans="1:10" x14ac:dyDescent="0.25">
      <c r="A201" s="36" t="s">
        <v>95</v>
      </c>
      <c r="B201" s="36" t="s">
        <v>165</v>
      </c>
      <c r="C201" s="6">
        <f t="shared" si="3"/>
        <v>8</v>
      </c>
      <c r="D201" s="75">
        <v>6</v>
      </c>
      <c r="E201" s="75">
        <v>21</v>
      </c>
      <c r="F201" s="75">
        <v>0</v>
      </c>
      <c r="G201" s="75">
        <v>0</v>
      </c>
      <c r="H201" s="75">
        <v>0</v>
      </c>
      <c r="I201" s="75">
        <v>0</v>
      </c>
      <c r="J201" s="75">
        <v>2</v>
      </c>
    </row>
    <row r="202" spans="1:10" x14ac:dyDescent="0.25">
      <c r="A202" s="35" t="s">
        <v>95</v>
      </c>
      <c r="B202" s="35" t="s">
        <v>166</v>
      </c>
      <c r="C202" s="6">
        <f t="shared" si="3"/>
        <v>9</v>
      </c>
      <c r="D202" s="77">
        <v>2</v>
      </c>
      <c r="E202" s="77">
        <v>7</v>
      </c>
      <c r="F202" s="77">
        <v>0</v>
      </c>
      <c r="G202" s="77">
        <v>0</v>
      </c>
      <c r="H202" s="77">
        <v>13</v>
      </c>
      <c r="I202" s="77">
        <v>46</v>
      </c>
      <c r="J202" s="77">
        <v>1</v>
      </c>
    </row>
    <row r="203" spans="1:10" x14ac:dyDescent="0.25">
      <c r="A203" s="36" t="s">
        <v>95</v>
      </c>
      <c r="B203" s="36" t="s">
        <v>167</v>
      </c>
      <c r="C203" s="6">
        <f t="shared" si="3"/>
        <v>10</v>
      </c>
      <c r="D203" s="75">
        <v>5</v>
      </c>
      <c r="E203" s="75">
        <v>17</v>
      </c>
      <c r="F203" s="75">
        <v>0</v>
      </c>
      <c r="G203" s="75">
        <v>0</v>
      </c>
      <c r="H203" s="75">
        <v>3</v>
      </c>
      <c r="I203" s="75">
        <v>10</v>
      </c>
      <c r="J203" s="75">
        <v>2</v>
      </c>
    </row>
    <row r="204" spans="1:10" x14ac:dyDescent="0.25">
      <c r="A204" s="35" t="s">
        <v>95</v>
      </c>
      <c r="B204" s="35" t="s">
        <v>168</v>
      </c>
      <c r="C204" s="6">
        <f t="shared" si="3"/>
        <v>11</v>
      </c>
      <c r="D204" s="77">
        <v>5</v>
      </c>
      <c r="E204" s="77">
        <v>17</v>
      </c>
      <c r="F204" s="77">
        <v>1</v>
      </c>
      <c r="G204" s="77">
        <v>1</v>
      </c>
      <c r="H204" s="77">
        <v>0</v>
      </c>
      <c r="I204" s="77">
        <v>0</v>
      </c>
      <c r="J204" s="77">
        <v>2</v>
      </c>
    </row>
    <row r="205" spans="1:10" x14ac:dyDescent="0.25">
      <c r="A205" s="36" t="s">
        <v>95</v>
      </c>
      <c r="B205" s="36" t="s">
        <v>169</v>
      </c>
      <c r="C205" s="6">
        <f t="shared" si="3"/>
        <v>12</v>
      </c>
      <c r="D205" s="75">
        <v>5</v>
      </c>
      <c r="E205" s="75">
        <v>17</v>
      </c>
      <c r="F205" s="75">
        <v>0</v>
      </c>
      <c r="G205" s="75">
        <v>0</v>
      </c>
      <c r="H205" s="75">
        <v>0</v>
      </c>
      <c r="I205" s="75">
        <v>0</v>
      </c>
      <c r="J205" s="75">
        <v>2</v>
      </c>
    </row>
    <row r="206" spans="1:10" x14ac:dyDescent="0.25">
      <c r="A206" s="35" t="s">
        <v>132</v>
      </c>
      <c r="B206" s="35" t="s">
        <v>158</v>
      </c>
      <c r="C206" s="6">
        <f t="shared" si="3"/>
        <v>1</v>
      </c>
      <c r="D206" s="77">
        <v>0</v>
      </c>
      <c r="E206" s="77">
        <v>0</v>
      </c>
      <c r="F206" s="77">
        <v>0</v>
      </c>
      <c r="G206" s="77">
        <v>0</v>
      </c>
      <c r="H206" s="77">
        <v>0</v>
      </c>
      <c r="I206" s="77">
        <v>0</v>
      </c>
      <c r="J206" s="77">
        <v>2</v>
      </c>
    </row>
    <row r="207" spans="1:10" x14ac:dyDescent="0.25">
      <c r="A207" s="36" t="s">
        <v>132</v>
      </c>
      <c r="B207" s="36" t="s">
        <v>159</v>
      </c>
      <c r="C207" s="6">
        <f t="shared" si="3"/>
        <v>2</v>
      </c>
      <c r="D207" s="75">
        <v>0</v>
      </c>
      <c r="E207" s="75">
        <v>0</v>
      </c>
      <c r="F207" s="75">
        <v>0</v>
      </c>
      <c r="G207" s="75">
        <v>0</v>
      </c>
      <c r="H207" s="75">
        <v>0</v>
      </c>
      <c r="I207" s="75">
        <v>0</v>
      </c>
      <c r="J207" s="75">
        <v>2</v>
      </c>
    </row>
    <row r="208" spans="1:10" x14ac:dyDescent="0.25">
      <c r="A208" s="35" t="s">
        <v>132</v>
      </c>
      <c r="B208" s="35" t="s">
        <v>160</v>
      </c>
      <c r="C208" s="6">
        <f t="shared" si="3"/>
        <v>3</v>
      </c>
      <c r="D208" s="77">
        <v>0</v>
      </c>
      <c r="E208" s="77">
        <v>0</v>
      </c>
      <c r="F208" s="77">
        <v>0</v>
      </c>
      <c r="G208" s="77">
        <v>0</v>
      </c>
      <c r="H208" s="77">
        <v>0</v>
      </c>
      <c r="I208" s="77">
        <v>0</v>
      </c>
      <c r="J208" s="77">
        <v>1</v>
      </c>
    </row>
    <row r="209" spans="1:10" x14ac:dyDescent="0.25">
      <c r="A209" s="36" t="s">
        <v>132</v>
      </c>
      <c r="B209" s="36" t="s">
        <v>161</v>
      </c>
      <c r="C209" s="6">
        <f t="shared" si="3"/>
        <v>4</v>
      </c>
      <c r="D209" s="75">
        <v>0</v>
      </c>
      <c r="E209" s="75">
        <v>0</v>
      </c>
      <c r="F209" s="75">
        <v>0</v>
      </c>
      <c r="G209" s="75">
        <v>0</v>
      </c>
      <c r="H209" s="75">
        <v>0</v>
      </c>
      <c r="I209" s="75">
        <v>0</v>
      </c>
      <c r="J209" s="75">
        <v>2</v>
      </c>
    </row>
    <row r="210" spans="1:10" x14ac:dyDescent="0.25">
      <c r="A210" s="35" t="s">
        <v>132</v>
      </c>
      <c r="B210" s="35" t="s">
        <v>162</v>
      </c>
      <c r="C210" s="6">
        <f t="shared" si="3"/>
        <v>5</v>
      </c>
      <c r="D210" s="77">
        <v>0</v>
      </c>
      <c r="E210" s="77">
        <v>0</v>
      </c>
      <c r="F210" s="77">
        <v>0</v>
      </c>
      <c r="G210" s="77">
        <v>0</v>
      </c>
      <c r="H210" s="77">
        <v>0</v>
      </c>
      <c r="I210" s="77">
        <v>0</v>
      </c>
      <c r="J210" s="77">
        <v>0</v>
      </c>
    </row>
    <row r="211" spans="1:10" x14ac:dyDescent="0.25">
      <c r="A211" s="36" t="s">
        <v>132</v>
      </c>
      <c r="B211" s="36" t="s">
        <v>163</v>
      </c>
      <c r="C211" s="6">
        <f t="shared" si="3"/>
        <v>6</v>
      </c>
      <c r="D211" s="75">
        <v>0</v>
      </c>
      <c r="E211" s="75">
        <v>0</v>
      </c>
      <c r="F211" s="75">
        <v>0</v>
      </c>
      <c r="G211" s="75">
        <v>0</v>
      </c>
      <c r="H211" s="75">
        <v>0</v>
      </c>
      <c r="I211" s="75">
        <v>0</v>
      </c>
      <c r="J211" s="75">
        <v>2</v>
      </c>
    </row>
    <row r="212" spans="1:10" x14ac:dyDescent="0.25">
      <c r="A212" s="35" t="s">
        <v>132</v>
      </c>
      <c r="B212" s="35" t="s">
        <v>164</v>
      </c>
      <c r="C212" s="6">
        <f t="shared" si="3"/>
        <v>7</v>
      </c>
      <c r="D212" s="77">
        <v>0</v>
      </c>
      <c r="E212" s="77">
        <v>0</v>
      </c>
      <c r="F212" s="77">
        <v>0</v>
      </c>
      <c r="G212" s="77">
        <v>0</v>
      </c>
      <c r="H212" s="77">
        <v>0</v>
      </c>
      <c r="I212" s="77">
        <v>0</v>
      </c>
      <c r="J212" s="77">
        <v>3</v>
      </c>
    </row>
    <row r="213" spans="1:10" x14ac:dyDescent="0.25">
      <c r="A213" s="36" t="s">
        <v>132</v>
      </c>
      <c r="B213" s="36" t="s">
        <v>165</v>
      </c>
      <c r="C213" s="6">
        <f t="shared" si="3"/>
        <v>8</v>
      </c>
      <c r="D213" s="75">
        <v>0</v>
      </c>
      <c r="E213" s="75">
        <v>0</v>
      </c>
      <c r="F213" s="75">
        <v>0</v>
      </c>
      <c r="G213" s="75">
        <v>0</v>
      </c>
      <c r="H213" s="75">
        <v>0</v>
      </c>
      <c r="I213" s="75">
        <v>0</v>
      </c>
      <c r="J213" s="75">
        <v>1</v>
      </c>
    </row>
    <row r="214" spans="1:10" x14ac:dyDescent="0.25">
      <c r="A214" s="35" t="s">
        <v>132</v>
      </c>
      <c r="B214" s="35" t="s">
        <v>166</v>
      </c>
      <c r="C214" s="6">
        <f t="shared" si="3"/>
        <v>9</v>
      </c>
      <c r="D214" s="77">
        <v>0</v>
      </c>
      <c r="E214" s="77">
        <v>0</v>
      </c>
      <c r="F214" s="77">
        <v>0</v>
      </c>
      <c r="G214" s="77">
        <v>0</v>
      </c>
      <c r="H214" s="77">
        <v>0</v>
      </c>
      <c r="I214" s="77">
        <v>0</v>
      </c>
      <c r="J214" s="77">
        <v>2</v>
      </c>
    </row>
    <row r="215" spans="1:10" x14ac:dyDescent="0.25">
      <c r="A215" s="36" t="s">
        <v>132</v>
      </c>
      <c r="B215" s="36" t="s">
        <v>167</v>
      </c>
      <c r="C215" s="6">
        <f t="shared" si="3"/>
        <v>10</v>
      </c>
      <c r="D215" s="75">
        <v>0</v>
      </c>
      <c r="E215" s="75">
        <v>0</v>
      </c>
      <c r="F215" s="75">
        <v>2</v>
      </c>
      <c r="G215" s="75">
        <v>2</v>
      </c>
      <c r="H215" s="75">
        <v>0</v>
      </c>
      <c r="I215" s="75">
        <v>0</v>
      </c>
      <c r="J215" s="75">
        <v>2</v>
      </c>
    </row>
    <row r="216" spans="1:10" x14ac:dyDescent="0.25">
      <c r="A216" s="35" t="s">
        <v>132</v>
      </c>
      <c r="B216" s="35" t="s">
        <v>168</v>
      </c>
      <c r="C216" s="6">
        <f t="shared" si="3"/>
        <v>11</v>
      </c>
      <c r="D216" s="77">
        <v>0</v>
      </c>
      <c r="E216" s="77">
        <v>0</v>
      </c>
      <c r="F216" s="77">
        <v>0</v>
      </c>
      <c r="G216" s="77">
        <v>0</v>
      </c>
      <c r="H216" s="77">
        <v>0</v>
      </c>
      <c r="I216" s="77">
        <v>0</v>
      </c>
      <c r="J216" s="77">
        <v>0</v>
      </c>
    </row>
    <row r="217" spans="1:10" x14ac:dyDescent="0.25">
      <c r="A217" s="36" t="s">
        <v>132</v>
      </c>
      <c r="B217" s="36" t="s">
        <v>169</v>
      </c>
      <c r="C217" s="6">
        <f t="shared" si="3"/>
        <v>12</v>
      </c>
      <c r="D217" s="75">
        <v>0</v>
      </c>
      <c r="E217" s="75">
        <v>0</v>
      </c>
      <c r="F217" s="75">
        <v>0</v>
      </c>
      <c r="G217" s="75">
        <v>0</v>
      </c>
      <c r="H217" s="75">
        <v>0</v>
      </c>
      <c r="I217" s="75">
        <v>0</v>
      </c>
      <c r="J217" s="75">
        <v>0</v>
      </c>
    </row>
    <row r="218" spans="1:10" x14ac:dyDescent="0.25">
      <c r="A218" s="35" t="s">
        <v>74</v>
      </c>
      <c r="B218" s="35" t="s">
        <v>158</v>
      </c>
      <c r="C218" s="6">
        <f t="shared" si="3"/>
        <v>1</v>
      </c>
      <c r="D218" s="77">
        <v>0</v>
      </c>
      <c r="E218" s="77">
        <v>0</v>
      </c>
      <c r="F218" s="77">
        <v>0</v>
      </c>
      <c r="G218" s="77">
        <v>0</v>
      </c>
      <c r="H218" s="77">
        <v>0</v>
      </c>
      <c r="I218" s="77">
        <v>0</v>
      </c>
      <c r="J218" s="77">
        <v>0</v>
      </c>
    </row>
    <row r="219" spans="1:10" x14ac:dyDescent="0.25">
      <c r="A219" s="36" t="s">
        <v>74</v>
      </c>
      <c r="B219" s="36" t="s">
        <v>159</v>
      </c>
      <c r="C219" s="6">
        <f t="shared" si="3"/>
        <v>2</v>
      </c>
      <c r="D219" s="75">
        <v>1</v>
      </c>
      <c r="E219" s="75">
        <v>7</v>
      </c>
      <c r="F219" s="75">
        <v>1</v>
      </c>
      <c r="G219" s="75">
        <v>1</v>
      </c>
      <c r="H219" s="75">
        <v>0</v>
      </c>
      <c r="I219" s="75">
        <v>0</v>
      </c>
      <c r="J219" s="75">
        <v>1</v>
      </c>
    </row>
    <row r="220" spans="1:10" x14ac:dyDescent="0.25">
      <c r="A220" s="35" t="s">
        <v>74</v>
      </c>
      <c r="B220" s="35" t="s">
        <v>160</v>
      </c>
      <c r="C220" s="6">
        <f t="shared" si="3"/>
        <v>3</v>
      </c>
      <c r="D220" s="77">
        <v>0</v>
      </c>
      <c r="E220" s="77">
        <v>0</v>
      </c>
      <c r="F220" s="77">
        <v>0</v>
      </c>
      <c r="G220" s="77">
        <v>0</v>
      </c>
      <c r="H220" s="77">
        <v>0</v>
      </c>
      <c r="I220" s="77">
        <v>0</v>
      </c>
      <c r="J220" s="77">
        <v>0</v>
      </c>
    </row>
    <row r="221" spans="1:10" x14ac:dyDescent="0.25">
      <c r="A221" s="36" t="s">
        <v>74</v>
      </c>
      <c r="B221" s="36" t="s">
        <v>161</v>
      </c>
      <c r="C221" s="6">
        <f t="shared" si="3"/>
        <v>4</v>
      </c>
      <c r="D221" s="75">
        <v>2</v>
      </c>
      <c r="E221" s="75">
        <v>14</v>
      </c>
      <c r="F221" s="75">
        <v>0</v>
      </c>
      <c r="G221" s="75">
        <v>0</v>
      </c>
      <c r="H221" s="75">
        <v>0</v>
      </c>
      <c r="I221" s="75">
        <v>0</v>
      </c>
      <c r="J221" s="75">
        <v>1</v>
      </c>
    </row>
    <row r="222" spans="1:10" x14ac:dyDescent="0.25">
      <c r="A222" s="35" t="s">
        <v>74</v>
      </c>
      <c r="B222" s="35" t="s">
        <v>162</v>
      </c>
      <c r="C222" s="6">
        <f t="shared" si="3"/>
        <v>5</v>
      </c>
      <c r="D222" s="77">
        <v>2</v>
      </c>
      <c r="E222" s="77">
        <v>14</v>
      </c>
      <c r="F222" s="77">
        <v>1</v>
      </c>
      <c r="G222" s="77">
        <v>0</v>
      </c>
      <c r="H222" s="77">
        <v>0</v>
      </c>
      <c r="I222" s="77">
        <v>0</v>
      </c>
      <c r="J222" s="77">
        <v>1</v>
      </c>
    </row>
    <row r="223" spans="1:10" x14ac:dyDescent="0.25">
      <c r="A223" s="36" t="s">
        <v>74</v>
      </c>
      <c r="B223" s="36" t="s">
        <v>163</v>
      </c>
      <c r="C223" s="6">
        <f t="shared" si="3"/>
        <v>6</v>
      </c>
      <c r="D223" s="75">
        <v>0</v>
      </c>
      <c r="E223" s="75">
        <v>0</v>
      </c>
      <c r="F223" s="75">
        <v>0</v>
      </c>
      <c r="G223" s="75">
        <v>0</v>
      </c>
      <c r="H223" s="75">
        <v>2</v>
      </c>
      <c r="I223" s="75">
        <v>14</v>
      </c>
      <c r="J223" s="75">
        <v>0</v>
      </c>
    </row>
    <row r="224" spans="1:10" x14ac:dyDescent="0.25">
      <c r="A224" s="35" t="s">
        <v>74</v>
      </c>
      <c r="B224" s="35" t="s">
        <v>164</v>
      </c>
      <c r="C224" s="6">
        <f t="shared" si="3"/>
        <v>7</v>
      </c>
      <c r="D224" s="77">
        <v>0</v>
      </c>
      <c r="E224" s="77">
        <v>0</v>
      </c>
      <c r="F224" s="77">
        <v>0</v>
      </c>
      <c r="G224" s="77">
        <v>0</v>
      </c>
      <c r="H224" s="77">
        <v>0</v>
      </c>
      <c r="I224" s="77">
        <v>0</v>
      </c>
      <c r="J224" s="77">
        <v>0</v>
      </c>
    </row>
    <row r="225" spans="1:10" x14ac:dyDescent="0.25">
      <c r="A225" s="36" t="s">
        <v>74</v>
      </c>
      <c r="B225" s="36" t="s">
        <v>165</v>
      </c>
      <c r="C225" s="6">
        <f t="shared" si="3"/>
        <v>8</v>
      </c>
      <c r="D225" s="75">
        <v>0</v>
      </c>
      <c r="E225" s="75">
        <v>0</v>
      </c>
      <c r="F225" s="75">
        <v>0</v>
      </c>
      <c r="G225" s="75">
        <v>0</v>
      </c>
      <c r="H225" s="75">
        <v>0</v>
      </c>
      <c r="I225" s="75">
        <v>0</v>
      </c>
      <c r="J225" s="75">
        <v>0</v>
      </c>
    </row>
    <row r="226" spans="1:10" x14ac:dyDescent="0.25">
      <c r="A226" s="35" t="s">
        <v>74</v>
      </c>
      <c r="B226" s="35" t="s">
        <v>166</v>
      </c>
      <c r="C226" s="6">
        <f t="shared" si="3"/>
        <v>9</v>
      </c>
      <c r="D226" s="77">
        <v>2</v>
      </c>
      <c r="E226" s="77">
        <v>14</v>
      </c>
      <c r="F226" s="77">
        <v>0</v>
      </c>
      <c r="G226" s="77">
        <v>0</v>
      </c>
      <c r="H226" s="77">
        <v>11</v>
      </c>
      <c r="I226" s="77">
        <v>78</v>
      </c>
      <c r="J226" s="77">
        <v>2</v>
      </c>
    </row>
    <row r="227" spans="1:10" x14ac:dyDescent="0.25">
      <c r="A227" s="36" t="s">
        <v>74</v>
      </c>
      <c r="B227" s="36" t="s">
        <v>167</v>
      </c>
      <c r="C227" s="6">
        <f t="shared" si="3"/>
        <v>10</v>
      </c>
      <c r="D227" s="75">
        <v>0</v>
      </c>
      <c r="E227" s="75">
        <v>0</v>
      </c>
      <c r="F227" s="75">
        <v>0</v>
      </c>
      <c r="G227" s="75">
        <v>0</v>
      </c>
      <c r="H227" s="75">
        <v>1</v>
      </c>
      <c r="I227" s="75">
        <v>7</v>
      </c>
      <c r="J227" s="75">
        <v>0</v>
      </c>
    </row>
    <row r="228" spans="1:10" x14ac:dyDescent="0.25">
      <c r="A228" s="35" t="s">
        <v>74</v>
      </c>
      <c r="B228" s="35" t="s">
        <v>168</v>
      </c>
      <c r="C228" s="6">
        <f t="shared" si="3"/>
        <v>11</v>
      </c>
      <c r="D228" s="77">
        <v>0</v>
      </c>
      <c r="E228" s="77">
        <v>0</v>
      </c>
      <c r="F228" s="77">
        <v>0</v>
      </c>
      <c r="G228" s="77">
        <v>0</v>
      </c>
      <c r="H228" s="77">
        <v>0</v>
      </c>
      <c r="I228" s="77">
        <v>0</v>
      </c>
      <c r="J228" s="77">
        <v>0</v>
      </c>
    </row>
    <row r="229" spans="1:10" x14ac:dyDescent="0.25">
      <c r="A229" s="36" t="s">
        <v>74</v>
      </c>
      <c r="B229" s="36" t="s">
        <v>169</v>
      </c>
      <c r="C229" s="6">
        <f t="shared" si="3"/>
        <v>12</v>
      </c>
      <c r="D229" s="75">
        <v>0</v>
      </c>
      <c r="E229" s="75">
        <v>0</v>
      </c>
      <c r="F229" s="75">
        <v>0</v>
      </c>
      <c r="G229" s="75">
        <v>0</v>
      </c>
      <c r="H229" s="75">
        <v>0</v>
      </c>
      <c r="I229" s="75">
        <v>0</v>
      </c>
      <c r="J229" s="75">
        <v>0</v>
      </c>
    </row>
    <row r="230" spans="1:10" x14ac:dyDescent="0.25">
      <c r="A230" s="35" t="s">
        <v>57</v>
      </c>
      <c r="B230" s="35" t="s">
        <v>158</v>
      </c>
      <c r="C230" s="6">
        <f t="shared" si="3"/>
        <v>1</v>
      </c>
      <c r="D230" s="77">
        <v>0</v>
      </c>
      <c r="E230" s="77">
        <v>0</v>
      </c>
      <c r="F230" s="77">
        <v>0</v>
      </c>
      <c r="G230" s="77">
        <v>0</v>
      </c>
      <c r="H230" s="77">
        <v>0</v>
      </c>
      <c r="I230" s="77">
        <v>0</v>
      </c>
      <c r="J230" s="77">
        <v>0</v>
      </c>
    </row>
    <row r="231" spans="1:10" x14ac:dyDescent="0.25">
      <c r="A231" s="36" t="s">
        <v>57</v>
      </c>
      <c r="B231" s="36" t="s">
        <v>159</v>
      </c>
      <c r="C231" s="6">
        <f t="shared" si="3"/>
        <v>2</v>
      </c>
      <c r="D231" s="75">
        <v>3</v>
      </c>
      <c r="E231" s="75">
        <v>13</v>
      </c>
      <c r="F231" s="75">
        <v>0</v>
      </c>
      <c r="G231" s="75">
        <v>0</v>
      </c>
      <c r="H231" s="75">
        <v>0</v>
      </c>
      <c r="I231" s="75">
        <v>0</v>
      </c>
      <c r="J231" s="75">
        <v>1</v>
      </c>
    </row>
    <row r="232" spans="1:10" x14ac:dyDescent="0.25">
      <c r="A232" s="35" t="s">
        <v>57</v>
      </c>
      <c r="B232" s="35" t="s">
        <v>160</v>
      </c>
      <c r="C232" s="6">
        <f t="shared" si="3"/>
        <v>3</v>
      </c>
      <c r="D232" s="77">
        <v>0</v>
      </c>
      <c r="E232" s="77">
        <v>0</v>
      </c>
      <c r="F232" s="77">
        <v>0</v>
      </c>
      <c r="G232" s="77">
        <v>0</v>
      </c>
      <c r="H232" s="77">
        <v>0</v>
      </c>
      <c r="I232" s="77">
        <v>0</v>
      </c>
      <c r="J232" s="77">
        <v>0</v>
      </c>
    </row>
    <row r="233" spans="1:10" x14ac:dyDescent="0.25">
      <c r="A233" s="36" t="s">
        <v>57</v>
      </c>
      <c r="B233" s="36" t="s">
        <v>161</v>
      </c>
      <c r="C233" s="6">
        <f t="shared" si="3"/>
        <v>4</v>
      </c>
      <c r="D233" s="75">
        <v>5</v>
      </c>
      <c r="E233" s="75">
        <v>22</v>
      </c>
      <c r="F233" s="75">
        <v>0</v>
      </c>
      <c r="G233" s="75">
        <v>0</v>
      </c>
      <c r="H233" s="75">
        <v>0</v>
      </c>
      <c r="I233" s="75">
        <v>0</v>
      </c>
      <c r="J233" s="75">
        <v>2</v>
      </c>
    </row>
    <row r="234" spans="1:10" x14ac:dyDescent="0.25">
      <c r="A234" s="35" t="s">
        <v>57</v>
      </c>
      <c r="B234" s="35" t="s">
        <v>162</v>
      </c>
      <c r="C234" s="6">
        <f t="shared" si="3"/>
        <v>5</v>
      </c>
      <c r="D234" s="77">
        <v>10</v>
      </c>
      <c r="E234" s="77">
        <v>45</v>
      </c>
      <c r="F234" s="77">
        <v>0</v>
      </c>
      <c r="G234" s="77">
        <v>0</v>
      </c>
      <c r="H234" s="77">
        <v>0</v>
      </c>
      <c r="I234" s="77">
        <v>0</v>
      </c>
      <c r="J234" s="77">
        <v>3</v>
      </c>
    </row>
    <row r="235" spans="1:10" x14ac:dyDescent="0.25">
      <c r="A235" s="36" t="s">
        <v>57</v>
      </c>
      <c r="B235" s="36" t="s">
        <v>163</v>
      </c>
      <c r="C235" s="6">
        <f t="shared" si="3"/>
        <v>6</v>
      </c>
      <c r="D235" s="75">
        <v>0</v>
      </c>
      <c r="E235" s="75">
        <v>0</v>
      </c>
      <c r="F235" s="75">
        <v>0</v>
      </c>
      <c r="G235" s="75">
        <v>0</v>
      </c>
      <c r="H235" s="75">
        <v>0</v>
      </c>
      <c r="I235" s="75">
        <v>0</v>
      </c>
      <c r="J235" s="75">
        <v>0</v>
      </c>
    </row>
    <row r="236" spans="1:10" x14ac:dyDescent="0.25">
      <c r="A236" s="35" t="s">
        <v>57</v>
      </c>
      <c r="B236" s="35" t="s">
        <v>164</v>
      </c>
      <c r="C236" s="6">
        <f t="shared" si="3"/>
        <v>7</v>
      </c>
      <c r="D236" s="77">
        <v>5</v>
      </c>
      <c r="E236" s="77">
        <v>22</v>
      </c>
      <c r="F236" s="77">
        <v>0</v>
      </c>
      <c r="G236" s="77">
        <v>0</v>
      </c>
      <c r="H236" s="77">
        <v>0</v>
      </c>
      <c r="I236" s="77">
        <v>0</v>
      </c>
      <c r="J236" s="77">
        <v>2</v>
      </c>
    </row>
    <row r="237" spans="1:10" x14ac:dyDescent="0.25">
      <c r="A237" s="36" t="s">
        <v>57</v>
      </c>
      <c r="B237" s="36" t="s">
        <v>165</v>
      </c>
      <c r="C237" s="6">
        <f t="shared" si="3"/>
        <v>8</v>
      </c>
      <c r="D237" s="75">
        <v>3</v>
      </c>
      <c r="E237" s="75">
        <v>13</v>
      </c>
      <c r="F237" s="75">
        <v>0</v>
      </c>
      <c r="G237" s="75">
        <v>0</v>
      </c>
      <c r="H237" s="75">
        <v>0</v>
      </c>
      <c r="I237" s="75">
        <v>0</v>
      </c>
      <c r="J237" s="75">
        <v>1</v>
      </c>
    </row>
    <row r="238" spans="1:10" x14ac:dyDescent="0.25">
      <c r="A238" s="35" t="s">
        <v>57</v>
      </c>
      <c r="B238" s="35" t="s">
        <v>166</v>
      </c>
      <c r="C238" s="6">
        <f t="shared" si="3"/>
        <v>9</v>
      </c>
      <c r="D238" s="77">
        <v>0</v>
      </c>
      <c r="E238" s="77">
        <v>0</v>
      </c>
      <c r="F238" s="77">
        <v>0</v>
      </c>
      <c r="G238" s="77">
        <v>0</v>
      </c>
      <c r="H238" s="77">
        <v>12</v>
      </c>
      <c r="I238" s="77">
        <v>54</v>
      </c>
      <c r="J238" s="77">
        <v>0</v>
      </c>
    </row>
    <row r="239" spans="1:10" x14ac:dyDescent="0.25">
      <c r="A239" s="36" t="s">
        <v>57</v>
      </c>
      <c r="B239" s="36" t="s">
        <v>167</v>
      </c>
      <c r="C239" s="6">
        <f t="shared" si="3"/>
        <v>10</v>
      </c>
      <c r="D239" s="75">
        <v>2</v>
      </c>
      <c r="E239" s="75">
        <v>9</v>
      </c>
      <c r="F239" s="75">
        <v>0</v>
      </c>
      <c r="G239" s="75">
        <v>0</v>
      </c>
      <c r="H239" s="75">
        <v>8</v>
      </c>
      <c r="I239" s="75">
        <v>36</v>
      </c>
      <c r="J239" s="75">
        <v>1</v>
      </c>
    </row>
    <row r="240" spans="1:10" x14ac:dyDescent="0.25">
      <c r="A240" s="35" t="s">
        <v>57</v>
      </c>
      <c r="B240" s="35" t="s">
        <v>168</v>
      </c>
      <c r="C240" s="6">
        <f t="shared" si="3"/>
        <v>11</v>
      </c>
      <c r="D240" s="77">
        <v>3</v>
      </c>
      <c r="E240" s="77">
        <v>13</v>
      </c>
      <c r="F240" s="77">
        <v>0</v>
      </c>
      <c r="G240" s="77">
        <v>0</v>
      </c>
      <c r="H240" s="77">
        <v>1</v>
      </c>
      <c r="I240" s="77">
        <v>4</v>
      </c>
      <c r="J240" s="77">
        <v>1</v>
      </c>
    </row>
    <row r="241" spans="1:10" x14ac:dyDescent="0.25">
      <c r="A241" s="36" t="s">
        <v>57</v>
      </c>
      <c r="B241" s="36" t="s">
        <v>169</v>
      </c>
      <c r="C241" s="6">
        <f t="shared" si="3"/>
        <v>12</v>
      </c>
      <c r="D241" s="75">
        <v>0</v>
      </c>
      <c r="E241" s="75">
        <v>0</v>
      </c>
      <c r="F241" s="75">
        <v>0</v>
      </c>
      <c r="G241" s="75">
        <v>0</v>
      </c>
      <c r="H241" s="75">
        <v>0</v>
      </c>
      <c r="I241" s="75">
        <v>0</v>
      </c>
      <c r="J241" s="75">
        <v>0</v>
      </c>
    </row>
    <row r="242" spans="1:10" x14ac:dyDescent="0.25">
      <c r="A242" s="35" t="s">
        <v>94</v>
      </c>
      <c r="B242" s="35" t="s">
        <v>158</v>
      </c>
      <c r="C242" s="6">
        <f t="shared" si="3"/>
        <v>1</v>
      </c>
      <c r="D242" s="77">
        <v>0</v>
      </c>
      <c r="E242" s="77">
        <v>0</v>
      </c>
      <c r="F242" s="77">
        <v>0</v>
      </c>
      <c r="G242" s="77">
        <v>0</v>
      </c>
      <c r="H242" s="77">
        <v>5</v>
      </c>
      <c r="I242" s="77">
        <v>13</v>
      </c>
      <c r="J242" s="77">
        <v>0</v>
      </c>
    </row>
    <row r="243" spans="1:10" x14ac:dyDescent="0.25">
      <c r="A243" s="36" t="s">
        <v>94</v>
      </c>
      <c r="B243" s="36" t="s">
        <v>159</v>
      </c>
      <c r="C243" s="6">
        <f t="shared" si="3"/>
        <v>2</v>
      </c>
      <c r="D243" s="75">
        <v>11</v>
      </c>
      <c r="E243" s="75">
        <v>28</v>
      </c>
      <c r="F243" s="75">
        <v>0</v>
      </c>
      <c r="G243" s="75">
        <v>0</v>
      </c>
      <c r="H243" s="75">
        <v>0</v>
      </c>
      <c r="I243" s="75">
        <v>0</v>
      </c>
      <c r="J243" s="75">
        <v>3</v>
      </c>
    </row>
    <row r="244" spans="1:10" x14ac:dyDescent="0.25">
      <c r="A244" s="35" t="s">
        <v>94</v>
      </c>
      <c r="B244" s="35" t="s">
        <v>160</v>
      </c>
      <c r="C244" s="6">
        <f t="shared" si="3"/>
        <v>3</v>
      </c>
      <c r="D244" s="77">
        <v>7</v>
      </c>
      <c r="E244" s="77">
        <v>18</v>
      </c>
      <c r="F244" s="77">
        <v>0</v>
      </c>
      <c r="G244" s="77">
        <v>0</v>
      </c>
      <c r="H244" s="77">
        <v>0</v>
      </c>
      <c r="I244" s="77">
        <v>0</v>
      </c>
      <c r="J244" s="77">
        <v>2</v>
      </c>
    </row>
    <row r="245" spans="1:10" x14ac:dyDescent="0.25">
      <c r="A245" s="36" t="s">
        <v>94</v>
      </c>
      <c r="B245" s="36" t="s">
        <v>161</v>
      </c>
      <c r="C245" s="6">
        <f t="shared" si="3"/>
        <v>4</v>
      </c>
      <c r="D245" s="75">
        <v>3</v>
      </c>
      <c r="E245" s="75">
        <v>7</v>
      </c>
      <c r="F245" s="75">
        <v>0</v>
      </c>
      <c r="G245" s="75">
        <v>0</v>
      </c>
      <c r="H245" s="75">
        <v>0</v>
      </c>
      <c r="I245" s="75">
        <v>0</v>
      </c>
      <c r="J245" s="75">
        <v>1</v>
      </c>
    </row>
    <row r="246" spans="1:10" x14ac:dyDescent="0.25">
      <c r="A246" s="35" t="s">
        <v>94</v>
      </c>
      <c r="B246" s="35" t="s">
        <v>162</v>
      </c>
      <c r="C246" s="6">
        <f t="shared" si="3"/>
        <v>5</v>
      </c>
      <c r="D246" s="77">
        <v>7</v>
      </c>
      <c r="E246" s="77">
        <v>18</v>
      </c>
      <c r="F246" s="77">
        <v>0</v>
      </c>
      <c r="G246" s="77">
        <v>0</v>
      </c>
      <c r="H246" s="77">
        <v>0</v>
      </c>
      <c r="I246" s="77">
        <v>0</v>
      </c>
      <c r="J246" s="77">
        <v>2</v>
      </c>
    </row>
    <row r="247" spans="1:10" x14ac:dyDescent="0.25">
      <c r="A247" s="36" t="s">
        <v>94</v>
      </c>
      <c r="B247" s="36" t="s">
        <v>163</v>
      </c>
      <c r="C247" s="6">
        <f t="shared" si="3"/>
        <v>6</v>
      </c>
      <c r="D247" s="75">
        <v>13</v>
      </c>
      <c r="E247" s="75">
        <v>34</v>
      </c>
      <c r="F247" s="75">
        <v>1</v>
      </c>
      <c r="G247" s="75">
        <v>0</v>
      </c>
      <c r="H247" s="75">
        <v>21</v>
      </c>
      <c r="I247" s="75">
        <v>55</v>
      </c>
      <c r="J247" s="75">
        <v>4</v>
      </c>
    </row>
    <row r="248" spans="1:10" x14ac:dyDescent="0.25">
      <c r="A248" s="35" t="s">
        <v>94</v>
      </c>
      <c r="B248" s="35" t="s">
        <v>164</v>
      </c>
      <c r="C248" s="6">
        <f t="shared" si="3"/>
        <v>7</v>
      </c>
      <c r="D248" s="77">
        <v>0</v>
      </c>
      <c r="E248" s="77">
        <v>0</v>
      </c>
      <c r="F248" s="77">
        <v>0</v>
      </c>
      <c r="G248" s="77">
        <v>0</v>
      </c>
      <c r="H248" s="77">
        <v>2</v>
      </c>
      <c r="I248" s="77">
        <v>5</v>
      </c>
      <c r="J248" s="77">
        <v>0</v>
      </c>
    </row>
    <row r="249" spans="1:10" x14ac:dyDescent="0.25">
      <c r="A249" s="36" t="s">
        <v>94</v>
      </c>
      <c r="B249" s="36" t="s">
        <v>165</v>
      </c>
      <c r="C249" s="6">
        <f t="shared" si="3"/>
        <v>8</v>
      </c>
      <c r="D249" s="75">
        <v>3</v>
      </c>
      <c r="E249" s="75">
        <v>7</v>
      </c>
      <c r="F249" s="75">
        <v>0</v>
      </c>
      <c r="G249" s="75">
        <v>0</v>
      </c>
      <c r="H249" s="75">
        <v>0</v>
      </c>
      <c r="I249" s="75">
        <v>0</v>
      </c>
      <c r="J249" s="75">
        <v>1</v>
      </c>
    </row>
    <row r="250" spans="1:10" x14ac:dyDescent="0.25">
      <c r="A250" s="35" t="s">
        <v>94</v>
      </c>
      <c r="B250" s="35" t="s">
        <v>166</v>
      </c>
      <c r="C250" s="6">
        <f t="shared" si="3"/>
        <v>9</v>
      </c>
      <c r="D250" s="77">
        <v>11</v>
      </c>
      <c r="E250" s="77">
        <v>28</v>
      </c>
      <c r="F250" s="77">
        <v>1</v>
      </c>
      <c r="G250" s="77">
        <v>1</v>
      </c>
      <c r="H250" s="77">
        <v>27</v>
      </c>
      <c r="I250" s="77">
        <v>71</v>
      </c>
      <c r="J250" s="77">
        <v>4</v>
      </c>
    </row>
    <row r="251" spans="1:10" x14ac:dyDescent="0.25">
      <c r="A251" s="36" t="s">
        <v>94</v>
      </c>
      <c r="B251" s="36" t="s">
        <v>167</v>
      </c>
      <c r="C251" s="6">
        <f t="shared" si="3"/>
        <v>10</v>
      </c>
      <c r="D251" s="75">
        <v>7</v>
      </c>
      <c r="E251" s="75">
        <v>18</v>
      </c>
      <c r="F251" s="75">
        <v>2</v>
      </c>
      <c r="G251" s="75">
        <v>0</v>
      </c>
      <c r="H251" s="75">
        <v>6</v>
      </c>
      <c r="I251" s="75">
        <v>15</v>
      </c>
      <c r="J251" s="75">
        <v>2</v>
      </c>
    </row>
    <row r="252" spans="1:10" x14ac:dyDescent="0.25">
      <c r="A252" s="35" t="s">
        <v>94</v>
      </c>
      <c r="B252" s="35" t="s">
        <v>168</v>
      </c>
      <c r="C252" s="6">
        <f t="shared" si="3"/>
        <v>11</v>
      </c>
      <c r="D252" s="77">
        <v>6</v>
      </c>
      <c r="E252" s="77">
        <v>15</v>
      </c>
      <c r="F252" s="77">
        <v>2</v>
      </c>
      <c r="G252" s="77">
        <v>0</v>
      </c>
      <c r="H252" s="77">
        <v>0</v>
      </c>
      <c r="I252" s="77">
        <v>0</v>
      </c>
      <c r="J252" s="77">
        <v>2</v>
      </c>
    </row>
    <row r="253" spans="1:10" x14ac:dyDescent="0.25">
      <c r="A253" s="36" t="s">
        <v>94</v>
      </c>
      <c r="B253" s="36" t="s">
        <v>169</v>
      </c>
      <c r="C253" s="6">
        <f t="shared" si="3"/>
        <v>12</v>
      </c>
      <c r="D253" s="75">
        <v>9</v>
      </c>
      <c r="E253" s="75">
        <v>23</v>
      </c>
      <c r="F253" s="75">
        <v>0</v>
      </c>
      <c r="G253" s="75">
        <v>0</v>
      </c>
      <c r="H253" s="75">
        <v>0</v>
      </c>
      <c r="I253" s="75">
        <v>0</v>
      </c>
      <c r="J253" s="75">
        <v>3</v>
      </c>
    </row>
    <row r="254" spans="1:10" x14ac:dyDescent="0.25">
      <c r="A254" s="35" t="s">
        <v>55</v>
      </c>
      <c r="B254" s="35" t="s">
        <v>158</v>
      </c>
      <c r="C254" s="6">
        <f t="shared" si="3"/>
        <v>1</v>
      </c>
      <c r="D254" s="77">
        <v>7</v>
      </c>
      <c r="E254" s="77">
        <v>20</v>
      </c>
      <c r="F254" s="77">
        <v>0</v>
      </c>
      <c r="G254" s="77">
        <v>0</v>
      </c>
      <c r="H254" s="77">
        <v>2</v>
      </c>
      <c r="I254" s="77">
        <v>5</v>
      </c>
      <c r="J254" s="77">
        <v>28</v>
      </c>
    </row>
    <row r="255" spans="1:10" x14ac:dyDescent="0.25">
      <c r="A255" s="36" t="s">
        <v>55</v>
      </c>
      <c r="B255" s="36" t="s">
        <v>159</v>
      </c>
      <c r="C255" s="6">
        <f t="shared" si="3"/>
        <v>2</v>
      </c>
      <c r="D255" s="75">
        <v>5</v>
      </c>
      <c r="E255" s="75">
        <v>14</v>
      </c>
      <c r="F255" s="75">
        <v>0</v>
      </c>
      <c r="G255" s="75">
        <v>0</v>
      </c>
      <c r="H255" s="75">
        <v>0</v>
      </c>
      <c r="I255" s="75">
        <v>0</v>
      </c>
      <c r="J255" s="75">
        <v>25</v>
      </c>
    </row>
    <row r="256" spans="1:10" x14ac:dyDescent="0.25">
      <c r="A256" s="35" t="s">
        <v>55</v>
      </c>
      <c r="B256" s="35" t="s">
        <v>160</v>
      </c>
      <c r="C256" s="6">
        <f t="shared" si="3"/>
        <v>3</v>
      </c>
      <c r="D256" s="77">
        <v>6</v>
      </c>
      <c r="E256" s="77">
        <v>17</v>
      </c>
      <c r="F256" s="77">
        <v>0</v>
      </c>
      <c r="G256" s="77">
        <v>0</v>
      </c>
      <c r="H256" s="77">
        <v>8</v>
      </c>
      <c r="I256" s="77">
        <v>23</v>
      </c>
      <c r="J256" s="77">
        <v>35</v>
      </c>
    </row>
    <row r="257" spans="1:10" x14ac:dyDescent="0.25">
      <c r="A257" s="36" t="s">
        <v>55</v>
      </c>
      <c r="B257" s="36" t="s">
        <v>161</v>
      </c>
      <c r="C257" s="6">
        <f t="shared" si="3"/>
        <v>4</v>
      </c>
      <c r="D257" s="75">
        <v>5</v>
      </c>
      <c r="E257" s="75">
        <v>14</v>
      </c>
      <c r="F257" s="75">
        <v>0</v>
      </c>
      <c r="G257" s="75">
        <v>0</v>
      </c>
      <c r="H257" s="75">
        <v>0</v>
      </c>
      <c r="I257" s="75">
        <v>0</v>
      </c>
      <c r="J257" s="75">
        <v>5</v>
      </c>
    </row>
    <row r="258" spans="1:10" x14ac:dyDescent="0.25">
      <c r="A258" s="35" t="s">
        <v>55</v>
      </c>
      <c r="B258" s="35" t="s">
        <v>162</v>
      </c>
      <c r="C258" s="6">
        <f t="shared" ref="C258:C321" si="4">_xlfn.IFS(B258="Janeiro",1,B258="Fevereiro",2,B258="Março",3,B258="Abril",4,B258="Maio",5,B258="Junho",6,B258="Julho",7,B258="Agosto",8,B258="Setembro",9,B258="Outubro",10,B258="Novembro",11,B258="Dezembro",12,TRUE,0)</f>
        <v>5</v>
      </c>
      <c r="D258" s="77">
        <v>2</v>
      </c>
      <c r="E258" s="77">
        <v>5</v>
      </c>
      <c r="F258" s="77">
        <v>0</v>
      </c>
      <c r="G258" s="77">
        <v>0</v>
      </c>
      <c r="H258" s="77">
        <v>0</v>
      </c>
      <c r="I258" s="77">
        <v>0</v>
      </c>
      <c r="J258" s="77">
        <v>2</v>
      </c>
    </row>
    <row r="259" spans="1:10" x14ac:dyDescent="0.25">
      <c r="A259" s="36" t="s">
        <v>55</v>
      </c>
      <c r="B259" s="36" t="s">
        <v>163</v>
      </c>
      <c r="C259" s="6">
        <f t="shared" si="4"/>
        <v>6</v>
      </c>
      <c r="D259" s="75">
        <v>2</v>
      </c>
      <c r="E259" s="75">
        <v>5</v>
      </c>
      <c r="F259" s="75">
        <v>0</v>
      </c>
      <c r="G259" s="75">
        <v>0</v>
      </c>
      <c r="H259" s="75">
        <v>8</v>
      </c>
      <c r="I259" s="75">
        <v>23</v>
      </c>
      <c r="J259" s="75">
        <v>1</v>
      </c>
    </row>
    <row r="260" spans="1:10" x14ac:dyDescent="0.25">
      <c r="A260" s="35" t="s">
        <v>55</v>
      </c>
      <c r="B260" s="35" t="s">
        <v>164</v>
      </c>
      <c r="C260" s="6">
        <f t="shared" si="4"/>
        <v>7</v>
      </c>
      <c r="D260" s="77">
        <v>11</v>
      </c>
      <c r="E260" s="77">
        <v>32</v>
      </c>
      <c r="F260" s="77">
        <v>1</v>
      </c>
      <c r="G260" s="77">
        <v>1</v>
      </c>
      <c r="H260" s="77">
        <v>0</v>
      </c>
      <c r="I260" s="77">
        <v>0</v>
      </c>
      <c r="J260" s="77">
        <v>6</v>
      </c>
    </row>
    <row r="261" spans="1:10" x14ac:dyDescent="0.25">
      <c r="A261" s="36" t="s">
        <v>55</v>
      </c>
      <c r="B261" s="36" t="s">
        <v>165</v>
      </c>
      <c r="C261" s="6">
        <f t="shared" si="4"/>
        <v>8</v>
      </c>
      <c r="D261" s="75">
        <v>4</v>
      </c>
      <c r="E261" s="75">
        <v>11</v>
      </c>
      <c r="F261" s="75">
        <v>0</v>
      </c>
      <c r="G261" s="75">
        <v>0</v>
      </c>
      <c r="H261" s="75">
        <v>0</v>
      </c>
      <c r="I261" s="75">
        <v>0</v>
      </c>
      <c r="J261" s="75">
        <v>1</v>
      </c>
    </row>
    <row r="262" spans="1:10" x14ac:dyDescent="0.25">
      <c r="A262" s="35" t="s">
        <v>55</v>
      </c>
      <c r="B262" s="35" t="s">
        <v>166</v>
      </c>
      <c r="C262" s="6">
        <f t="shared" si="4"/>
        <v>9</v>
      </c>
      <c r="D262" s="77">
        <v>3</v>
      </c>
      <c r="E262" s="77">
        <v>8</v>
      </c>
      <c r="F262" s="77">
        <v>1</v>
      </c>
      <c r="G262" s="77">
        <v>0</v>
      </c>
      <c r="H262" s="77">
        <v>13</v>
      </c>
      <c r="I262" s="77">
        <v>38</v>
      </c>
      <c r="J262" s="77">
        <v>6</v>
      </c>
    </row>
    <row r="263" spans="1:10" x14ac:dyDescent="0.25">
      <c r="A263" s="36" t="s">
        <v>55</v>
      </c>
      <c r="B263" s="36" t="s">
        <v>167</v>
      </c>
      <c r="C263" s="6">
        <f t="shared" si="4"/>
        <v>10</v>
      </c>
      <c r="D263" s="75">
        <v>3</v>
      </c>
      <c r="E263" s="75">
        <v>8</v>
      </c>
      <c r="F263" s="75">
        <v>0</v>
      </c>
      <c r="G263" s="75">
        <v>0</v>
      </c>
      <c r="H263" s="75">
        <v>12</v>
      </c>
      <c r="I263" s="75">
        <v>35</v>
      </c>
      <c r="J263" s="75">
        <v>1</v>
      </c>
    </row>
    <row r="264" spans="1:10" x14ac:dyDescent="0.25">
      <c r="A264" s="35" t="s">
        <v>55</v>
      </c>
      <c r="B264" s="35" t="s">
        <v>168</v>
      </c>
      <c r="C264" s="6">
        <f t="shared" si="4"/>
        <v>11</v>
      </c>
      <c r="D264" s="77">
        <v>12</v>
      </c>
      <c r="E264" s="77">
        <v>35</v>
      </c>
      <c r="F264" s="77">
        <v>1</v>
      </c>
      <c r="G264" s="77">
        <v>1</v>
      </c>
      <c r="H264" s="77">
        <v>1</v>
      </c>
      <c r="I264" s="77">
        <v>2</v>
      </c>
      <c r="J264" s="77">
        <v>4</v>
      </c>
    </row>
    <row r="265" spans="1:10" x14ac:dyDescent="0.25">
      <c r="A265" s="36" t="s">
        <v>55</v>
      </c>
      <c r="B265" s="36" t="s">
        <v>169</v>
      </c>
      <c r="C265" s="6">
        <f t="shared" si="4"/>
        <v>12</v>
      </c>
      <c r="D265" s="75">
        <v>4</v>
      </c>
      <c r="E265" s="75">
        <v>11</v>
      </c>
      <c r="F265" s="75">
        <v>0</v>
      </c>
      <c r="G265" s="75">
        <v>0</v>
      </c>
      <c r="H265" s="75">
        <v>0</v>
      </c>
      <c r="I265" s="75">
        <v>0</v>
      </c>
      <c r="J265" s="75">
        <v>1</v>
      </c>
    </row>
    <row r="266" spans="1:10" x14ac:dyDescent="0.25">
      <c r="A266" s="35" t="s">
        <v>154</v>
      </c>
      <c r="B266" s="35" t="s">
        <v>158</v>
      </c>
      <c r="C266" s="6">
        <f t="shared" si="4"/>
        <v>1</v>
      </c>
      <c r="D266" s="77">
        <v>0</v>
      </c>
      <c r="E266" s="77">
        <v>0</v>
      </c>
      <c r="F266" s="77">
        <v>0</v>
      </c>
      <c r="G266" s="77">
        <v>0</v>
      </c>
      <c r="H266" s="77">
        <v>0</v>
      </c>
      <c r="I266" s="77">
        <v>0</v>
      </c>
      <c r="J266" s="77">
        <v>0</v>
      </c>
    </row>
    <row r="267" spans="1:10" x14ac:dyDescent="0.25">
      <c r="A267" s="36" t="s">
        <v>154</v>
      </c>
      <c r="B267" s="36" t="s">
        <v>159</v>
      </c>
      <c r="C267" s="6">
        <f t="shared" si="4"/>
        <v>2</v>
      </c>
      <c r="D267" s="75">
        <v>0</v>
      </c>
      <c r="E267" s="75">
        <v>0</v>
      </c>
      <c r="F267" s="75">
        <v>0</v>
      </c>
      <c r="G267" s="75">
        <v>0</v>
      </c>
      <c r="H267" s="75">
        <v>0</v>
      </c>
      <c r="I267" s="75">
        <v>0</v>
      </c>
      <c r="J267" s="75">
        <v>0</v>
      </c>
    </row>
    <row r="268" spans="1:10" x14ac:dyDescent="0.25">
      <c r="A268" s="35" t="s">
        <v>154</v>
      </c>
      <c r="B268" s="35" t="s">
        <v>160</v>
      </c>
      <c r="C268" s="6">
        <f t="shared" si="4"/>
        <v>3</v>
      </c>
      <c r="D268" s="77">
        <v>0</v>
      </c>
      <c r="E268" s="77">
        <v>0</v>
      </c>
      <c r="F268" s="77">
        <v>0</v>
      </c>
      <c r="G268" s="77">
        <v>0</v>
      </c>
      <c r="H268" s="77">
        <v>0</v>
      </c>
      <c r="I268" s="77">
        <v>0</v>
      </c>
      <c r="J268" s="77">
        <v>0</v>
      </c>
    </row>
    <row r="269" spans="1:10" x14ac:dyDescent="0.25">
      <c r="A269" s="36" t="s">
        <v>154</v>
      </c>
      <c r="B269" s="36" t="s">
        <v>161</v>
      </c>
      <c r="C269" s="6">
        <f t="shared" si="4"/>
        <v>4</v>
      </c>
      <c r="D269" s="75">
        <v>0</v>
      </c>
      <c r="E269" s="75">
        <v>0</v>
      </c>
      <c r="F269" s="75">
        <v>0</v>
      </c>
      <c r="G269" s="75">
        <v>0</v>
      </c>
      <c r="H269" s="75">
        <v>0</v>
      </c>
      <c r="I269" s="75">
        <v>0</v>
      </c>
      <c r="J269" s="75">
        <v>0</v>
      </c>
    </row>
    <row r="270" spans="1:10" x14ac:dyDescent="0.25">
      <c r="A270" s="35" t="s">
        <v>154</v>
      </c>
      <c r="B270" s="35" t="s">
        <v>162</v>
      </c>
      <c r="C270" s="6">
        <f t="shared" si="4"/>
        <v>5</v>
      </c>
      <c r="D270" s="77">
        <v>0</v>
      </c>
      <c r="E270" s="77">
        <v>0</v>
      </c>
      <c r="F270" s="77">
        <v>0</v>
      </c>
      <c r="G270" s="77">
        <v>0</v>
      </c>
      <c r="H270" s="77">
        <v>0</v>
      </c>
      <c r="I270" s="77">
        <v>0</v>
      </c>
      <c r="J270" s="77">
        <v>0</v>
      </c>
    </row>
    <row r="271" spans="1:10" x14ac:dyDescent="0.25">
      <c r="A271" s="36" t="s">
        <v>154</v>
      </c>
      <c r="B271" s="36" t="s">
        <v>163</v>
      </c>
      <c r="C271" s="6">
        <f t="shared" si="4"/>
        <v>6</v>
      </c>
      <c r="D271" s="75">
        <v>0</v>
      </c>
      <c r="E271" s="75">
        <v>0</v>
      </c>
      <c r="F271" s="75">
        <v>0</v>
      </c>
      <c r="G271" s="75">
        <v>0</v>
      </c>
      <c r="H271" s="75">
        <v>0</v>
      </c>
      <c r="I271" s="75">
        <v>0</v>
      </c>
      <c r="J271" s="75">
        <v>0</v>
      </c>
    </row>
    <row r="272" spans="1:10" x14ac:dyDescent="0.25">
      <c r="A272" s="35" t="s">
        <v>154</v>
      </c>
      <c r="B272" s="35" t="s">
        <v>164</v>
      </c>
      <c r="C272" s="6">
        <f t="shared" si="4"/>
        <v>7</v>
      </c>
      <c r="D272" s="77">
        <v>0</v>
      </c>
      <c r="E272" s="77">
        <v>0</v>
      </c>
      <c r="F272" s="77">
        <v>0</v>
      </c>
      <c r="G272" s="77">
        <v>0</v>
      </c>
      <c r="H272" s="77">
        <v>0</v>
      </c>
      <c r="I272" s="77">
        <v>0</v>
      </c>
      <c r="J272" s="77">
        <v>0</v>
      </c>
    </row>
    <row r="273" spans="1:10" x14ac:dyDescent="0.25">
      <c r="A273" s="36" t="s">
        <v>154</v>
      </c>
      <c r="B273" s="36" t="s">
        <v>165</v>
      </c>
      <c r="C273" s="6">
        <f t="shared" si="4"/>
        <v>8</v>
      </c>
      <c r="D273" s="75">
        <v>0</v>
      </c>
      <c r="E273" s="75">
        <v>0</v>
      </c>
      <c r="F273" s="75">
        <v>0</v>
      </c>
      <c r="G273" s="75">
        <v>0</v>
      </c>
      <c r="H273" s="75">
        <v>0</v>
      </c>
      <c r="I273" s="75">
        <v>0</v>
      </c>
      <c r="J273" s="75">
        <v>0</v>
      </c>
    </row>
    <row r="274" spans="1:10" x14ac:dyDescent="0.25">
      <c r="A274" s="35" t="s">
        <v>154</v>
      </c>
      <c r="B274" s="35" t="s">
        <v>166</v>
      </c>
      <c r="C274" s="6">
        <f t="shared" si="4"/>
        <v>9</v>
      </c>
      <c r="D274" s="77">
        <v>0</v>
      </c>
      <c r="E274" s="77">
        <v>0</v>
      </c>
      <c r="F274" s="77">
        <v>0</v>
      </c>
      <c r="G274" s="77">
        <v>0</v>
      </c>
      <c r="H274" s="77">
        <v>0</v>
      </c>
      <c r="I274" s="77">
        <v>0</v>
      </c>
      <c r="J274" s="77">
        <v>0</v>
      </c>
    </row>
    <row r="275" spans="1:10" x14ac:dyDescent="0.25">
      <c r="A275" s="36" t="s">
        <v>154</v>
      </c>
      <c r="B275" s="36" t="s">
        <v>167</v>
      </c>
      <c r="C275" s="6">
        <f t="shared" si="4"/>
        <v>10</v>
      </c>
      <c r="D275" s="75">
        <v>0</v>
      </c>
      <c r="E275" s="75">
        <v>0</v>
      </c>
      <c r="F275" s="75">
        <v>0</v>
      </c>
      <c r="G275" s="75">
        <v>0</v>
      </c>
      <c r="H275" s="75">
        <v>0</v>
      </c>
      <c r="I275" s="75">
        <v>0</v>
      </c>
      <c r="J275" s="75">
        <v>0</v>
      </c>
    </row>
    <row r="276" spans="1:10" x14ac:dyDescent="0.25">
      <c r="A276" s="35" t="s">
        <v>154</v>
      </c>
      <c r="B276" s="35" t="s">
        <v>168</v>
      </c>
      <c r="C276" s="6">
        <f t="shared" si="4"/>
        <v>11</v>
      </c>
      <c r="D276" s="77">
        <v>0</v>
      </c>
      <c r="E276" s="77">
        <v>0</v>
      </c>
      <c r="F276" s="77">
        <v>0</v>
      </c>
      <c r="G276" s="77">
        <v>0</v>
      </c>
      <c r="H276" s="77">
        <v>0</v>
      </c>
      <c r="I276" s="77">
        <v>0</v>
      </c>
      <c r="J276" s="77">
        <v>0</v>
      </c>
    </row>
    <row r="277" spans="1:10" x14ac:dyDescent="0.25">
      <c r="A277" s="36" t="s">
        <v>154</v>
      </c>
      <c r="B277" s="36" t="s">
        <v>169</v>
      </c>
      <c r="C277" s="6">
        <f t="shared" si="4"/>
        <v>12</v>
      </c>
      <c r="D277" s="75">
        <v>0</v>
      </c>
      <c r="E277" s="75">
        <v>0</v>
      </c>
      <c r="F277" s="75">
        <v>0</v>
      </c>
      <c r="G277" s="75">
        <v>0</v>
      </c>
      <c r="H277" s="75">
        <v>0</v>
      </c>
      <c r="I277" s="75">
        <v>0</v>
      </c>
      <c r="J277" s="75">
        <v>0</v>
      </c>
    </row>
    <row r="278" spans="1:10" x14ac:dyDescent="0.25">
      <c r="A278" s="35" t="s">
        <v>72</v>
      </c>
      <c r="B278" s="35" t="s">
        <v>158</v>
      </c>
      <c r="C278" s="6">
        <f t="shared" si="4"/>
        <v>1</v>
      </c>
      <c r="D278" s="77">
        <v>0</v>
      </c>
      <c r="E278" s="77">
        <v>0</v>
      </c>
      <c r="F278" s="77">
        <v>0</v>
      </c>
      <c r="G278" s="77">
        <v>0</v>
      </c>
      <c r="H278" s="77">
        <v>0</v>
      </c>
      <c r="I278" s="77">
        <v>0</v>
      </c>
      <c r="J278" s="77">
        <v>0</v>
      </c>
    </row>
    <row r="279" spans="1:10" x14ac:dyDescent="0.25">
      <c r="A279" s="36" t="s">
        <v>72</v>
      </c>
      <c r="B279" s="36" t="s">
        <v>159</v>
      </c>
      <c r="C279" s="6">
        <f t="shared" si="4"/>
        <v>2</v>
      </c>
      <c r="D279" s="75">
        <v>0</v>
      </c>
      <c r="E279" s="75">
        <v>0</v>
      </c>
      <c r="F279" s="75">
        <v>0</v>
      </c>
      <c r="G279" s="75">
        <v>0</v>
      </c>
      <c r="H279" s="75">
        <v>0</v>
      </c>
      <c r="I279" s="75">
        <v>0</v>
      </c>
      <c r="J279" s="75">
        <v>0</v>
      </c>
    </row>
    <row r="280" spans="1:10" x14ac:dyDescent="0.25">
      <c r="A280" s="35" t="s">
        <v>72</v>
      </c>
      <c r="B280" s="35" t="s">
        <v>160</v>
      </c>
      <c r="C280" s="6">
        <f t="shared" si="4"/>
        <v>3</v>
      </c>
      <c r="D280" s="77">
        <v>0</v>
      </c>
      <c r="E280" s="77">
        <v>0</v>
      </c>
      <c r="F280" s="77">
        <v>0</v>
      </c>
      <c r="G280" s="77">
        <v>0</v>
      </c>
      <c r="H280" s="77">
        <v>0</v>
      </c>
      <c r="I280" s="77">
        <v>0</v>
      </c>
      <c r="J280" s="77">
        <v>0</v>
      </c>
    </row>
    <row r="281" spans="1:10" x14ac:dyDescent="0.25">
      <c r="A281" s="36" t="s">
        <v>72</v>
      </c>
      <c r="B281" s="36" t="s">
        <v>161</v>
      </c>
      <c r="C281" s="6">
        <f t="shared" si="4"/>
        <v>4</v>
      </c>
      <c r="D281" s="75">
        <v>3</v>
      </c>
      <c r="E281" s="75">
        <v>15</v>
      </c>
      <c r="F281" s="75">
        <v>0</v>
      </c>
      <c r="G281" s="75">
        <v>0</v>
      </c>
      <c r="H281" s="75">
        <v>0</v>
      </c>
      <c r="I281" s="75">
        <v>0</v>
      </c>
      <c r="J281" s="75">
        <v>1</v>
      </c>
    </row>
    <row r="282" spans="1:10" x14ac:dyDescent="0.25">
      <c r="A282" s="35" t="s">
        <v>72</v>
      </c>
      <c r="B282" s="35" t="s">
        <v>162</v>
      </c>
      <c r="C282" s="6">
        <f t="shared" si="4"/>
        <v>5</v>
      </c>
      <c r="D282" s="77">
        <v>0</v>
      </c>
      <c r="E282" s="77">
        <v>0</v>
      </c>
      <c r="F282" s="77">
        <v>0</v>
      </c>
      <c r="G282" s="77">
        <v>0</v>
      </c>
      <c r="H282" s="77">
        <v>0</v>
      </c>
      <c r="I282" s="77">
        <v>0</v>
      </c>
      <c r="J282" s="77">
        <v>0</v>
      </c>
    </row>
    <row r="283" spans="1:10" x14ac:dyDescent="0.25">
      <c r="A283" s="36" t="s">
        <v>72</v>
      </c>
      <c r="B283" s="36" t="s">
        <v>163</v>
      </c>
      <c r="C283" s="6">
        <f t="shared" si="4"/>
        <v>6</v>
      </c>
      <c r="D283" s="75">
        <v>0</v>
      </c>
      <c r="E283" s="75">
        <v>0</v>
      </c>
      <c r="F283" s="75">
        <v>0</v>
      </c>
      <c r="G283" s="75">
        <v>0</v>
      </c>
      <c r="H283" s="75">
        <v>1</v>
      </c>
      <c r="I283" s="75">
        <v>5</v>
      </c>
      <c r="J283" s="75">
        <v>0</v>
      </c>
    </row>
    <row r="284" spans="1:10" x14ac:dyDescent="0.25">
      <c r="A284" s="35" t="s">
        <v>72</v>
      </c>
      <c r="B284" s="35" t="s">
        <v>164</v>
      </c>
      <c r="C284" s="6">
        <f t="shared" si="4"/>
        <v>7</v>
      </c>
      <c r="D284" s="77">
        <v>0</v>
      </c>
      <c r="E284" s="77">
        <v>0</v>
      </c>
      <c r="F284" s="77">
        <v>0</v>
      </c>
      <c r="G284" s="77">
        <v>0</v>
      </c>
      <c r="H284" s="77">
        <v>0</v>
      </c>
      <c r="I284" s="77">
        <v>0</v>
      </c>
      <c r="J284" s="77">
        <v>0</v>
      </c>
    </row>
    <row r="285" spans="1:10" x14ac:dyDescent="0.25">
      <c r="A285" s="36" t="s">
        <v>72</v>
      </c>
      <c r="B285" s="36" t="s">
        <v>165</v>
      </c>
      <c r="C285" s="6">
        <f t="shared" si="4"/>
        <v>8</v>
      </c>
      <c r="D285" s="75">
        <v>4</v>
      </c>
      <c r="E285" s="75">
        <v>21</v>
      </c>
      <c r="F285" s="75">
        <v>1</v>
      </c>
      <c r="G285" s="75">
        <v>2</v>
      </c>
      <c r="H285" s="75">
        <v>0</v>
      </c>
      <c r="I285" s="75">
        <v>0</v>
      </c>
      <c r="J285" s="75">
        <v>1</v>
      </c>
    </row>
    <row r="286" spans="1:10" x14ac:dyDescent="0.25">
      <c r="A286" s="35" t="s">
        <v>72</v>
      </c>
      <c r="B286" s="35" t="s">
        <v>166</v>
      </c>
      <c r="C286" s="6">
        <f t="shared" si="4"/>
        <v>9</v>
      </c>
      <c r="D286" s="77">
        <v>0</v>
      </c>
      <c r="E286" s="77">
        <v>0</v>
      </c>
      <c r="F286" s="77">
        <v>0</v>
      </c>
      <c r="G286" s="77">
        <v>0</v>
      </c>
      <c r="H286" s="77">
        <v>8</v>
      </c>
      <c r="I286" s="77">
        <v>42</v>
      </c>
      <c r="J286" s="77">
        <v>0</v>
      </c>
    </row>
    <row r="287" spans="1:10" x14ac:dyDescent="0.25">
      <c r="A287" s="36" t="s">
        <v>72</v>
      </c>
      <c r="B287" s="36" t="s">
        <v>167</v>
      </c>
      <c r="C287" s="6">
        <f t="shared" si="4"/>
        <v>10</v>
      </c>
      <c r="D287" s="75">
        <v>0</v>
      </c>
      <c r="E287" s="75">
        <v>0</v>
      </c>
      <c r="F287" s="75">
        <v>0</v>
      </c>
      <c r="G287" s="75">
        <v>0</v>
      </c>
      <c r="H287" s="75">
        <v>0</v>
      </c>
      <c r="I287" s="75">
        <v>0</v>
      </c>
      <c r="J287" s="75">
        <v>0</v>
      </c>
    </row>
    <row r="288" spans="1:10" x14ac:dyDescent="0.25">
      <c r="A288" s="35" t="s">
        <v>72</v>
      </c>
      <c r="B288" s="35" t="s">
        <v>168</v>
      </c>
      <c r="C288" s="6">
        <f t="shared" si="4"/>
        <v>11</v>
      </c>
      <c r="D288" s="77">
        <v>0</v>
      </c>
      <c r="E288" s="77">
        <v>0</v>
      </c>
      <c r="F288" s="77">
        <v>0</v>
      </c>
      <c r="G288" s="77">
        <v>0</v>
      </c>
      <c r="H288" s="77">
        <v>3</v>
      </c>
      <c r="I288" s="77">
        <v>15</v>
      </c>
      <c r="J288" s="77">
        <v>0</v>
      </c>
    </row>
    <row r="289" spans="1:10" x14ac:dyDescent="0.25">
      <c r="A289" s="36" t="s">
        <v>72</v>
      </c>
      <c r="B289" s="36" t="s">
        <v>169</v>
      </c>
      <c r="C289" s="6">
        <f t="shared" si="4"/>
        <v>12</v>
      </c>
      <c r="D289" s="75">
        <v>0</v>
      </c>
      <c r="E289" s="75">
        <v>0</v>
      </c>
      <c r="F289" s="75">
        <v>0</v>
      </c>
      <c r="G289" s="75">
        <v>0</v>
      </c>
      <c r="H289" s="75">
        <v>0</v>
      </c>
      <c r="I289" s="75">
        <v>0</v>
      </c>
      <c r="J289" s="75">
        <v>0</v>
      </c>
    </row>
    <row r="290" spans="1:10" x14ac:dyDescent="0.25">
      <c r="A290" s="35" t="s">
        <v>76</v>
      </c>
      <c r="B290" s="35" t="s">
        <v>158</v>
      </c>
      <c r="C290" s="6">
        <f t="shared" si="4"/>
        <v>1</v>
      </c>
      <c r="D290" s="77">
        <v>10</v>
      </c>
      <c r="E290" s="77">
        <v>27</v>
      </c>
      <c r="F290" s="77">
        <v>0</v>
      </c>
      <c r="G290" s="77">
        <v>0</v>
      </c>
      <c r="H290" s="77">
        <v>1</v>
      </c>
      <c r="I290" s="77">
        <v>2</v>
      </c>
      <c r="J290" s="77">
        <v>2</v>
      </c>
    </row>
    <row r="291" spans="1:10" x14ac:dyDescent="0.25">
      <c r="A291" s="36" t="s">
        <v>76</v>
      </c>
      <c r="B291" s="36" t="s">
        <v>159</v>
      </c>
      <c r="C291" s="6">
        <f t="shared" si="4"/>
        <v>2</v>
      </c>
      <c r="D291" s="75">
        <v>5</v>
      </c>
      <c r="E291" s="75">
        <v>13</v>
      </c>
      <c r="F291" s="75">
        <v>0</v>
      </c>
      <c r="G291" s="75">
        <v>0</v>
      </c>
      <c r="H291" s="75">
        <v>0</v>
      </c>
      <c r="I291" s="75">
        <v>0</v>
      </c>
      <c r="J291" s="75">
        <v>1</v>
      </c>
    </row>
    <row r="292" spans="1:10" x14ac:dyDescent="0.25">
      <c r="A292" s="35" t="s">
        <v>76</v>
      </c>
      <c r="B292" s="35" t="s">
        <v>160</v>
      </c>
      <c r="C292" s="6">
        <f t="shared" si="4"/>
        <v>3</v>
      </c>
      <c r="D292" s="77">
        <v>3</v>
      </c>
      <c r="E292" s="77">
        <v>8</v>
      </c>
      <c r="F292" s="77">
        <v>0</v>
      </c>
      <c r="G292" s="77">
        <v>0</v>
      </c>
      <c r="H292" s="77">
        <v>0</v>
      </c>
      <c r="I292" s="77">
        <v>0</v>
      </c>
      <c r="J292" s="77">
        <v>1</v>
      </c>
    </row>
    <row r="293" spans="1:10" x14ac:dyDescent="0.25">
      <c r="A293" s="36" t="s">
        <v>76</v>
      </c>
      <c r="B293" s="36" t="s">
        <v>161</v>
      </c>
      <c r="C293" s="6">
        <f t="shared" si="4"/>
        <v>4</v>
      </c>
      <c r="D293" s="75">
        <v>11</v>
      </c>
      <c r="E293" s="75">
        <v>30</v>
      </c>
      <c r="F293" s="75">
        <v>1</v>
      </c>
      <c r="G293" s="75">
        <v>0</v>
      </c>
      <c r="H293" s="75">
        <v>0</v>
      </c>
      <c r="I293" s="75">
        <v>0</v>
      </c>
      <c r="J293" s="75">
        <v>4</v>
      </c>
    </row>
    <row r="294" spans="1:10" x14ac:dyDescent="0.25">
      <c r="A294" s="35" t="s">
        <v>76</v>
      </c>
      <c r="B294" s="35" t="s">
        <v>162</v>
      </c>
      <c r="C294" s="6">
        <f t="shared" si="4"/>
        <v>5</v>
      </c>
      <c r="D294" s="77">
        <v>2</v>
      </c>
      <c r="E294" s="77">
        <v>5</v>
      </c>
      <c r="F294" s="77">
        <v>0</v>
      </c>
      <c r="G294" s="77">
        <v>0</v>
      </c>
      <c r="H294" s="77">
        <v>0</v>
      </c>
      <c r="I294" s="77">
        <v>0</v>
      </c>
      <c r="J294" s="77">
        <v>1</v>
      </c>
    </row>
    <row r="295" spans="1:10" x14ac:dyDescent="0.25">
      <c r="A295" s="36" t="s">
        <v>76</v>
      </c>
      <c r="B295" s="36" t="s">
        <v>163</v>
      </c>
      <c r="C295" s="6">
        <f t="shared" si="4"/>
        <v>6</v>
      </c>
      <c r="D295" s="75">
        <v>2</v>
      </c>
      <c r="E295" s="75">
        <v>5</v>
      </c>
      <c r="F295" s="75">
        <v>0</v>
      </c>
      <c r="G295" s="75">
        <v>0</v>
      </c>
      <c r="H295" s="75">
        <v>9</v>
      </c>
      <c r="I295" s="75">
        <v>25</v>
      </c>
      <c r="J295" s="75">
        <v>1</v>
      </c>
    </row>
    <row r="296" spans="1:10" x14ac:dyDescent="0.25">
      <c r="A296" s="35" t="s">
        <v>76</v>
      </c>
      <c r="B296" s="35" t="s">
        <v>164</v>
      </c>
      <c r="C296" s="6">
        <f t="shared" si="4"/>
        <v>7</v>
      </c>
      <c r="D296" s="77">
        <v>4</v>
      </c>
      <c r="E296" s="77">
        <v>11</v>
      </c>
      <c r="F296" s="77">
        <v>1</v>
      </c>
      <c r="G296" s="77">
        <v>1</v>
      </c>
      <c r="H296" s="77">
        <v>0</v>
      </c>
      <c r="I296" s="77">
        <v>0</v>
      </c>
      <c r="J296" s="77">
        <v>2</v>
      </c>
    </row>
    <row r="297" spans="1:10" x14ac:dyDescent="0.25">
      <c r="A297" s="36" t="s">
        <v>76</v>
      </c>
      <c r="B297" s="36" t="s">
        <v>165</v>
      </c>
      <c r="C297" s="6">
        <f t="shared" si="4"/>
        <v>8</v>
      </c>
      <c r="D297" s="75">
        <v>6</v>
      </c>
      <c r="E297" s="75">
        <v>16</v>
      </c>
      <c r="F297" s="75">
        <v>0</v>
      </c>
      <c r="G297" s="75">
        <v>0</v>
      </c>
      <c r="H297" s="75">
        <v>0</v>
      </c>
      <c r="I297" s="75">
        <v>0</v>
      </c>
      <c r="J297" s="75">
        <v>2</v>
      </c>
    </row>
    <row r="298" spans="1:10" x14ac:dyDescent="0.25">
      <c r="A298" s="35" t="s">
        <v>76</v>
      </c>
      <c r="B298" s="35" t="s">
        <v>166</v>
      </c>
      <c r="C298" s="6">
        <f t="shared" si="4"/>
        <v>9</v>
      </c>
      <c r="D298" s="77">
        <v>3</v>
      </c>
      <c r="E298" s="77">
        <v>8</v>
      </c>
      <c r="F298" s="77">
        <v>0</v>
      </c>
      <c r="G298" s="77">
        <v>0</v>
      </c>
      <c r="H298" s="77">
        <v>13</v>
      </c>
      <c r="I298" s="77">
        <v>36</v>
      </c>
      <c r="J298" s="77">
        <v>1</v>
      </c>
    </row>
    <row r="299" spans="1:10" x14ac:dyDescent="0.25">
      <c r="A299" s="36" t="s">
        <v>76</v>
      </c>
      <c r="B299" s="36" t="s">
        <v>167</v>
      </c>
      <c r="C299" s="6">
        <f t="shared" si="4"/>
        <v>10</v>
      </c>
      <c r="D299" s="75">
        <v>10</v>
      </c>
      <c r="E299" s="75">
        <v>27</v>
      </c>
      <c r="F299" s="75">
        <v>0</v>
      </c>
      <c r="G299" s="75">
        <v>0</v>
      </c>
      <c r="H299" s="75">
        <v>13</v>
      </c>
      <c r="I299" s="75">
        <v>36</v>
      </c>
      <c r="J299" s="75">
        <v>3</v>
      </c>
    </row>
    <row r="300" spans="1:10" x14ac:dyDescent="0.25">
      <c r="A300" s="35" t="s">
        <v>76</v>
      </c>
      <c r="B300" s="35" t="s">
        <v>168</v>
      </c>
      <c r="C300" s="6">
        <f t="shared" si="4"/>
        <v>11</v>
      </c>
      <c r="D300" s="77">
        <v>9</v>
      </c>
      <c r="E300" s="77">
        <v>25</v>
      </c>
      <c r="F300" s="77">
        <v>2</v>
      </c>
      <c r="G300" s="77">
        <v>1</v>
      </c>
      <c r="H300" s="77">
        <v>0</v>
      </c>
      <c r="I300" s="77">
        <v>0</v>
      </c>
      <c r="J300" s="77">
        <v>6</v>
      </c>
    </row>
    <row r="301" spans="1:10" x14ac:dyDescent="0.25">
      <c r="A301" s="36" t="s">
        <v>76</v>
      </c>
      <c r="B301" s="36" t="s">
        <v>169</v>
      </c>
      <c r="C301" s="6">
        <f t="shared" si="4"/>
        <v>12</v>
      </c>
      <c r="D301" s="75">
        <v>2</v>
      </c>
      <c r="E301" s="75">
        <v>5</v>
      </c>
      <c r="F301" s="75">
        <v>2</v>
      </c>
      <c r="G301" s="75">
        <v>4</v>
      </c>
      <c r="H301" s="75">
        <v>0</v>
      </c>
      <c r="I301" s="75">
        <v>0</v>
      </c>
      <c r="J301" s="75">
        <v>1</v>
      </c>
    </row>
    <row r="302" spans="1:10" x14ac:dyDescent="0.25">
      <c r="A302" s="35" t="s">
        <v>47</v>
      </c>
      <c r="B302" s="35" t="s">
        <v>158</v>
      </c>
      <c r="C302" s="6">
        <f t="shared" si="4"/>
        <v>1</v>
      </c>
      <c r="D302" s="77">
        <v>0</v>
      </c>
      <c r="E302" s="77">
        <v>0</v>
      </c>
      <c r="F302" s="77">
        <v>0</v>
      </c>
      <c r="G302" s="77">
        <v>0</v>
      </c>
      <c r="H302" s="77">
        <v>0</v>
      </c>
      <c r="I302" s="77">
        <v>0</v>
      </c>
      <c r="J302" s="77">
        <v>0</v>
      </c>
    </row>
    <row r="303" spans="1:10" x14ac:dyDescent="0.25">
      <c r="A303" s="36" t="s">
        <v>47</v>
      </c>
      <c r="B303" s="36" t="s">
        <v>159</v>
      </c>
      <c r="C303" s="6">
        <f t="shared" si="4"/>
        <v>2</v>
      </c>
      <c r="D303" s="75">
        <v>0</v>
      </c>
      <c r="E303" s="75">
        <v>0</v>
      </c>
      <c r="F303" s="75">
        <v>0</v>
      </c>
      <c r="G303" s="75">
        <v>0</v>
      </c>
      <c r="H303" s="75">
        <v>0</v>
      </c>
      <c r="I303" s="75">
        <v>0</v>
      </c>
      <c r="J303" s="75">
        <v>0</v>
      </c>
    </row>
    <row r="304" spans="1:10" x14ac:dyDescent="0.25">
      <c r="A304" s="35" t="s">
        <v>47</v>
      </c>
      <c r="B304" s="35" t="s">
        <v>160</v>
      </c>
      <c r="C304" s="6">
        <f t="shared" si="4"/>
        <v>3</v>
      </c>
      <c r="D304" s="77">
        <v>0</v>
      </c>
      <c r="E304" s="77">
        <v>0</v>
      </c>
      <c r="F304" s="77">
        <v>0</v>
      </c>
      <c r="G304" s="77">
        <v>0</v>
      </c>
      <c r="H304" s="77">
        <v>0</v>
      </c>
      <c r="I304" s="77">
        <v>0</v>
      </c>
      <c r="J304" s="77">
        <v>1</v>
      </c>
    </row>
    <row r="305" spans="1:10" x14ac:dyDescent="0.25">
      <c r="A305" s="36" t="s">
        <v>47</v>
      </c>
      <c r="B305" s="36" t="s">
        <v>161</v>
      </c>
      <c r="C305" s="6">
        <f t="shared" si="4"/>
        <v>4</v>
      </c>
      <c r="D305" s="75">
        <v>0</v>
      </c>
      <c r="E305" s="75">
        <v>0</v>
      </c>
      <c r="F305" s="75">
        <v>0</v>
      </c>
      <c r="G305" s="75">
        <v>0</v>
      </c>
      <c r="H305" s="75">
        <v>0</v>
      </c>
      <c r="I305" s="75">
        <v>0</v>
      </c>
      <c r="J305" s="75">
        <v>0</v>
      </c>
    </row>
    <row r="306" spans="1:10" x14ac:dyDescent="0.25">
      <c r="A306" s="35" t="s">
        <v>47</v>
      </c>
      <c r="B306" s="35" t="s">
        <v>162</v>
      </c>
      <c r="C306" s="6">
        <f t="shared" si="4"/>
        <v>5</v>
      </c>
      <c r="D306" s="77">
        <v>0</v>
      </c>
      <c r="E306" s="77">
        <v>0</v>
      </c>
      <c r="F306" s="77">
        <v>0</v>
      </c>
      <c r="G306" s="77">
        <v>0</v>
      </c>
      <c r="H306" s="77">
        <v>0</v>
      </c>
      <c r="I306" s="77">
        <v>0</v>
      </c>
      <c r="J306" s="77">
        <v>0</v>
      </c>
    </row>
    <row r="307" spans="1:10" x14ac:dyDescent="0.25">
      <c r="A307" s="36" t="s">
        <v>47</v>
      </c>
      <c r="B307" s="36" t="s">
        <v>163</v>
      </c>
      <c r="C307" s="6">
        <f t="shared" si="4"/>
        <v>6</v>
      </c>
      <c r="D307" s="75">
        <v>0</v>
      </c>
      <c r="E307" s="75">
        <v>0</v>
      </c>
      <c r="F307" s="75">
        <v>0</v>
      </c>
      <c r="G307" s="75">
        <v>0</v>
      </c>
      <c r="H307" s="75">
        <v>0</v>
      </c>
      <c r="I307" s="75">
        <v>0</v>
      </c>
      <c r="J307" s="75">
        <v>0</v>
      </c>
    </row>
    <row r="308" spans="1:10" x14ac:dyDescent="0.25">
      <c r="A308" s="35" t="s">
        <v>47</v>
      </c>
      <c r="B308" s="35" t="s">
        <v>164</v>
      </c>
      <c r="C308" s="6">
        <f t="shared" si="4"/>
        <v>7</v>
      </c>
      <c r="D308" s="77">
        <v>0</v>
      </c>
      <c r="E308" s="77">
        <v>0</v>
      </c>
      <c r="F308" s="77">
        <v>0</v>
      </c>
      <c r="G308" s="77">
        <v>0</v>
      </c>
      <c r="H308" s="77">
        <v>0</v>
      </c>
      <c r="I308" s="77">
        <v>0</v>
      </c>
      <c r="J308" s="77">
        <v>3</v>
      </c>
    </row>
    <row r="309" spans="1:10" x14ac:dyDescent="0.25">
      <c r="A309" s="36" t="s">
        <v>47</v>
      </c>
      <c r="B309" s="36" t="s">
        <v>165</v>
      </c>
      <c r="C309" s="6">
        <f t="shared" si="4"/>
        <v>8</v>
      </c>
      <c r="D309" s="75">
        <v>0</v>
      </c>
      <c r="E309" s="75">
        <v>0</v>
      </c>
      <c r="F309" s="75">
        <v>0</v>
      </c>
      <c r="G309" s="75">
        <v>0</v>
      </c>
      <c r="H309" s="75">
        <v>0</v>
      </c>
      <c r="I309" s="75">
        <v>0</v>
      </c>
      <c r="J309" s="75">
        <v>4</v>
      </c>
    </row>
    <row r="310" spans="1:10" x14ac:dyDescent="0.25">
      <c r="A310" s="35" t="s">
        <v>47</v>
      </c>
      <c r="B310" s="35" t="s">
        <v>166</v>
      </c>
      <c r="C310" s="6">
        <f t="shared" si="4"/>
        <v>9</v>
      </c>
      <c r="D310" s="77">
        <v>0</v>
      </c>
      <c r="E310" s="77">
        <v>0</v>
      </c>
      <c r="F310" s="77">
        <v>0</v>
      </c>
      <c r="G310" s="77">
        <v>0</v>
      </c>
      <c r="H310" s="77">
        <v>0</v>
      </c>
      <c r="I310" s="77">
        <v>0</v>
      </c>
      <c r="J310" s="77">
        <v>0</v>
      </c>
    </row>
    <row r="311" spans="1:10" x14ac:dyDescent="0.25">
      <c r="A311" s="36" t="s">
        <v>47</v>
      </c>
      <c r="B311" s="36" t="s">
        <v>167</v>
      </c>
      <c r="C311" s="6">
        <f t="shared" si="4"/>
        <v>10</v>
      </c>
      <c r="D311" s="75">
        <v>0</v>
      </c>
      <c r="E311" s="75">
        <v>0</v>
      </c>
      <c r="F311" s="75">
        <v>0</v>
      </c>
      <c r="G311" s="75">
        <v>0</v>
      </c>
      <c r="H311" s="75">
        <v>0</v>
      </c>
      <c r="I311" s="75">
        <v>0</v>
      </c>
      <c r="J311" s="75">
        <v>0</v>
      </c>
    </row>
    <row r="312" spans="1:10" x14ac:dyDescent="0.25">
      <c r="A312" s="35" t="s">
        <v>47</v>
      </c>
      <c r="B312" s="35" t="s">
        <v>168</v>
      </c>
      <c r="C312" s="6">
        <f t="shared" si="4"/>
        <v>11</v>
      </c>
      <c r="D312" s="77">
        <v>0</v>
      </c>
      <c r="E312" s="77">
        <v>0</v>
      </c>
      <c r="F312" s="77">
        <v>0</v>
      </c>
      <c r="G312" s="77">
        <v>0</v>
      </c>
      <c r="H312" s="77">
        <v>0</v>
      </c>
      <c r="I312" s="77">
        <v>0</v>
      </c>
      <c r="J312" s="77">
        <v>2</v>
      </c>
    </row>
    <row r="313" spans="1:10" x14ac:dyDescent="0.25">
      <c r="A313" s="36" t="s">
        <v>47</v>
      </c>
      <c r="B313" s="36" t="s">
        <v>169</v>
      </c>
      <c r="C313" s="6">
        <f t="shared" si="4"/>
        <v>12</v>
      </c>
      <c r="D313" s="75">
        <v>0</v>
      </c>
      <c r="E313" s="75">
        <v>0</v>
      </c>
      <c r="F313" s="75">
        <v>0</v>
      </c>
      <c r="G313" s="75">
        <v>0</v>
      </c>
      <c r="H313" s="75">
        <v>0</v>
      </c>
      <c r="I313" s="75">
        <v>0</v>
      </c>
      <c r="J313" s="75">
        <v>1</v>
      </c>
    </row>
    <row r="314" spans="1:10" x14ac:dyDescent="0.25">
      <c r="A314" s="35" t="s">
        <v>37</v>
      </c>
      <c r="B314" s="35" t="s">
        <v>158</v>
      </c>
      <c r="C314" s="6">
        <f t="shared" si="4"/>
        <v>1</v>
      </c>
      <c r="D314" s="77">
        <v>4</v>
      </c>
      <c r="E314" s="77">
        <v>19</v>
      </c>
      <c r="F314" s="77">
        <v>0</v>
      </c>
      <c r="G314" s="77">
        <v>0</v>
      </c>
      <c r="H314" s="77">
        <v>4</v>
      </c>
      <c r="I314" s="77">
        <v>19</v>
      </c>
      <c r="J314" s="77">
        <v>1</v>
      </c>
    </row>
    <row r="315" spans="1:10" x14ac:dyDescent="0.25">
      <c r="A315" s="36" t="s">
        <v>37</v>
      </c>
      <c r="B315" s="36" t="s">
        <v>159</v>
      </c>
      <c r="C315" s="6">
        <f t="shared" si="4"/>
        <v>2</v>
      </c>
      <c r="D315" s="75">
        <v>0</v>
      </c>
      <c r="E315" s="75">
        <v>0</v>
      </c>
      <c r="F315" s="75">
        <v>0</v>
      </c>
      <c r="G315" s="75">
        <v>0</v>
      </c>
      <c r="H315" s="75">
        <v>0</v>
      </c>
      <c r="I315" s="75">
        <v>0</v>
      </c>
      <c r="J315" s="75">
        <v>0</v>
      </c>
    </row>
    <row r="316" spans="1:10" x14ac:dyDescent="0.25">
      <c r="A316" s="35" t="s">
        <v>37</v>
      </c>
      <c r="B316" s="35" t="s">
        <v>160</v>
      </c>
      <c r="C316" s="6">
        <f t="shared" si="4"/>
        <v>3</v>
      </c>
      <c r="D316" s="77">
        <v>0</v>
      </c>
      <c r="E316" s="77">
        <v>0</v>
      </c>
      <c r="F316" s="77">
        <v>0</v>
      </c>
      <c r="G316" s="77">
        <v>0</v>
      </c>
      <c r="H316" s="77">
        <v>0</v>
      </c>
      <c r="I316" s="77">
        <v>0</v>
      </c>
      <c r="J316" s="77">
        <v>0</v>
      </c>
    </row>
    <row r="317" spans="1:10" x14ac:dyDescent="0.25">
      <c r="A317" s="36" t="s">
        <v>37</v>
      </c>
      <c r="B317" s="36" t="s">
        <v>161</v>
      </c>
      <c r="C317" s="6">
        <f t="shared" si="4"/>
        <v>4</v>
      </c>
      <c r="D317" s="75">
        <v>0</v>
      </c>
      <c r="E317" s="75">
        <v>0</v>
      </c>
      <c r="F317" s="75">
        <v>0</v>
      </c>
      <c r="G317" s="75">
        <v>0</v>
      </c>
      <c r="H317" s="75">
        <v>0</v>
      </c>
      <c r="I317" s="75">
        <v>0</v>
      </c>
      <c r="J317" s="75">
        <v>0</v>
      </c>
    </row>
    <row r="318" spans="1:10" x14ac:dyDescent="0.25">
      <c r="A318" s="35" t="s">
        <v>37</v>
      </c>
      <c r="B318" s="35" t="s">
        <v>162</v>
      </c>
      <c r="C318" s="6">
        <f t="shared" si="4"/>
        <v>5</v>
      </c>
      <c r="D318" s="77">
        <v>0</v>
      </c>
      <c r="E318" s="77">
        <v>0</v>
      </c>
      <c r="F318" s="77">
        <v>0</v>
      </c>
      <c r="G318" s="77">
        <v>0</v>
      </c>
      <c r="H318" s="77">
        <v>0</v>
      </c>
      <c r="I318" s="77">
        <v>0</v>
      </c>
      <c r="J318" s="77">
        <v>0</v>
      </c>
    </row>
    <row r="319" spans="1:10" x14ac:dyDescent="0.25">
      <c r="A319" s="36" t="s">
        <v>37</v>
      </c>
      <c r="B319" s="36" t="s">
        <v>163</v>
      </c>
      <c r="C319" s="6">
        <f t="shared" si="4"/>
        <v>6</v>
      </c>
      <c r="D319" s="75">
        <v>12</v>
      </c>
      <c r="E319" s="75">
        <v>57</v>
      </c>
      <c r="F319" s="75">
        <v>0</v>
      </c>
      <c r="G319" s="75">
        <v>0</v>
      </c>
      <c r="H319" s="75">
        <v>3</v>
      </c>
      <c r="I319" s="75">
        <v>14</v>
      </c>
      <c r="J319" s="75">
        <v>1</v>
      </c>
    </row>
    <row r="320" spans="1:10" x14ac:dyDescent="0.25">
      <c r="A320" s="35" t="s">
        <v>37</v>
      </c>
      <c r="B320" s="35" t="s">
        <v>164</v>
      </c>
      <c r="C320" s="6">
        <f t="shared" si="4"/>
        <v>7</v>
      </c>
      <c r="D320" s="77">
        <v>0</v>
      </c>
      <c r="E320" s="77">
        <v>0</v>
      </c>
      <c r="F320" s="77">
        <v>0</v>
      </c>
      <c r="G320" s="77">
        <v>0</v>
      </c>
      <c r="H320" s="77">
        <v>0</v>
      </c>
      <c r="I320" s="77">
        <v>0</v>
      </c>
      <c r="J320" s="77">
        <v>0</v>
      </c>
    </row>
    <row r="321" spans="1:10" x14ac:dyDescent="0.25">
      <c r="A321" s="36" t="s">
        <v>37</v>
      </c>
      <c r="B321" s="36" t="s">
        <v>165</v>
      </c>
      <c r="C321" s="6">
        <f t="shared" si="4"/>
        <v>8</v>
      </c>
      <c r="D321" s="75">
        <v>5</v>
      </c>
      <c r="E321" s="75">
        <v>23</v>
      </c>
      <c r="F321" s="75">
        <v>1</v>
      </c>
      <c r="G321" s="75">
        <v>1</v>
      </c>
      <c r="H321" s="75">
        <v>0</v>
      </c>
      <c r="I321" s="75">
        <v>0</v>
      </c>
      <c r="J321" s="75">
        <v>1</v>
      </c>
    </row>
    <row r="322" spans="1:10" x14ac:dyDescent="0.25">
      <c r="A322" s="35" t="s">
        <v>37</v>
      </c>
      <c r="B322" s="35" t="s">
        <v>166</v>
      </c>
      <c r="C322" s="6">
        <f t="shared" ref="C322:C385" si="5">_xlfn.IFS(B322="Janeiro",1,B322="Fevereiro",2,B322="Março",3,B322="Abril",4,B322="Maio",5,B322="Junho",6,B322="Julho",7,B322="Agosto",8,B322="Setembro",9,B322="Outubro",10,B322="Novembro",11,B322="Dezembro",12,TRUE,0)</f>
        <v>9</v>
      </c>
      <c r="D322" s="77">
        <v>0</v>
      </c>
      <c r="E322" s="77">
        <v>0</v>
      </c>
      <c r="F322" s="77">
        <v>0</v>
      </c>
      <c r="G322" s="77">
        <v>0</v>
      </c>
      <c r="H322" s="77">
        <v>5</v>
      </c>
      <c r="I322" s="77">
        <v>23</v>
      </c>
      <c r="J322" s="77">
        <v>0</v>
      </c>
    </row>
    <row r="323" spans="1:10" x14ac:dyDescent="0.25">
      <c r="A323" s="36" t="s">
        <v>37</v>
      </c>
      <c r="B323" s="36" t="s">
        <v>167</v>
      </c>
      <c r="C323" s="6">
        <f t="shared" si="5"/>
        <v>10</v>
      </c>
      <c r="D323" s="75">
        <v>0</v>
      </c>
      <c r="E323" s="75">
        <v>0</v>
      </c>
      <c r="F323" s="75">
        <v>0</v>
      </c>
      <c r="G323" s="75">
        <v>0</v>
      </c>
      <c r="H323" s="75">
        <v>5</v>
      </c>
      <c r="I323" s="75">
        <v>23</v>
      </c>
      <c r="J323" s="75">
        <v>0</v>
      </c>
    </row>
    <row r="324" spans="1:10" x14ac:dyDescent="0.25">
      <c r="A324" s="35" t="s">
        <v>37</v>
      </c>
      <c r="B324" s="35" t="s">
        <v>168</v>
      </c>
      <c r="C324" s="6">
        <f t="shared" si="5"/>
        <v>11</v>
      </c>
      <c r="D324" s="77">
        <v>0</v>
      </c>
      <c r="E324" s="77">
        <v>0</v>
      </c>
      <c r="F324" s="77">
        <v>0</v>
      </c>
      <c r="G324" s="77">
        <v>0</v>
      </c>
      <c r="H324" s="77">
        <v>0</v>
      </c>
      <c r="I324" s="77">
        <v>0</v>
      </c>
      <c r="J324" s="77">
        <v>0</v>
      </c>
    </row>
    <row r="325" spans="1:10" x14ac:dyDescent="0.25">
      <c r="A325" s="36" t="s">
        <v>37</v>
      </c>
      <c r="B325" s="36" t="s">
        <v>169</v>
      </c>
      <c r="C325" s="6">
        <f t="shared" si="5"/>
        <v>12</v>
      </c>
      <c r="D325" s="75">
        <v>0</v>
      </c>
      <c r="E325" s="75">
        <v>0</v>
      </c>
      <c r="F325" s="75">
        <v>0</v>
      </c>
      <c r="G325" s="75">
        <v>0</v>
      </c>
      <c r="H325" s="75">
        <v>0</v>
      </c>
      <c r="I325" s="75">
        <v>0</v>
      </c>
      <c r="J325" s="75">
        <v>0</v>
      </c>
    </row>
    <row r="326" spans="1:10" x14ac:dyDescent="0.25">
      <c r="A326" s="35" t="s">
        <v>86</v>
      </c>
      <c r="B326" s="35" t="s">
        <v>158</v>
      </c>
      <c r="C326" s="6">
        <f t="shared" si="5"/>
        <v>1</v>
      </c>
      <c r="D326" s="77">
        <v>0</v>
      </c>
      <c r="E326" s="77">
        <v>0</v>
      </c>
      <c r="F326" s="77">
        <v>0</v>
      </c>
      <c r="G326" s="77">
        <v>0</v>
      </c>
      <c r="H326" s="77">
        <v>0</v>
      </c>
      <c r="I326" s="77">
        <v>0</v>
      </c>
      <c r="J326" s="77">
        <v>0</v>
      </c>
    </row>
    <row r="327" spans="1:10" x14ac:dyDescent="0.25">
      <c r="A327" s="36" t="s">
        <v>86</v>
      </c>
      <c r="B327" s="36" t="s">
        <v>159</v>
      </c>
      <c r="C327" s="6">
        <f t="shared" si="5"/>
        <v>2</v>
      </c>
      <c r="D327" s="75">
        <v>0</v>
      </c>
      <c r="E327" s="75">
        <v>0</v>
      </c>
      <c r="F327" s="75">
        <v>0</v>
      </c>
      <c r="G327" s="75">
        <v>0</v>
      </c>
      <c r="H327" s="75">
        <v>0</v>
      </c>
      <c r="I327" s="75">
        <v>0</v>
      </c>
      <c r="J327" s="75">
        <v>0</v>
      </c>
    </row>
    <row r="328" spans="1:10" x14ac:dyDescent="0.25">
      <c r="A328" s="35" t="s">
        <v>86</v>
      </c>
      <c r="B328" s="35" t="s">
        <v>160</v>
      </c>
      <c r="C328" s="6">
        <f t="shared" si="5"/>
        <v>3</v>
      </c>
      <c r="D328" s="77">
        <v>0</v>
      </c>
      <c r="E328" s="77">
        <v>0</v>
      </c>
      <c r="F328" s="77">
        <v>0</v>
      </c>
      <c r="G328" s="77">
        <v>0</v>
      </c>
      <c r="H328" s="77">
        <v>0</v>
      </c>
      <c r="I328" s="77">
        <v>0</v>
      </c>
      <c r="J328" s="77">
        <v>0</v>
      </c>
    </row>
    <row r="329" spans="1:10" x14ac:dyDescent="0.25">
      <c r="A329" s="36" t="s">
        <v>86</v>
      </c>
      <c r="B329" s="36" t="s">
        <v>161</v>
      </c>
      <c r="C329" s="6">
        <f t="shared" si="5"/>
        <v>4</v>
      </c>
      <c r="D329" s="75">
        <v>5</v>
      </c>
      <c r="E329" s="75">
        <v>35</v>
      </c>
      <c r="F329" s="75">
        <v>0</v>
      </c>
      <c r="G329" s="75">
        <v>0</v>
      </c>
      <c r="H329" s="75">
        <v>0</v>
      </c>
      <c r="I329" s="75">
        <v>0</v>
      </c>
      <c r="J329" s="75">
        <v>1</v>
      </c>
    </row>
    <row r="330" spans="1:10" x14ac:dyDescent="0.25">
      <c r="A330" s="35" t="s">
        <v>86</v>
      </c>
      <c r="B330" s="35" t="s">
        <v>162</v>
      </c>
      <c r="C330" s="6">
        <f t="shared" si="5"/>
        <v>5</v>
      </c>
      <c r="D330" s="77">
        <v>0</v>
      </c>
      <c r="E330" s="77">
        <v>0</v>
      </c>
      <c r="F330" s="77">
        <v>0</v>
      </c>
      <c r="G330" s="77">
        <v>0</v>
      </c>
      <c r="H330" s="77">
        <v>0</v>
      </c>
      <c r="I330" s="77">
        <v>0</v>
      </c>
      <c r="J330" s="77">
        <v>0</v>
      </c>
    </row>
    <row r="331" spans="1:10" x14ac:dyDescent="0.25">
      <c r="A331" s="36" t="s">
        <v>86</v>
      </c>
      <c r="B331" s="36" t="s">
        <v>163</v>
      </c>
      <c r="C331" s="6">
        <f t="shared" si="5"/>
        <v>6</v>
      </c>
      <c r="D331" s="75">
        <v>3</v>
      </c>
      <c r="E331" s="75">
        <v>21</v>
      </c>
      <c r="F331" s="75">
        <v>0</v>
      </c>
      <c r="G331" s="75">
        <v>0</v>
      </c>
      <c r="H331" s="75">
        <v>0</v>
      </c>
      <c r="I331" s="75">
        <v>0</v>
      </c>
      <c r="J331" s="75">
        <v>1</v>
      </c>
    </row>
    <row r="332" spans="1:10" x14ac:dyDescent="0.25">
      <c r="A332" s="35" t="s">
        <v>86</v>
      </c>
      <c r="B332" s="35" t="s">
        <v>164</v>
      </c>
      <c r="C332" s="6">
        <f t="shared" si="5"/>
        <v>7</v>
      </c>
      <c r="D332" s="77">
        <v>8</v>
      </c>
      <c r="E332" s="77">
        <v>57</v>
      </c>
      <c r="F332" s="77">
        <v>0</v>
      </c>
      <c r="G332" s="77">
        <v>0</v>
      </c>
      <c r="H332" s="77">
        <v>0</v>
      </c>
      <c r="I332" s="77">
        <v>0</v>
      </c>
      <c r="J332" s="77">
        <v>2</v>
      </c>
    </row>
    <row r="333" spans="1:10" x14ac:dyDescent="0.25">
      <c r="A333" s="36" t="s">
        <v>86</v>
      </c>
      <c r="B333" s="36" t="s">
        <v>165</v>
      </c>
      <c r="C333" s="6">
        <f t="shared" si="5"/>
        <v>8</v>
      </c>
      <c r="D333" s="75">
        <v>0</v>
      </c>
      <c r="E333" s="75">
        <v>0</v>
      </c>
      <c r="F333" s="75">
        <v>0</v>
      </c>
      <c r="G333" s="75">
        <v>0</v>
      </c>
      <c r="H333" s="75">
        <v>0</v>
      </c>
      <c r="I333" s="75">
        <v>0</v>
      </c>
      <c r="J333" s="75">
        <v>0</v>
      </c>
    </row>
    <row r="334" spans="1:10" x14ac:dyDescent="0.25">
      <c r="A334" s="35" t="s">
        <v>86</v>
      </c>
      <c r="B334" s="35" t="s">
        <v>166</v>
      </c>
      <c r="C334" s="6">
        <f t="shared" si="5"/>
        <v>9</v>
      </c>
      <c r="D334" s="77">
        <v>0</v>
      </c>
      <c r="E334" s="77">
        <v>0</v>
      </c>
      <c r="F334" s="77">
        <v>0</v>
      </c>
      <c r="G334" s="77">
        <v>0</v>
      </c>
      <c r="H334" s="77">
        <v>9</v>
      </c>
      <c r="I334" s="77">
        <v>64</v>
      </c>
      <c r="J334" s="77">
        <v>0</v>
      </c>
    </row>
    <row r="335" spans="1:10" x14ac:dyDescent="0.25">
      <c r="A335" s="36" t="s">
        <v>86</v>
      </c>
      <c r="B335" s="36" t="s">
        <v>167</v>
      </c>
      <c r="C335" s="6">
        <f t="shared" si="5"/>
        <v>10</v>
      </c>
      <c r="D335" s="75">
        <v>12</v>
      </c>
      <c r="E335" s="75">
        <v>85</v>
      </c>
      <c r="F335" s="75">
        <v>0</v>
      </c>
      <c r="G335" s="75">
        <v>0</v>
      </c>
      <c r="H335" s="75">
        <v>0</v>
      </c>
      <c r="I335" s="75">
        <v>0</v>
      </c>
      <c r="J335" s="75">
        <v>1</v>
      </c>
    </row>
    <row r="336" spans="1:10" x14ac:dyDescent="0.25">
      <c r="A336" s="35" t="s">
        <v>86</v>
      </c>
      <c r="B336" s="35" t="s">
        <v>168</v>
      </c>
      <c r="C336" s="6">
        <f t="shared" si="5"/>
        <v>11</v>
      </c>
      <c r="D336" s="77">
        <v>0</v>
      </c>
      <c r="E336" s="77">
        <v>0</v>
      </c>
      <c r="F336" s="77">
        <v>0</v>
      </c>
      <c r="G336" s="77">
        <v>0</v>
      </c>
      <c r="H336" s="77">
        <v>0</v>
      </c>
      <c r="I336" s="77">
        <v>0</v>
      </c>
      <c r="J336" s="77">
        <v>0</v>
      </c>
    </row>
    <row r="337" spans="1:10" x14ac:dyDescent="0.25">
      <c r="A337" s="36" t="s">
        <v>86</v>
      </c>
      <c r="B337" s="36" t="s">
        <v>169</v>
      </c>
      <c r="C337" s="6">
        <f t="shared" si="5"/>
        <v>12</v>
      </c>
      <c r="D337" s="75">
        <v>6</v>
      </c>
      <c r="E337" s="75">
        <v>42</v>
      </c>
      <c r="F337" s="75">
        <v>0</v>
      </c>
      <c r="G337" s="75">
        <v>0</v>
      </c>
      <c r="H337" s="75">
        <v>0</v>
      </c>
      <c r="I337" s="75">
        <v>0</v>
      </c>
      <c r="J337" s="75">
        <v>2</v>
      </c>
    </row>
    <row r="338" spans="1:10" x14ac:dyDescent="0.25">
      <c r="A338" s="35" t="s">
        <v>65</v>
      </c>
      <c r="B338" s="35" t="s">
        <v>158</v>
      </c>
      <c r="C338" s="6">
        <f t="shared" si="5"/>
        <v>1</v>
      </c>
      <c r="D338" s="77">
        <v>0</v>
      </c>
      <c r="E338" s="77">
        <v>0</v>
      </c>
      <c r="F338" s="77">
        <v>0</v>
      </c>
      <c r="G338" s="77">
        <v>0</v>
      </c>
      <c r="H338" s="77">
        <v>0</v>
      </c>
      <c r="I338" s="77">
        <v>0</v>
      </c>
      <c r="J338" s="77">
        <v>0</v>
      </c>
    </row>
    <row r="339" spans="1:10" x14ac:dyDescent="0.25">
      <c r="A339" s="36" t="s">
        <v>65</v>
      </c>
      <c r="B339" s="36" t="s">
        <v>159</v>
      </c>
      <c r="C339" s="6">
        <f t="shared" si="5"/>
        <v>2</v>
      </c>
      <c r="D339" s="75">
        <v>0</v>
      </c>
      <c r="E339" s="75">
        <v>0</v>
      </c>
      <c r="F339" s="75">
        <v>0</v>
      </c>
      <c r="G339" s="75">
        <v>0</v>
      </c>
      <c r="H339" s="75">
        <v>0</v>
      </c>
      <c r="I339" s="75">
        <v>0</v>
      </c>
      <c r="J339" s="75">
        <v>0</v>
      </c>
    </row>
    <row r="340" spans="1:10" x14ac:dyDescent="0.25">
      <c r="A340" s="35" t="s">
        <v>65</v>
      </c>
      <c r="B340" s="35" t="s">
        <v>160</v>
      </c>
      <c r="C340" s="6">
        <f t="shared" si="5"/>
        <v>3</v>
      </c>
      <c r="D340" s="77">
        <v>0</v>
      </c>
      <c r="E340" s="77">
        <v>0</v>
      </c>
      <c r="F340" s="77">
        <v>0</v>
      </c>
      <c r="G340" s="77">
        <v>0</v>
      </c>
      <c r="H340" s="77">
        <v>5</v>
      </c>
      <c r="I340" s="77">
        <v>20</v>
      </c>
      <c r="J340" s="77">
        <v>0</v>
      </c>
    </row>
    <row r="341" spans="1:10" x14ac:dyDescent="0.25">
      <c r="A341" s="36" t="s">
        <v>65</v>
      </c>
      <c r="B341" s="36" t="s">
        <v>161</v>
      </c>
      <c r="C341" s="6">
        <f t="shared" si="5"/>
        <v>4</v>
      </c>
      <c r="D341" s="75">
        <v>0</v>
      </c>
      <c r="E341" s="75">
        <v>0</v>
      </c>
      <c r="F341" s="75">
        <v>0</v>
      </c>
      <c r="G341" s="75">
        <v>0</v>
      </c>
      <c r="H341" s="75">
        <v>0</v>
      </c>
      <c r="I341" s="75">
        <v>0</v>
      </c>
      <c r="J341" s="75">
        <v>0</v>
      </c>
    </row>
    <row r="342" spans="1:10" x14ac:dyDescent="0.25">
      <c r="A342" s="35" t="s">
        <v>65</v>
      </c>
      <c r="B342" s="35" t="s">
        <v>162</v>
      </c>
      <c r="C342" s="6">
        <f t="shared" si="5"/>
        <v>5</v>
      </c>
      <c r="D342" s="77">
        <v>0</v>
      </c>
      <c r="E342" s="77">
        <v>0</v>
      </c>
      <c r="F342" s="77">
        <v>0</v>
      </c>
      <c r="G342" s="77">
        <v>0</v>
      </c>
      <c r="H342" s="77">
        <v>0</v>
      </c>
      <c r="I342" s="77">
        <v>0</v>
      </c>
      <c r="J342" s="77">
        <v>0</v>
      </c>
    </row>
    <row r="343" spans="1:10" x14ac:dyDescent="0.25">
      <c r="A343" s="36" t="s">
        <v>65</v>
      </c>
      <c r="B343" s="36" t="s">
        <v>163</v>
      </c>
      <c r="C343" s="6">
        <f t="shared" si="5"/>
        <v>6</v>
      </c>
      <c r="D343" s="75">
        <v>0</v>
      </c>
      <c r="E343" s="75">
        <v>0</v>
      </c>
      <c r="F343" s="75">
        <v>1</v>
      </c>
      <c r="G343" s="75">
        <v>0</v>
      </c>
      <c r="H343" s="75">
        <v>6</v>
      </c>
      <c r="I343" s="75">
        <v>25</v>
      </c>
      <c r="J343" s="75">
        <v>0</v>
      </c>
    </row>
    <row r="344" spans="1:10" x14ac:dyDescent="0.25">
      <c r="A344" s="35" t="s">
        <v>65</v>
      </c>
      <c r="B344" s="35" t="s">
        <v>164</v>
      </c>
      <c r="C344" s="6">
        <f t="shared" si="5"/>
        <v>7</v>
      </c>
      <c r="D344" s="77">
        <v>8</v>
      </c>
      <c r="E344" s="77">
        <v>33</v>
      </c>
      <c r="F344" s="77">
        <v>0</v>
      </c>
      <c r="G344" s="77">
        <v>0</v>
      </c>
      <c r="H344" s="77">
        <v>0</v>
      </c>
      <c r="I344" s="77">
        <v>0</v>
      </c>
      <c r="J344" s="77">
        <v>1</v>
      </c>
    </row>
    <row r="345" spans="1:10" x14ac:dyDescent="0.25">
      <c r="A345" s="36" t="s">
        <v>65</v>
      </c>
      <c r="B345" s="36" t="s">
        <v>165</v>
      </c>
      <c r="C345" s="6">
        <f t="shared" si="5"/>
        <v>8</v>
      </c>
      <c r="D345" s="75">
        <v>0</v>
      </c>
      <c r="E345" s="75">
        <v>0</v>
      </c>
      <c r="F345" s="75">
        <v>0</v>
      </c>
      <c r="G345" s="75">
        <v>0</v>
      </c>
      <c r="H345" s="75">
        <v>0</v>
      </c>
      <c r="I345" s="75">
        <v>0</v>
      </c>
      <c r="J345" s="75">
        <v>0</v>
      </c>
    </row>
    <row r="346" spans="1:10" x14ac:dyDescent="0.25">
      <c r="A346" s="35" t="s">
        <v>65</v>
      </c>
      <c r="B346" s="35" t="s">
        <v>166</v>
      </c>
      <c r="C346" s="6">
        <f t="shared" si="5"/>
        <v>9</v>
      </c>
      <c r="D346" s="77">
        <v>3</v>
      </c>
      <c r="E346" s="77">
        <v>12</v>
      </c>
      <c r="F346" s="77">
        <v>0</v>
      </c>
      <c r="G346" s="77">
        <v>0</v>
      </c>
      <c r="H346" s="77">
        <v>4</v>
      </c>
      <c r="I346" s="77">
        <v>16</v>
      </c>
      <c r="J346" s="77">
        <v>1</v>
      </c>
    </row>
    <row r="347" spans="1:10" x14ac:dyDescent="0.25">
      <c r="A347" s="36" t="s">
        <v>65</v>
      </c>
      <c r="B347" s="36" t="s">
        <v>167</v>
      </c>
      <c r="C347" s="6">
        <f t="shared" si="5"/>
        <v>10</v>
      </c>
      <c r="D347" s="75">
        <v>0</v>
      </c>
      <c r="E347" s="75">
        <v>0</v>
      </c>
      <c r="F347" s="75">
        <v>0</v>
      </c>
      <c r="G347" s="75">
        <v>0</v>
      </c>
      <c r="H347" s="75">
        <v>0</v>
      </c>
      <c r="I347" s="75">
        <v>0</v>
      </c>
      <c r="J347" s="75">
        <v>0</v>
      </c>
    </row>
    <row r="348" spans="1:10" x14ac:dyDescent="0.25">
      <c r="A348" s="35" t="s">
        <v>65</v>
      </c>
      <c r="B348" s="35" t="s">
        <v>168</v>
      </c>
      <c r="C348" s="6">
        <f t="shared" si="5"/>
        <v>11</v>
      </c>
      <c r="D348" s="77">
        <v>6</v>
      </c>
      <c r="E348" s="77">
        <v>25</v>
      </c>
      <c r="F348" s="77">
        <v>0</v>
      </c>
      <c r="G348" s="77">
        <v>0</v>
      </c>
      <c r="H348" s="77">
        <v>1</v>
      </c>
      <c r="I348" s="77">
        <v>4</v>
      </c>
      <c r="J348" s="77">
        <v>2</v>
      </c>
    </row>
    <row r="349" spans="1:10" x14ac:dyDescent="0.25">
      <c r="A349" s="36" t="s">
        <v>65</v>
      </c>
      <c r="B349" s="36" t="s">
        <v>169</v>
      </c>
      <c r="C349" s="6">
        <f t="shared" si="5"/>
        <v>12</v>
      </c>
      <c r="D349" s="75">
        <v>8</v>
      </c>
      <c r="E349" s="75">
        <v>33</v>
      </c>
      <c r="F349" s="75">
        <v>2</v>
      </c>
      <c r="G349" s="75">
        <v>0</v>
      </c>
      <c r="H349" s="75">
        <v>0</v>
      </c>
      <c r="I349" s="75">
        <v>0</v>
      </c>
      <c r="J349" s="75">
        <v>2</v>
      </c>
    </row>
    <row r="350" spans="1:10" x14ac:dyDescent="0.25">
      <c r="A350" s="35" t="s">
        <v>142</v>
      </c>
      <c r="B350" s="35" t="s">
        <v>158</v>
      </c>
      <c r="C350" s="6">
        <f t="shared" si="5"/>
        <v>1</v>
      </c>
      <c r="D350" s="77">
        <v>0</v>
      </c>
      <c r="E350" s="77">
        <v>0</v>
      </c>
      <c r="F350" s="77">
        <v>0</v>
      </c>
      <c r="G350" s="77">
        <v>0</v>
      </c>
      <c r="H350" s="77">
        <v>0</v>
      </c>
      <c r="I350" s="77">
        <v>0</v>
      </c>
      <c r="J350" s="77">
        <v>0</v>
      </c>
    </row>
    <row r="351" spans="1:10" x14ac:dyDescent="0.25">
      <c r="A351" s="36" t="s">
        <v>142</v>
      </c>
      <c r="B351" s="36" t="s">
        <v>159</v>
      </c>
      <c r="C351" s="6">
        <f t="shared" si="5"/>
        <v>2</v>
      </c>
      <c r="D351" s="75">
        <v>0</v>
      </c>
      <c r="E351" s="75">
        <v>0</v>
      </c>
      <c r="F351" s="75">
        <v>0</v>
      </c>
      <c r="G351" s="75">
        <v>0</v>
      </c>
      <c r="H351" s="75">
        <v>0</v>
      </c>
      <c r="I351" s="75">
        <v>0</v>
      </c>
      <c r="J351" s="75">
        <v>0</v>
      </c>
    </row>
    <row r="352" spans="1:10" x14ac:dyDescent="0.25">
      <c r="A352" s="35" t="s">
        <v>142</v>
      </c>
      <c r="B352" s="35" t="s">
        <v>160</v>
      </c>
      <c r="C352" s="6">
        <f t="shared" si="5"/>
        <v>3</v>
      </c>
      <c r="D352" s="77">
        <v>0</v>
      </c>
      <c r="E352" s="77">
        <v>0</v>
      </c>
      <c r="F352" s="77">
        <v>0</v>
      </c>
      <c r="G352" s="77">
        <v>0</v>
      </c>
      <c r="H352" s="77">
        <v>0</v>
      </c>
      <c r="I352" s="77">
        <v>0</v>
      </c>
      <c r="J352" s="77">
        <v>0</v>
      </c>
    </row>
    <row r="353" spans="1:10" x14ac:dyDescent="0.25">
      <c r="A353" s="36" t="s">
        <v>142</v>
      </c>
      <c r="B353" s="36" t="s">
        <v>161</v>
      </c>
      <c r="C353" s="6">
        <f t="shared" si="5"/>
        <v>4</v>
      </c>
      <c r="D353" s="75">
        <v>0</v>
      </c>
      <c r="E353" s="75">
        <v>0</v>
      </c>
      <c r="F353" s="75">
        <v>0</v>
      </c>
      <c r="G353" s="75">
        <v>0</v>
      </c>
      <c r="H353" s="75">
        <v>0</v>
      </c>
      <c r="I353" s="75">
        <v>0</v>
      </c>
      <c r="J353" s="75">
        <v>0</v>
      </c>
    </row>
    <row r="354" spans="1:10" x14ac:dyDescent="0.25">
      <c r="A354" s="35" t="s">
        <v>142</v>
      </c>
      <c r="B354" s="35" t="s">
        <v>162</v>
      </c>
      <c r="C354" s="6">
        <f t="shared" si="5"/>
        <v>5</v>
      </c>
      <c r="D354" s="77">
        <v>0</v>
      </c>
      <c r="E354" s="77">
        <v>0</v>
      </c>
      <c r="F354" s="77">
        <v>0</v>
      </c>
      <c r="G354" s="77">
        <v>0</v>
      </c>
      <c r="H354" s="77">
        <v>0</v>
      </c>
      <c r="I354" s="77">
        <v>0</v>
      </c>
      <c r="J354" s="77">
        <v>0</v>
      </c>
    </row>
    <row r="355" spans="1:10" x14ac:dyDescent="0.25">
      <c r="A355" s="36" t="s">
        <v>142</v>
      </c>
      <c r="B355" s="36" t="s">
        <v>163</v>
      </c>
      <c r="C355" s="6">
        <f t="shared" si="5"/>
        <v>6</v>
      </c>
      <c r="D355" s="75">
        <v>0</v>
      </c>
      <c r="E355" s="75">
        <v>0</v>
      </c>
      <c r="F355" s="75">
        <v>0</v>
      </c>
      <c r="G355" s="75">
        <v>0</v>
      </c>
      <c r="H355" s="75">
        <v>0</v>
      </c>
      <c r="I355" s="75">
        <v>0</v>
      </c>
      <c r="J355" s="75">
        <v>0</v>
      </c>
    </row>
    <row r="356" spans="1:10" x14ac:dyDescent="0.25">
      <c r="A356" s="35" t="s">
        <v>142</v>
      </c>
      <c r="B356" s="35" t="s">
        <v>164</v>
      </c>
      <c r="C356" s="6">
        <f t="shared" si="5"/>
        <v>7</v>
      </c>
      <c r="D356" s="77">
        <v>0</v>
      </c>
      <c r="E356" s="77">
        <v>0</v>
      </c>
      <c r="F356" s="77">
        <v>0</v>
      </c>
      <c r="G356" s="77">
        <v>0</v>
      </c>
      <c r="H356" s="77">
        <v>0</v>
      </c>
      <c r="I356" s="77">
        <v>0</v>
      </c>
      <c r="J356" s="77">
        <v>0</v>
      </c>
    </row>
    <row r="357" spans="1:10" x14ac:dyDescent="0.25">
      <c r="A357" s="36" t="s">
        <v>142</v>
      </c>
      <c r="B357" s="36" t="s">
        <v>165</v>
      </c>
      <c r="C357" s="6">
        <f t="shared" si="5"/>
        <v>8</v>
      </c>
      <c r="D357" s="75">
        <v>0</v>
      </c>
      <c r="E357" s="75">
        <v>0</v>
      </c>
      <c r="F357" s="75">
        <v>0</v>
      </c>
      <c r="G357" s="75">
        <v>0</v>
      </c>
      <c r="H357" s="75">
        <v>0</v>
      </c>
      <c r="I357" s="75">
        <v>0</v>
      </c>
      <c r="J357" s="75">
        <v>0</v>
      </c>
    </row>
    <row r="358" spans="1:10" x14ac:dyDescent="0.25">
      <c r="A358" s="35" t="s">
        <v>142</v>
      </c>
      <c r="B358" s="35" t="s">
        <v>166</v>
      </c>
      <c r="C358" s="6">
        <f t="shared" si="5"/>
        <v>9</v>
      </c>
      <c r="D358" s="77">
        <v>0</v>
      </c>
      <c r="E358" s="77">
        <v>0</v>
      </c>
      <c r="F358" s="77">
        <v>0</v>
      </c>
      <c r="G358" s="77">
        <v>0</v>
      </c>
      <c r="H358" s="77">
        <v>0</v>
      </c>
      <c r="I358" s="77">
        <v>0</v>
      </c>
      <c r="J358" s="77">
        <v>0</v>
      </c>
    </row>
    <row r="359" spans="1:10" x14ac:dyDescent="0.25">
      <c r="A359" s="36" t="s">
        <v>142</v>
      </c>
      <c r="B359" s="36" t="s">
        <v>167</v>
      </c>
      <c r="C359" s="6">
        <f t="shared" si="5"/>
        <v>10</v>
      </c>
      <c r="D359" s="75">
        <v>0</v>
      </c>
      <c r="E359" s="75">
        <v>0</v>
      </c>
      <c r="F359" s="75">
        <v>0</v>
      </c>
      <c r="G359" s="75">
        <v>0</v>
      </c>
      <c r="H359" s="75">
        <v>0</v>
      </c>
      <c r="I359" s="75">
        <v>0</v>
      </c>
      <c r="J359" s="75">
        <v>0</v>
      </c>
    </row>
    <row r="360" spans="1:10" x14ac:dyDescent="0.25">
      <c r="A360" s="35" t="s">
        <v>142</v>
      </c>
      <c r="B360" s="35" t="s">
        <v>168</v>
      </c>
      <c r="C360" s="6">
        <f t="shared" si="5"/>
        <v>11</v>
      </c>
      <c r="D360" s="77">
        <v>0</v>
      </c>
      <c r="E360" s="77">
        <v>0</v>
      </c>
      <c r="F360" s="77">
        <v>0</v>
      </c>
      <c r="G360" s="77">
        <v>0</v>
      </c>
      <c r="H360" s="77">
        <v>0</v>
      </c>
      <c r="I360" s="77">
        <v>0</v>
      </c>
      <c r="J360" s="77">
        <v>0</v>
      </c>
    </row>
    <row r="361" spans="1:10" x14ac:dyDescent="0.25">
      <c r="A361" s="36" t="s">
        <v>142</v>
      </c>
      <c r="B361" s="36" t="s">
        <v>169</v>
      </c>
      <c r="C361" s="6">
        <f t="shared" si="5"/>
        <v>12</v>
      </c>
      <c r="D361" s="75">
        <v>0</v>
      </c>
      <c r="E361" s="75">
        <v>0</v>
      </c>
      <c r="F361" s="75">
        <v>0</v>
      </c>
      <c r="G361" s="75">
        <v>0</v>
      </c>
      <c r="H361" s="75">
        <v>0</v>
      </c>
      <c r="I361" s="75">
        <v>0</v>
      </c>
      <c r="J361" s="75">
        <v>0</v>
      </c>
    </row>
    <row r="362" spans="1:10" x14ac:dyDescent="0.25">
      <c r="A362" s="35" t="s">
        <v>107</v>
      </c>
      <c r="B362" s="35" t="s">
        <v>158</v>
      </c>
      <c r="C362" s="6">
        <f t="shared" si="5"/>
        <v>1</v>
      </c>
      <c r="D362" s="77">
        <v>3</v>
      </c>
      <c r="E362" s="77">
        <v>6</v>
      </c>
      <c r="F362" s="77">
        <v>0</v>
      </c>
      <c r="G362" s="77">
        <v>0</v>
      </c>
      <c r="H362" s="77">
        <v>5</v>
      </c>
      <c r="I362" s="77">
        <v>11</v>
      </c>
      <c r="J362" s="77">
        <v>1</v>
      </c>
    </row>
    <row r="363" spans="1:10" x14ac:dyDescent="0.25">
      <c r="A363" s="36" t="s">
        <v>107</v>
      </c>
      <c r="B363" s="36" t="s">
        <v>159</v>
      </c>
      <c r="C363" s="6">
        <f t="shared" si="5"/>
        <v>2</v>
      </c>
      <c r="D363" s="75">
        <v>0</v>
      </c>
      <c r="E363" s="75">
        <v>0</v>
      </c>
      <c r="F363" s="75">
        <v>0</v>
      </c>
      <c r="G363" s="75">
        <v>0</v>
      </c>
      <c r="H363" s="75">
        <v>0</v>
      </c>
      <c r="I363" s="75">
        <v>0</v>
      </c>
      <c r="J363" s="75">
        <v>0</v>
      </c>
    </row>
    <row r="364" spans="1:10" x14ac:dyDescent="0.25">
      <c r="A364" s="35" t="s">
        <v>107</v>
      </c>
      <c r="B364" s="35" t="s">
        <v>160</v>
      </c>
      <c r="C364" s="6">
        <f t="shared" si="5"/>
        <v>3</v>
      </c>
      <c r="D364" s="77">
        <v>0</v>
      </c>
      <c r="E364" s="77">
        <v>0</v>
      </c>
      <c r="F364" s="77">
        <v>0</v>
      </c>
      <c r="G364" s="77">
        <v>0</v>
      </c>
      <c r="H364" s="77">
        <v>5</v>
      </c>
      <c r="I364" s="77">
        <v>11</v>
      </c>
      <c r="J364" s="77">
        <v>0</v>
      </c>
    </row>
    <row r="365" spans="1:10" x14ac:dyDescent="0.25">
      <c r="A365" s="36" t="s">
        <v>107</v>
      </c>
      <c r="B365" s="36" t="s">
        <v>161</v>
      </c>
      <c r="C365" s="6">
        <f t="shared" si="5"/>
        <v>4</v>
      </c>
      <c r="D365" s="75">
        <v>4</v>
      </c>
      <c r="E365" s="75">
        <v>8</v>
      </c>
      <c r="F365" s="75">
        <v>0</v>
      </c>
      <c r="G365" s="75">
        <v>0</v>
      </c>
      <c r="H365" s="75">
        <v>0</v>
      </c>
      <c r="I365" s="75">
        <v>0</v>
      </c>
      <c r="J365" s="75">
        <v>1</v>
      </c>
    </row>
    <row r="366" spans="1:10" x14ac:dyDescent="0.25">
      <c r="A366" s="35" t="s">
        <v>107</v>
      </c>
      <c r="B366" s="35" t="s">
        <v>162</v>
      </c>
      <c r="C366" s="6">
        <f t="shared" si="5"/>
        <v>5</v>
      </c>
      <c r="D366" s="77">
        <v>4</v>
      </c>
      <c r="E366" s="77">
        <v>8</v>
      </c>
      <c r="F366" s="77">
        <v>0</v>
      </c>
      <c r="G366" s="77">
        <v>0</v>
      </c>
      <c r="H366" s="77">
        <v>0</v>
      </c>
      <c r="I366" s="77">
        <v>0</v>
      </c>
      <c r="J366" s="77">
        <v>1</v>
      </c>
    </row>
    <row r="367" spans="1:10" x14ac:dyDescent="0.25">
      <c r="A367" s="36" t="s">
        <v>107</v>
      </c>
      <c r="B367" s="36" t="s">
        <v>163</v>
      </c>
      <c r="C367" s="6">
        <f t="shared" si="5"/>
        <v>6</v>
      </c>
      <c r="D367" s="75">
        <v>9</v>
      </c>
      <c r="E367" s="75">
        <v>20</v>
      </c>
      <c r="F367" s="75">
        <v>0</v>
      </c>
      <c r="G367" s="75">
        <v>0</v>
      </c>
      <c r="H367" s="75">
        <v>28</v>
      </c>
      <c r="I367" s="75">
        <v>62</v>
      </c>
      <c r="J367" s="75">
        <v>3</v>
      </c>
    </row>
    <row r="368" spans="1:10" x14ac:dyDescent="0.25">
      <c r="A368" s="35" t="s">
        <v>107</v>
      </c>
      <c r="B368" s="35" t="s">
        <v>164</v>
      </c>
      <c r="C368" s="6">
        <f t="shared" si="5"/>
        <v>7</v>
      </c>
      <c r="D368" s="77">
        <v>3</v>
      </c>
      <c r="E368" s="77">
        <v>6</v>
      </c>
      <c r="F368" s="77">
        <v>1</v>
      </c>
      <c r="G368" s="77">
        <v>2</v>
      </c>
      <c r="H368" s="77">
        <v>0</v>
      </c>
      <c r="I368" s="77">
        <v>0</v>
      </c>
      <c r="J368" s="77">
        <v>1</v>
      </c>
    </row>
    <row r="369" spans="1:10" x14ac:dyDescent="0.25">
      <c r="A369" s="36" t="s">
        <v>107</v>
      </c>
      <c r="B369" s="36" t="s">
        <v>165</v>
      </c>
      <c r="C369" s="6">
        <f t="shared" si="5"/>
        <v>8</v>
      </c>
      <c r="D369" s="75">
        <v>2</v>
      </c>
      <c r="E369" s="75">
        <v>4</v>
      </c>
      <c r="F369" s="75">
        <v>2</v>
      </c>
      <c r="G369" s="75">
        <v>3</v>
      </c>
      <c r="H369" s="75">
        <v>0</v>
      </c>
      <c r="I369" s="75">
        <v>0</v>
      </c>
      <c r="J369" s="75">
        <v>2</v>
      </c>
    </row>
    <row r="370" spans="1:10" x14ac:dyDescent="0.25">
      <c r="A370" s="35" t="s">
        <v>107</v>
      </c>
      <c r="B370" s="35" t="s">
        <v>166</v>
      </c>
      <c r="C370" s="6">
        <f t="shared" si="5"/>
        <v>9</v>
      </c>
      <c r="D370" s="77">
        <v>4</v>
      </c>
      <c r="E370" s="77">
        <v>8</v>
      </c>
      <c r="F370" s="77">
        <v>0</v>
      </c>
      <c r="G370" s="77">
        <v>0</v>
      </c>
      <c r="H370" s="77">
        <v>23</v>
      </c>
      <c r="I370" s="77">
        <v>51</v>
      </c>
      <c r="J370" s="77">
        <v>1</v>
      </c>
    </row>
    <row r="371" spans="1:10" x14ac:dyDescent="0.25">
      <c r="A371" s="36" t="s">
        <v>107</v>
      </c>
      <c r="B371" s="36" t="s">
        <v>167</v>
      </c>
      <c r="C371" s="6">
        <f t="shared" si="5"/>
        <v>10</v>
      </c>
      <c r="D371" s="75">
        <v>4</v>
      </c>
      <c r="E371" s="75">
        <v>8</v>
      </c>
      <c r="F371" s="75">
        <v>0</v>
      </c>
      <c r="G371" s="75">
        <v>0</v>
      </c>
      <c r="H371" s="75">
        <v>0</v>
      </c>
      <c r="I371" s="75">
        <v>0</v>
      </c>
      <c r="J371" s="75">
        <v>2</v>
      </c>
    </row>
    <row r="372" spans="1:10" x14ac:dyDescent="0.25">
      <c r="A372" s="35" t="s">
        <v>107</v>
      </c>
      <c r="B372" s="35" t="s">
        <v>168</v>
      </c>
      <c r="C372" s="6">
        <f t="shared" si="5"/>
        <v>11</v>
      </c>
      <c r="D372" s="77">
        <v>13</v>
      </c>
      <c r="E372" s="77">
        <v>28</v>
      </c>
      <c r="F372" s="77">
        <v>0</v>
      </c>
      <c r="G372" s="77">
        <v>0</v>
      </c>
      <c r="H372" s="77">
        <v>28</v>
      </c>
      <c r="I372" s="77">
        <v>62</v>
      </c>
      <c r="J372" s="77">
        <v>6</v>
      </c>
    </row>
    <row r="373" spans="1:10" x14ac:dyDescent="0.25">
      <c r="A373" s="36" t="s">
        <v>107</v>
      </c>
      <c r="B373" s="36" t="s">
        <v>169</v>
      </c>
      <c r="C373" s="6">
        <f t="shared" si="5"/>
        <v>12</v>
      </c>
      <c r="D373" s="75">
        <v>6</v>
      </c>
      <c r="E373" s="75">
        <v>13</v>
      </c>
      <c r="F373" s="75">
        <v>0</v>
      </c>
      <c r="G373" s="75">
        <v>0</v>
      </c>
      <c r="H373" s="75">
        <v>0</v>
      </c>
      <c r="I373" s="75">
        <v>0</v>
      </c>
      <c r="J373" s="75">
        <v>9</v>
      </c>
    </row>
    <row r="374" spans="1:10" x14ac:dyDescent="0.25">
      <c r="A374" s="35" t="s">
        <v>89</v>
      </c>
      <c r="B374" s="35" t="s">
        <v>158</v>
      </c>
      <c r="C374" s="6">
        <f t="shared" si="5"/>
        <v>1</v>
      </c>
      <c r="D374" s="77">
        <v>0</v>
      </c>
      <c r="E374" s="77">
        <v>0</v>
      </c>
      <c r="F374" s="77">
        <v>0</v>
      </c>
      <c r="G374" s="77">
        <v>0</v>
      </c>
      <c r="H374" s="77">
        <v>0</v>
      </c>
      <c r="I374" s="77">
        <v>0</v>
      </c>
      <c r="J374" s="77">
        <v>0</v>
      </c>
    </row>
    <row r="375" spans="1:10" x14ac:dyDescent="0.25">
      <c r="A375" s="36" t="s">
        <v>89</v>
      </c>
      <c r="B375" s="36" t="s">
        <v>159</v>
      </c>
      <c r="C375" s="6">
        <f t="shared" si="5"/>
        <v>2</v>
      </c>
      <c r="D375" s="75">
        <v>0</v>
      </c>
      <c r="E375" s="75">
        <v>0</v>
      </c>
      <c r="F375" s="75">
        <v>0</v>
      </c>
      <c r="G375" s="75">
        <v>0</v>
      </c>
      <c r="H375" s="75">
        <v>0</v>
      </c>
      <c r="I375" s="75">
        <v>0</v>
      </c>
      <c r="J375" s="75">
        <v>0</v>
      </c>
    </row>
    <row r="376" spans="1:10" x14ac:dyDescent="0.25">
      <c r="A376" s="35" t="s">
        <v>89</v>
      </c>
      <c r="B376" s="35" t="s">
        <v>160</v>
      </c>
      <c r="C376" s="6">
        <f t="shared" si="5"/>
        <v>3</v>
      </c>
      <c r="D376" s="77">
        <v>0</v>
      </c>
      <c r="E376" s="77">
        <v>0</v>
      </c>
      <c r="F376" s="77">
        <v>0</v>
      </c>
      <c r="G376" s="77">
        <v>0</v>
      </c>
      <c r="H376" s="77">
        <v>0</v>
      </c>
      <c r="I376" s="77">
        <v>0</v>
      </c>
      <c r="J376" s="77">
        <v>0</v>
      </c>
    </row>
    <row r="377" spans="1:10" x14ac:dyDescent="0.25">
      <c r="A377" s="36" t="s">
        <v>89</v>
      </c>
      <c r="B377" s="36" t="s">
        <v>161</v>
      </c>
      <c r="C377" s="6">
        <f t="shared" si="5"/>
        <v>4</v>
      </c>
      <c r="D377" s="75">
        <v>0</v>
      </c>
      <c r="E377" s="75">
        <v>0</v>
      </c>
      <c r="F377" s="75">
        <v>0</v>
      </c>
      <c r="G377" s="75">
        <v>0</v>
      </c>
      <c r="H377" s="75">
        <v>0</v>
      </c>
      <c r="I377" s="75">
        <v>0</v>
      </c>
      <c r="J377" s="75">
        <v>0</v>
      </c>
    </row>
    <row r="378" spans="1:10" x14ac:dyDescent="0.25">
      <c r="A378" s="35" t="s">
        <v>89</v>
      </c>
      <c r="B378" s="35" t="s">
        <v>162</v>
      </c>
      <c r="C378" s="6">
        <f t="shared" si="5"/>
        <v>5</v>
      </c>
      <c r="D378" s="77">
        <v>0</v>
      </c>
      <c r="E378" s="77">
        <v>0</v>
      </c>
      <c r="F378" s="77">
        <v>0</v>
      </c>
      <c r="G378" s="77">
        <v>0</v>
      </c>
      <c r="H378" s="77">
        <v>0</v>
      </c>
      <c r="I378" s="77">
        <v>0</v>
      </c>
      <c r="J378" s="77">
        <v>0</v>
      </c>
    </row>
    <row r="379" spans="1:10" x14ac:dyDescent="0.25">
      <c r="A379" s="36" t="s">
        <v>89</v>
      </c>
      <c r="B379" s="36" t="s">
        <v>163</v>
      </c>
      <c r="C379" s="6">
        <f t="shared" si="5"/>
        <v>6</v>
      </c>
      <c r="D379" s="75">
        <v>0</v>
      </c>
      <c r="E379" s="75">
        <v>0</v>
      </c>
      <c r="F379" s="75">
        <v>0</v>
      </c>
      <c r="G379" s="75">
        <v>0</v>
      </c>
      <c r="H379" s="75">
        <v>0</v>
      </c>
      <c r="I379" s="75">
        <v>0</v>
      </c>
      <c r="J379" s="75">
        <v>0</v>
      </c>
    </row>
    <row r="380" spans="1:10" x14ac:dyDescent="0.25">
      <c r="A380" s="35" t="s">
        <v>89</v>
      </c>
      <c r="B380" s="35" t="s">
        <v>164</v>
      </c>
      <c r="C380" s="6">
        <f t="shared" si="5"/>
        <v>7</v>
      </c>
      <c r="D380" s="77">
        <v>0</v>
      </c>
      <c r="E380" s="77">
        <v>0</v>
      </c>
      <c r="F380" s="77">
        <v>0</v>
      </c>
      <c r="G380" s="77">
        <v>0</v>
      </c>
      <c r="H380" s="77">
        <v>0</v>
      </c>
      <c r="I380" s="77">
        <v>0</v>
      </c>
      <c r="J380" s="77">
        <v>0</v>
      </c>
    </row>
    <row r="381" spans="1:10" x14ac:dyDescent="0.25">
      <c r="A381" s="36" t="s">
        <v>89</v>
      </c>
      <c r="B381" s="36" t="s">
        <v>165</v>
      </c>
      <c r="C381" s="6">
        <f t="shared" si="5"/>
        <v>8</v>
      </c>
      <c r="D381" s="75">
        <v>0</v>
      </c>
      <c r="E381" s="75">
        <v>0</v>
      </c>
      <c r="F381" s="75">
        <v>0</v>
      </c>
      <c r="G381" s="75">
        <v>0</v>
      </c>
      <c r="H381" s="75">
        <v>0</v>
      </c>
      <c r="I381" s="75">
        <v>0</v>
      </c>
      <c r="J381" s="75">
        <v>0</v>
      </c>
    </row>
    <row r="382" spans="1:10" x14ac:dyDescent="0.25">
      <c r="A382" s="35" t="s">
        <v>89</v>
      </c>
      <c r="B382" s="35" t="s">
        <v>166</v>
      </c>
      <c r="C382" s="6">
        <f t="shared" si="5"/>
        <v>9</v>
      </c>
      <c r="D382" s="77">
        <v>4</v>
      </c>
      <c r="E382" s="77">
        <v>19</v>
      </c>
      <c r="F382" s="77">
        <v>0</v>
      </c>
      <c r="G382" s="77">
        <v>0</v>
      </c>
      <c r="H382" s="77">
        <v>12</v>
      </c>
      <c r="I382" s="77">
        <v>57</v>
      </c>
      <c r="J382" s="77">
        <v>1</v>
      </c>
    </row>
    <row r="383" spans="1:10" x14ac:dyDescent="0.25">
      <c r="A383" s="36" t="s">
        <v>89</v>
      </c>
      <c r="B383" s="36" t="s">
        <v>167</v>
      </c>
      <c r="C383" s="6">
        <f t="shared" si="5"/>
        <v>10</v>
      </c>
      <c r="D383" s="75">
        <v>2</v>
      </c>
      <c r="E383" s="75">
        <v>9</v>
      </c>
      <c r="F383" s="75">
        <v>0</v>
      </c>
      <c r="G383" s="75">
        <v>0</v>
      </c>
      <c r="H383" s="75">
        <v>0</v>
      </c>
      <c r="I383" s="75">
        <v>0</v>
      </c>
      <c r="J383" s="75">
        <v>1</v>
      </c>
    </row>
    <row r="384" spans="1:10" x14ac:dyDescent="0.25">
      <c r="A384" s="35" t="s">
        <v>89</v>
      </c>
      <c r="B384" s="35" t="s">
        <v>168</v>
      </c>
      <c r="C384" s="6">
        <f t="shared" si="5"/>
        <v>11</v>
      </c>
      <c r="D384" s="77">
        <v>8</v>
      </c>
      <c r="E384" s="77">
        <v>38</v>
      </c>
      <c r="F384" s="77">
        <v>1</v>
      </c>
      <c r="G384" s="77">
        <v>1</v>
      </c>
      <c r="H384" s="77">
        <v>0</v>
      </c>
      <c r="I384" s="77">
        <v>0</v>
      </c>
      <c r="J384" s="77">
        <v>3</v>
      </c>
    </row>
    <row r="385" spans="1:10" x14ac:dyDescent="0.25">
      <c r="A385" s="36" t="s">
        <v>89</v>
      </c>
      <c r="B385" s="36" t="s">
        <v>169</v>
      </c>
      <c r="C385" s="6">
        <f t="shared" si="5"/>
        <v>12</v>
      </c>
      <c r="D385" s="75">
        <v>4</v>
      </c>
      <c r="E385" s="75">
        <v>19</v>
      </c>
      <c r="F385" s="75">
        <v>0</v>
      </c>
      <c r="G385" s="75">
        <v>0</v>
      </c>
      <c r="H385" s="75">
        <v>0</v>
      </c>
      <c r="I385" s="75">
        <v>0</v>
      </c>
      <c r="J385" s="75">
        <v>1</v>
      </c>
    </row>
    <row r="386" spans="1:10" x14ac:dyDescent="0.25">
      <c r="A386" s="35" t="s">
        <v>127</v>
      </c>
      <c r="B386" s="35" t="s">
        <v>158</v>
      </c>
      <c r="C386" s="6">
        <f t="shared" ref="C386:C449" si="6">_xlfn.IFS(B386="Janeiro",1,B386="Fevereiro",2,B386="Março",3,B386="Abril",4,B386="Maio",5,B386="Junho",6,B386="Julho",7,B386="Agosto",8,B386="Setembro",9,B386="Outubro",10,B386="Novembro",11,B386="Dezembro",12,TRUE,0)</f>
        <v>1</v>
      </c>
      <c r="D386" s="77">
        <v>12</v>
      </c>
      <c r="E386" s="77">
        <v>52</v>
      </c>
      <c r="F386" s="77">
        <v>0</v>
      </c>
      <c r="G386" s="77">
        <v>0</v>
      </c>
      <c r="H386" s="77">
        <v>0</v>
      </c>
      <c r="I386" s="77">
        <v>0</v>
      </c>
      <c r="J386" s="77">
        <v>1</v>
      </c>
    </row>
    <row r="387" spans="1:10" x14ac:dyDescent="0.25">
      <c r="A387" s="36" t="s">
        <v>127</v>
      </c>
      <c r="B387" s="36" t="s">
        <v>159</v>
      </c>
      <c r="C387" s="6">
        <f t="shared" si="6"/>
        <v>2</v>
      </c>
      <c r="D387" s="75">
        <v>0</v>
      </c>
      <c r="E387" s="75">
        <v>0</v>
      </c>
      <c r="F387" s="75">
        <v>0</v>
      </c>
      <c r="G387" s="75">
        <v>0</v>
      </c>
      <c r="H387" s="75">
        <v>0</v>
      </c>
      <c r="I387" s="75">
        <v>0</v>
      </c>
      <c r="J387" s="75">
        <v>0</v>
      </c>
    </row>
    <row r="388" spans="1:10" x14ac:dyDescent="0.25">
      <c r="A388" s="35" t="s">
        <v>127</v>
      </c>
      <c r="B388" s="35" t="s">
        <v>160</v>
      </c>
      <c r="C388" s="6">
        <f t="shared" si="6"/>
        <v>3</v>
      </c>
      <c r="D388" s="77">
        <v>0</v>
      </c>
      <c r="E388" s="77">
        <v>0</v>
      </c>
      <c r="F388" s="77">
        <v>0</v>
      </c>
      <c r="G388" s="77">
        <v>0</v>
      </c>
      <c r="H388" s="77">
        <v>0</v>
      </c>
      <c r="I388" s="77">
        <v>0</v>
      </c>
      <c r="J388" s="77">
        <v>0</v>
      </c>
    </row>
    <row r="389" spans="1:10" x14ac:dyDescent="0.25">
      <c r="A389" s="36" t="s">
        <v>127</v>
      </c>
      <c r="B389" s="36" t="s">
        <v>161</v>
      </c>
      <c r="C389" s="6">
        <f t="shared" si="6"/>
        <v>4</v>
      </c>
      <c r="D389" s="75">
        <v>10</v>
      </c>
      <c r="E389" s="75">
        <v>43</v>
      </c>
      <c r="F389" s="75">
        <v>0</v>
      </c>
      <c r="G389" s="75">
        <v>0</v>
      </c>
      <c r="H389" s="75">
        <v>0</v>
      </c>
      <c r="I389" s="75">
        <v>0</v>
      </c>
      <c r="J389" s="75">
        <v>2</v>
      </c>
    </row>
    <row r="390" spans="1:10" x14ac:dyDescent="0.25">
      <c r="A390" s="35" t="s">
        <v>127</v>
      </c>
      <c r="B390" s="35" t="s">
        <v>162</v>
      </c>
      <c r="C390" s="6">
        <f t="shared" si="6"/>
        <v>5</v>
      </c>
      <c r="D390" s="77">
        <v>0</v>
      </c>
      <c r="E390" s="77">
        <v>0</v>
      </c>
      <c r="F390" s="77">
        <v>0</v>
      </c>
      <c r="G390" s="77">
        <v>0</v>
      </c>
      <c r="H390" s="77">
        <v>0</v>
      </c>
      <c r="I390" s="77">
        <v>0</v>
      </c>
      <c r="J390" s="77">
        <v>0</v>
      </c>
    </row>
    <row r="391" spans="1:10" x14ac:dyDescent="0.25">
      <c r="A391" s="36" t="s">
        <v>127</v>
      </c>
      <c r="B391" s="36" t="s">
        <v>163</v>
      </c>
      <c r="C391" s="6">
        <f t="shared" si="6"/>
        <v>6</v>
      </c>
      <c r="D391" s="75">
        <v>3</v>
      </c>
      <c r="E391" s="75">
        <v>13</v>
      </c>
      <c r="F391" s="75">
        <v>0</v>
      </c>
      <c r="G391" s="75">
        <v>0</v>
      </c>
      <c r="H391" s="75">
        <v>0</v>
      </c>
      <c r="I391" s="75">
        <v>0</v>
      </c>
      <c r="J391" s="75">
        <v>1</v>
      </c>
    </row>
    <row r="392" spans="1:10" x14ac:dyDescent="0.25">
      <c r="A392" s="35" t="s">
        <v>127</v>
      </c>
      <c r="B392" s="35" t="s">
        <v>164</v>
      </c>
      <c r="C392" s="6">
        <f t="shared" si="6"/>
        <v>7</v>
      </c>
      <c r="D392" s="77">
        <v>0</v>
      </c>
      <c r="E392" s="77">
        <v>0</v>
      </c>
      <c r="F392" s="77">
        <v>0</v>
      </c>
      <c r="G392" s="77">
        <v>0</v>
      </c>
      <c r="H392" s="77">
        <v>0</v>
      </c>
      <c r="I392" s="77">
        <v>0</v>
      </c>
      <c r="J392" s="77">
        <v>0</v>
      </c>
    </row>
    <row r="393" spans="1:10" x14ac:dyDescent="0.25">
      <c r="A393" s="36" t="s">
        <v>127</v>
      </c>
      <c r="B393" s="36" t="s">
        <v>165</v>
      </c>
      <c r="C393" s="6">
        <f t="shared" si="6"/>
        <v>8</v>
      </c>
      <c r="D393" s="75">
        <v>3</v>
      </c>
      <c r="E393" s="75">
        <v>13</v>
      </c>
      <c r="F393" s="75">
        <v>0</v>
      </c>
      <c r="G393" s="75">
        <v>0</v>
      </c>
      <c r="H393" s="75">
        <v>0</v>
      </c>
      <c r="I393" s="75">
        <v>0</v>
      </c>
      <c r="J393" s="75">
        <v>1</v>
      </c>
    </row>
    <row r="394" spans="1:10" x14ac:dyDescent="0.25">
      <c r="A394" s="35" t="s">
        <v>127</v>
      </c>
      <c r="B394" s="35" t="s">
        <v>166</v>
      </c>
      <c r="C394" s="6">
        <f t="shared" si="6"/>
        <v>9</v>
      </c>
      <c r="D394" s="77">
        <v>0</v>
      </c>
      <c r="E394" s="77">
        <v>0</v>
      </c>
      <c r="F394" s="77">
        <v>0</v>
      </c>
      <c r="G394" s="77">
        <v>0</v>
      </c>
      <c r="H394" s="77">
        <v>9</v>
      </c>
      <c r="I394" s="77">
        <v>39</v>
      </c>
      <c r="J394" s="77">
        <v>0</v>
      </c>
    </row>
    <row r="395" spans="1:10" x14ac:dyDescent="0.25">
      <c r="A395" s="36" t="s">
        <v>127</v>
      </c>
      <c r="B395" s="36" t="s">
        <v>167</v>
      </c>
      <c r="C395" s="6">
        <f t="shared" si="6"/>
        <v>10</v>
      </c>
      <c r="D395" s="75">
        <v>0</v>
      </c>
      <c r="E395" s="75">
        <v>0</v>
      </c>
      <c r="F395" s="75">
        <v>1</v>
      </c>
      <c r="G395" s="75">
        <v>0</v>
      </c>
      <c r="H395" s="75">
        <v>7</v>
      </c>
      <c r="I395" s="75">
        <v>30</v>
      </c>
      <c r="J395" s="75">
        <v>0</v>
      </c>
    </row>
    <row r="396" spans="1:10" x14ac:dyDescent="0.25">
      <c r="A396" s="35" t="s">
        <v>127</v>
      </c>
      <c r="B396" s="35" t="s">
        <v>168</v>
      </c>
      <c r="C396" s="6">
        <f t="shared" si="6"/>
        <v>11</v>
      </c>
      <c r="D396" s="77">
        <v>0</v>
      </c>
      <c r="E396" s="77">
        <v>0</v>
      </c>
      <c r="F396" s="77">
        <v>0</v>
      </c>
      <c r="G396" s="77">
        <v>0</v>
      </c>
      <c r="H396" s="77">
        <v>0</v>
      </c>
      <c r="I396" s="77">
        <v>0</v>
      </c>
      <c r="J396" s="77">
        <v>0</v>
      </c>
    </row>
    <row r="397" spans="1:10" x14ac:dyDescent="0.25">
      <c r="A397" s="36" t="s">
        <v>127</v>
      </c>
      <c r="B397" s="36" t="s">
        <v>169</v>
      </c>
      <c r="C397" s="6">
        <f t="shared" si="6"/>
        <v>12</v>
      </c>
      <c r="D397" s="75">
        <v>8</v>
      </c>
      <c r="E397" s="75">
        <v>34</v>
      </c>
      <c r="F397" s="75">
        <v>0</v>
      </c>
      <c r="G397" s="75">
        <v>0</v>
      </c>
      <c r="H397" s="75">
        <v>0</v>
      </c>
      <c r="I397" s="75">
        <v>0</v>
      </c>
      <c r="J397" s="75">
        <v>2</v>
      </c>
    </row>
    <row r="398" spans="1:10" x14ac:dyDescent="0.25">
      <c r="A398" s="35" t="s">
        <v>122</v>
      </c>
      <c r="B398" s="35" t="s">
        <v>158</v>
      </c>
      <c r="C398" s="6">
        <f t="shared" si="6"/>
        <v>1</v>
      </c>
      <c r="D398" s="77">
        <v>0</v>
      </c>
      <c r="E398" s="77">
        <v>0</v>
      </c>
      <c r="F398" s="77">
        <v>0</v>
      </c>
      <c r="G398" s="77">
        <v>0</v>
      </c>
      <c r="H398" s="77">
        <v>0</v>
      </c>
      <c r="I398" s="77">
        <v>0</v>
      </c>
      <c r="J398" s="77">
        <v>0</v>
      </c>
    </row>
    <row r="399" spans="1:10" x14ac:dyDescent="0.25">
      <c r="A399" s="36" t="s">
        <v>122</v>
      </c>
      <c r="B399" s="36" t="s">
        <v>159</v>
      </c>
      <c r="C399" s="6">
        <f t="shared" si="6"/>
        <v>2</v>
      </c>
      <c r="D399" s="75">
        <v>0</v>
      </c>
      <c r="E399" s="75">
        <v>0</v>
      </c>
      <c r="F399" s="75">
        <v>0</v>
      </c>
      <c r="G399" s="75">
        <v>0</v>
      </c>
      <c r="H399" s="75">
        <v>0</v>
      </c>
      <c r="I399" s="75">
        <v>0</v>
      </c>
      <c r="J399" s="75">
        <v>0</v>
      </c>
    </row>
    <row r="400" spans="1:10" x14ac:dyDescent="0.25">
      <c r="A400" s="35" t="s">
        <v>122</v>
      </c>
      <c r="B400" s="35" t="s">
        <v>160</v>
      </c>
      <c r="C400" s="6">
        <f t="shared" si="6"/>
        <v>3</v>
      </c>
      <c r="D400" s="77">
        <v>0</v>
      </c>
      <c r="E400" s="77">
        <v>0</v>
      </c>
      <c r="F400" s="77">
        <v>0</v>
      </c>
      <c r="G400" s="77">
        <v>0</v>
      </c>
      <c r="H400" s="77">
        <v>5</v>
      </c>
      <c r="I400" s="77">
        <v>29</v>
      </c>
      <c r="J400" s="77">
        <v>0</v>
      </c>
    </row>
    <row r="401" spans="1:10" x14ac:dyDescent="0.25">
      <c r="A401" s="36" t="s">
        <v>122</v>
      </c>
      <c r="B401" s="36" t="s">
        <v>161</v>
      </c>
      <c r="C401" s="6">
        <f t="shared" si="6"/>
        <v>4</v>
      </c>
      <c r="D401" s="75">
        <v>7</v>
      </c>
      <c r="E401" s="75">
        <v>41</v>
      </c>
      <c r="F401" s="75">
        <v>0</v>
      </c>
      <c r="G401" s="75">
        <v>0</v>
      </c>
      <c r="H401" s="75">
        <v>0</v>
      </c>
      <c r="I401" s="75">
        <v>0</v>
      </c>
      <c r="J401" s="75">
        <v>3</v>
      </c>
    </row>
    <row r="402" spans="1:10" x14ac:dyDescent="0.25">
      <c r="A402" s="35" t="s">
        <v>122</v>
      </c>
      <c r="B402" s="35" t="s">
        <v>162</v>
      </c>
      <c r="C402" s="6">
        <f t="shared" si="6"/>
        <v>5</v>
      </c>
      <c r="D402" s="77">
        <v>0</v>
      </c>
      <c r="E402" s="77">
        <v>0</v>
      </c>
      <c r="F402" s="77">
        <v>0</v>
      </c>
      <c r="G402" s="77">
        <v>0</v>
      </c>
      <c r="H402" s="77">
        <v>0</v>
      </c>
      <c r="I402" s="77">
        <v>0</v>
      </c>
      <c r="J402" s="77">
        <v>0</v>
      </c>
    </row>
    <row r="403" spans="1:10" x14ac:dyDescent="0.25">
      <c r="A403" s="36" t="s">
        <v>122</v>
      </c>
      <c r="B403" s="36" t="s">
        <v>163</v>
      </c>
      <c r="C403" s="6">
        <f t="shared" si="6"/>
        <v>6</v>
      </c>
      <c r="D403" s="75">
        <v>0</v>
      </c>
      <c r="E403" s="75">
        <v>0</v>
      </c>
      <c r="F403" s="75">
        <v>0</v>
      </c>
      <c r="G403" s="75">
        <v>0</v>
      </c>
      <c r="H403" s="75">
        <v>9</v>
      </c>
      <c r="I403" s="75">
        <v>52</v>
      </c>
      <c r="J403" s="75">
        <v>0</v>
      </c>
    </row>
    <row r="404" spans="1:10" x14ac:dyDescent="0.25">
      <c r="A404" s="35" t="s">
        <v>122</v>
      </c>
      <c r="B404" s="35" t="s">
        <v>164</v>
      </c>
      <c r="C404" s="6">
        <f t="shared" si="6"/>
        <v>7</v>
      </c>
      <c r="D404" s="77">
        <v>0</v>
      </c>
      <c r="E404" s="77">
        <v>0</v>
      </c>
      <c r="F404" s="77">
        <v>0</v>
      </c>
      <c r="G404" s="77">
        <v>0</v>
      </c>
      <c r="H404" s="77">
        <v>0</v>
      </c>
      <c r="I404" s="77">
        <v>0</v>
      </c>
      <c r="J404" s="77">
        <v>0</v>
      </c>
    </row>
    <row r="405" spans="1:10" x14ac:dyDescent="0.25">
      <c r="A405" s="36" t="s">
        <v>122</v>
      </c>
      <c r="B405" s="36" t="s">
        <v>165</v>
      </c>
      <c r="C405" s="6">
        <f t="shared" si="6"/>
        <v>8</v>
      </c>
      <c r="D405" s="75">
        <v>0</v>
      </c>
      <c r="E405" s="75">
        <v>0</v>
      </c>
      <c r="F405" s="75">
        <v>0</v>
      </c>
      <c r="G405" s="75">
        <v>0</v>
      </c>
      <c r="H405" s="75">
        <v>0</v>
      </c>
      <c r="I405" s="75">
        <v>0</v>
      </c>
      <c r="J405" s="75">
        <v>0</v>
      </c>
    </row>
    <row r="406" spans="1:10" x14ac:dyDescent="0.25">
      <c r="A406" s="35" t="s">
        <v>122</v>
      </c>
      <c r="B406" s="35" t="s">
        <v>166</v>
      </c>
      <c r="C406" s="6">
        <f t="shared" si="6"/>
        <v>9</v>
      </c>
      <c r="D406" s="77">
        <v>0</v>
      </c>
      <c r="E406" s="77">
        <v>0</v>
      </c>
      <c r="F406" s="77">
        <v>0</v>
      </c>
      <c r="G406" s="77">
        <v>0</v>
      </c>
      <c r="H406" s="77">
        <v>0</v>
      </c>
      <c r="I406" s="77">
        <v>0</v>
      </c>
      <c r="J406" s="77">
        <v>0</v>
      </c>
    </row>
    <row r="407" spans="1:10" x14ac:dyDescent="0.25">
      <c r="A407" s="36" t="s">
        <v>122</v>
      </c>
      <c r="B407" s="36" t="s">
        <v>167</v>
      </c>
      <c r="C407" s="6">
        <f t="shared" si="6"/>
        <v>10</v>
      </c>
      <c r="D407" s="75">
        <v>0</v>
      </c>
      <c r="E407" s="75">
        <v>0</v>
      </c>
      <c r="F407" s="75">
        <v>0</v>
      </c>
      <c r="G407" s="75">
        <v>0</v>
      </c>
      <c r="H407" s="75">
        <v>0</v>
      </c>
      <c r="I407" s="75">
        <v>0</v>
      </c>
      <c r="J407" s="75">
        <v>0</v>
      </c>
    </row>
    <row r="408" spans="1:10" x14ac:dyDescent="0.25">
      <c r="A408" s="35" t="s">
        <v>122</v>
      </c>
      <c r="B408" s="35" t="s">
        <v>168</v>
      </c>
      <c r="C408" s="6">
        <f t="shared" si="6"/>
        <v>11</v>
      </c>
      <c r="D408" s="77">
        <v>2</v>
      </c>
      <c r="E408" s="77">
        <v>11</v>
      </c>
      <c r="F408" s="77">
        <v>0</v>
      </c>
      <c r="G408" s="77">
        <v>0</v>
      </c>
      <c r="H408" s="77">
        <v>11</v>
      </c>
      <c r="I408" s="77">
        <v>64</v>
      </c>
      <c r="J408" s="77">
        <v>1</v>
      </c>
    </row>
    <row r="409" spans="1:10" x14ac:dyDescent="0.25">
      <c r="A409" s="36" t="s">
        <v>122</v>
      </c>
      <c r="B409" s="36" t="s">
        <v>169</v>
      </c>
      <c r="C409" s="6">
        <f t="shared" si="6"/>
        <v>12</v>
      </c>
      <c r="D409" s="75">
        <v>2</v>
      </c>
      <c r="E409" s="75">
        <v>11</v>
      </c>
      <c r="F409" s="75">
        <v>0</v>
      </c>
      <c r="G409" s="75">
        <v>0</v>
      </c>
      <c r="H409" s="75">
        <v>0</v>
      </c>
      <c r="I409" s="75">
        <v>0</v>
      </c>
      <c r="J409" s="75">
        <v>1</v>
      </c>
    </row>
    <row r="410" spans="1:10" x14ac:dyDescent="0.25">
      <c r="A410" s="35" t="s">
        <v>90</v>
      </c>
      <c r="B410" s="35" t="s">
        <v>158</v>
      </c>
      <c r="C410" s="6">
        <f t="shared" si="6"/>
        <v>1</v>
      </c>
      <c r="D410" s="77">
        <v>0</v>
      </c>
      <c r="E410" s="77">
        <v>0</v>
      </c>
      <c r="F410" s="77">
        <v>0</v>
      </c>
      <c r="G410" s="77">
        <v>0</v>
      </c>
      <c r="H410" s="77">
        <v>0</v>
      </c>
      <c r="I410" s="77">
        <v>0</v>
      </c>
      <c r="J410" s="77">
        <v>0</v>
      </c>
    </row>
    <row r="411" spans="1:10" x14ac:dyDescent="0.25">
      <c r="A411" s="36" t="s">
        <v>90</v>
      </c>
      <c r="B411" s="36" t="s">
        <v>159</v>
      </c>
      <c r="C411" s="6">
        <f t="shared" si="6"/>
        <v>2</v>
      </c>
      <c r="D411" s="75">
        <v>0</v>
      </c>
      <c r="E411" s="75">
        <v>0</v>
      </c>
      <c r="F411" s="75">
        <v>0</v>
      </c>
      <c r="G411" s="75">
        <v>0</v>
      </c>
      <c r="H411" s="75">
        <v>0</v>
      </c>
      <c r="I411" s="75">
        <v>0</v>
      </c>
      <c r="J411" s="75">
        <v>0</v>
      </c>
    </row>
    <row r="412" spans="1:10" x14ac:dyDescent="0.25">
      <c r="A412" s="35" t="s">
        <v>90</v>
      </c>
      <c r="B412" s="35" t="s">
        <v>160</v>
      </c>
      <c r="C412" s="6">
        <f t="shared" si="6"/>
        <v>3</v>
      </c>
      <c r="D412" s="77">
        <v>0</v>
      </c>
      <c r="E412" s="77">
        <v>0</v>
      </c>
      <c r="F412" s="77">
        <v>0</v>
      </c>
      <c r="G412" s="77">
        <v>0</v>
      </c>
      <c r="H412" s="77">
        <v>0</v>
      </c>
      <c r="I412" s="77">
        <v>0</v>
      </c>
      <c r="J412" s="77">
        <v>0</v>
      </c>
    </row>
    <row r="413" spans="1:10" x14ac:dyDescent="0.25">
      <c r="A413" s="36" t="s">
        <v>90</v>
      </c>
      <c r="B413" s="36" t="s">
        <v>161</v>
      </c>
      <c r="C413" s="6">
        <f t="shared" si="6"/>
        <v>4</v>
      </c>
      <c r="D413" s="75">
        <v>0</v>
      </c>
      <c r="E413" s="75">
        <v>0</v>
      </c>
      <c r="F413" s="75">
        <v>0</v>
      </c>
      <c r="G413" s="75">
        <v>0</v>
      </c>
      <c r="H413" s="75">
        <v>0</v>
      </c>
      <c r="I413" s="75">
        <v>0</v>
      </c>
      <c r="J413" s="75">
        <v>0</v>
      </c>
    </row>
    <row r="414" spans="1:10" x14ac:dyDescent="0.25">
      <c r="A414" s="35" t="s">
        <v>90</v>
      </c>
      <c r="B414" s="35" t="s">
        <v>162</v>
      </c>
      <c r="C414" s="6">
        <f t="shared" si="6"/>
        <v>5</v>
      </c>
      <c r="D414" s="77">
        <v>0</v>
      </c>
      <c r="E414" s="77">
        <v>0</v>
      </c>
      <c r="F414" s="77">
        <v>0</v>
      </c>
      <c r="G414" s="77">
        <v>0</v>
      </c>
      <c r="H414" s="77">
        <v>0</v>
      </c>
      <c r="I414" s="77">
        <v>0</v>
      </c>
      <c r="J414" s="77">
        <v>0</v>
      </c>
    </row>
    <row r="415" spans="1:10" x14ac:dyDescent="0.25">
      <c r="A415" s="36" t="s">
        <v>90</v>
      </c>
      <c r="B415" s="36" t="s">
        <v>163</v>
      </c>
      <c r="C415" s="6">
        <f t="shared" si="6"/>
        <v>6</v>
      </c>
      <c r="D415" s="75">
        <v>0</v>
      </c>
      <c r="E415" s="75">
        <v>0</v>
      </c>
      <c r="F415" s="75">
        <v>0</v>
      </c>
      <c r="G415" s="75">
        <v>0</v>
      </c>
      <c r="H415" s="75">
        <v>0</v>
      </c>
      <c r="I415" s="75">
        <v>0</v>
      </c>
      <c r="J415" s="75">
        <v>0</v>
      </c>
    </row>
    <row r="416" spans="1:10" x14ac:dyDescent="0.25">
      <c r="A416" s="35" t="s">
        <v>90</v>
      </c>
      <c r="B416" s="35" t="s">
        <v>164</v>
      </c>
      <c r="C416" s="6">
        <f t="shared" si="6"/>
        <v>7</v>
      </c>
      <c r="D416" s="77">
        <v>0</v>
      </c>
      <c r="E416" s="77">
        <v>0</v>
      </c>
      <c r="F416" s="77">
        <v>0</v>
      </c>
      <c r="G416" s="77">
        <v>0</v>
      </c>
      <c r="H416" s="77">
        <v>0</v>
      </c>
      <c r="I416" s="77">
        <v>0</v>
      </c>
      <c r="J416" s="77">
        <v>0</v>
      </c>
    </row>
    <row r="417" spans="1:10" x14ac:dyDescent="0.25">
      <c r="A417" s="36" t="s">
        <v>90</v>
      </c>
      <c r="B417" s="36" t="s">
        <v>165</v>
      </c>
      <c r="C417" s="6">
        <f t="shared" si="6"/>
        <v>8</v>
      </c>
      <c r="D417" s="75">
        <v>0</v>
      </c>
      <c r="E417" s="75">
        <v>0</v>
      </c>
      <c r="F417" s="75">
        <v>0</v>
      </c>
      <c r="G417" s="75">
        <v>0</v>
      </c>
      <c r="H417" s="75">
        <v>0</v>
      </c>
      <c r="I417" s="75">
        <v>0</v>
      </c>
      <c r="J417" s="75">
        <v>0</v>
      </c>
    </row>
    <row r="418" spans="1:10" x14ac:dyDescent="0.25">
      <c r="A418" s="35" t="s">
        <v>90</v>
      </c>
      <c r="B418" s="35" t="s">
        <v>166</v>
      </c>
      <c r="C418" s="6">
        <f t="shared" si="6"/>
        <v>9</v>
      </c>
      <c r="D418" s="77">
        <v>0</v>
      </c>
      <c r="E418" s="77">
        <v>0</v>
      </c>
      <c r="F418" s="77">
        <v>0</v>
      </c>
      <c r="G418" s="77">
        <v>0</v>
      </c>
      <c r="H418" s="77">
        <v>0</v>
      </c>
      <c r="I418" s="77">
        <v>0</v>
      </c>
      <c r="J418" s="77">
        <v>0</v>
      </c>
    </row>
    <row r="419" spans="1:10" x14ac:dyDescent="0.25">
      <c r="A419" s="36" t="s">
        <v>90</v>
      </c>
      <c r="B419" s="36" t="s">
        <v>167</v>
      </c>
      <c r="C419" s="6">
        <f t="shared" si="6"/>
        <v>10</v>
      </c>
      <c r="D419" s="75">
        <v>0</v>
      </c>
      <c r="E419" s="75">
        <v>0</v>
      </c>
      <c r="F419" s="75">
        <v>0</v>
      </c>
      <c r="G419" s="75">
        <v>0</v>
      </c>
      <c r="H419" s="75">
        <v>0</v>
      </c>
      <c r="I419" s="75">
        <v>0</v>
      </c>
      <c r="J419" s="75">
        <v>0</v>
      </c>
    </row>
    <row r="420" spans="1:10" x14ac:dyDescent="0.25">
      <c r="A420" s="35" t="s">
        <v>90</v>
      </c>
      <c r="B420" s="35" t="s">
        <v>168</v>
      </c>
      <c r="C420" s="6">
        <f t="shared" si="6"/>
        <v>11</v>
      </c>
      <c r="D420" s="77">
        <v>0</v>
      </c>
      <c r="E420" s="77">
        <v>0</v>
      </c>
      <c r="F420" s="77">
        <v>0</v>
      </c>
      <c r="G420" s="77">
        <v>0</v>
      </c>
      <c r="H420" s="77">
        <v>0</v>
      </c>
      <c r="I420" s="77">
        <v>0</v>
      </c>
      <c r="J420" s="77">
        <v>0</v>
      </c>
    </row>
    <row r="421" spans="1:10" x14ac:dyDescent="0.25">
      <c r="A421" s="36" t="s">
        <v>90</v>
      </c>
      <c r="B421" s="36" t="s">
        <v>169</v>
      </c>
      <c r="C421" s="6">
        <f t="shared" si="6"/>
        <v>12</v>
      </c>
      <c r="D421" s="75">
        <v>0</v>
      </c>
      <c r="E421" s="75">
        <v>0</v>
      </c>
      <c r="F421" s="75">
        <v>0</v>
      </c>
      <c r="G421" s="75">
        <v>0</v>
      </c>
      <c r="H421" s="75">
        <v>0</v>
      </c>
      <c r="I421" s="75">
        <v>0</v>
      </c>
      <c r="J421" s="75">
        <v>0</v>
      </c>
    </row>
    <row r="422" spans="1:10" x14ac:dyDescent="0.25">
      <c r="A422" s="35" t="s">
        <v>106</v>
      </c>
      <c r="B422" s="35" t="s">
        <v>158</v>
      </c>
      <c r="C422" s="6">
        <f t="shared" si="6"/>
        <v>1</v>
      </c>
      <c r="D422" s="77">
        <v>0</v>
      </c>
      <c r="E422" s="77">
        <v>0</v>
      </c>
      <c r="F422" s="77">
        <v>0</v>
      </c>
      <c r="G422" s="77">
        <v>0</v>
      </c>
      <c r="H422" s="77">
        <v>0</v>
      </c>
      <c r="I422" s="77">
        <v>0</v>
      </c>
      <c r="J422" s="77">
        <v>0</v>
      </c>
    </row>
    <row r="423" spans="1:10" x14ac:dyDescent="0.25">
      <c r="A423" s="36" t="s">
        <v>106</v>
      </c>
      <c r="B423" s="36" t="s">
        <v>159</v>
      </c>
      <c r="C423" s="6">
        <f t="shared" si="6"/>
        <v>2</v>
      </c>
      <c r="D423" s="75">
        <v>0</v>
      </c>
      <c r="E423" s="75">
        <v>0</v>
      </c>
      <c r="F423" s="75">
        <v>0</v>
      </c>
      <c r="G423" s="75">
        <v>0</v>
      </c>
      <c r="H423" s="75">
        <v>0</v>
      </c>
      <c r="I423" s="75">
        <v>0</v>
      </c>
      <c r="J423" s="75">
        <v>0</v>
      </c>
    </row>
    <row r="424" spans="1:10" x14ac:dyDescent="0.25">
      <c r="A424" s="35" t="s">
        <v>106</v>
      </c>
      <c r="B424" s="35" t="s">
        <v>160</v>
      </c>
      <c r="C424" s="6">
        <f t="shared" si="6"/>
        <v>3</v>
      </c>
      <c r="D424" s="77">
        <v>0</v>
      </c>
      <c r="E424" s="77">
        <v>0</v>
      </c>
      <c r="F424" s="77">
        <v>0</v>
      </c>
      <c r="G424" s="77">
        <v>0</v>
      </c>
      <c r="H424" s="77">
        <v>0</v>
      </c>
      <c r="I424" s="77">
        <v>0</v>
      </c>
      <c r="J424" s="77">
        <v>0</v>
      </c>
    </row>
    <row r="425" spans="1:10" x14ac:dyDescent="0.25">
      <c r="A425" s="36" t="s">
        <v>106</v>
      </c>
      <c r="B425" s="36" t="s">
        <v>161</v>
      </c>
      <c r="C425" s="6">
        <f t="shared" si="6"/>
        <v>4</v>
      </c>
      <c r="D425" s="75">
        <v>0</v>
      </c>
      <c r="E425" s="75">
        <v>0</v>
      </c>
      <c r="F425" s="75">
        <v>0</v>
      </c>
      <c r="G425" s="75">
        <v>0</v>
      </c>
      <c r="H425" s="75">
        <v>0</v>
      </c>
      <c r="I425" s="75">
        <v>0</v>
      </c>
      <c r="J425" s="75">
        <v>0</v>
      </c>
    </row>
    <row r="426" spans="1:10" x14ac:dyDescent="0.25">
      <c r="A426" s="35" t="s">
        <v>106</v>
      </c>
      <c r="B426" s="35" t="s">
        <v>162</v>
      </c>
      <c r="C426" s="6">
        <f t="shared" si="6"/>
        <v>5</v>
      </c>
      <c r="D426" s="77">
        <v>0</v>
      </c>
      <c r="E426" s="77">
        <v>0</v>
      </c>
      <c r="F426" s="77">
        <v>0</v>
      </c>
      <c r="G426" s="77">
        <v>0</v>
      </c>
      <c r="H426" s="77">
        <v>0</v>
      </c>
      <c r="I426" s="77">
        <v>0</v>
      </c>
      <c r="J426" s="77">
        <v>0</v>
      </c>
    </row>
    <row r="427" spans="1:10" x14ac:dyDescent="0.25">
      <c r="A427" s="36" t="s">
        <v>106</v>
      </c>
      <c r="B427" s="36" t="s">
        <v>163</v>
      </c>
      <c r="C427" s="6">
        <f t="shared" si="6"/>
        <v>6</v>
      </c>
      <c r="D427" s="75">
        <v>0</v>
      </c>
      <c r="E427" s="75">
        <v>0</v>
      </c>
      <c r="F427" s="75">
        <v>0</v>
      </c>
      <c r="G427" s="75">
        <v>0</v>
      </c>
      <c r="H427" s="75">
        <v>0</v>
      </c>
      <c r="I427" s="75">
        <v>0</v>
      </c>
      <c r="J427" s="75">
        <v>0</v>
      </c>
    </row>
    <row r="428" spans="1:10" x14ac:dyDescent="0.25">
      <c r="A428" s="35" t="s">
        <v>106</v>
      </c>
      <c r="B428" s="35" t="s">
        <v>164</v>
      </c>
      <c r="C428" s="6">
        <f t="shared" si="6"/>
        <v>7</v>
      </c>
      <c r="D428" s="77">
        <v>0</v>
      </c>
      <c r="E428" s="77">
        <v>0</v>
      </c>
      <c r="F428" s="77">
        <v>0</v>
      </c>
      <c r="G428" s="77">
        <v>0</v>
      </c>
      <c r="H428" s="77">
        <v>0</v>
      </c>
      <c r="I428" s="77">
        <v>0</v>
      </c>
      <c r="J428" s="77">
        <v>0</v>
      </c>
    </row>
    <row r="429" spans="1:10" x14ac:dyDescent="0.25">
      <c r="A429" s="36" t="s">
        <v>106</v>
      </c>
      <c r="B429" s="36" t="s">
        <v>165</v>
      </c>
      <c r="C429" s="6">
        <f t="shared" si="6"/>
        <v>8</v>
      </c>
      <c r="D429" s="75">
        <v>0</v>
      </c>
      <c r="E429" s="75">
        <v>0</v>
      </c>
      <c r="F429" s="75">
        <v>0</v>
      </c>
      <c r="G429" s="75">
        <v>0</v>
      </c>
      <c r="H429" s="75">
        <v>0</v>
      </c>
      <c r="I429" s="75">
        <v>0</v>
      </c>
      <c r="J429" s="75">
        <v>0</v>
      </c>
    </row>
    <row r="430" spans="1:10" x14ac:dyDescent="0.25">
      <c r="A430" s="35" t="s">
        <v>106</v>
      </c>
      <c r="B430" s="35" t="s">
        <v>166</v>
      </c>
      <c r="C430" s="6">
        <f t="shared" si="6"/>
        <v>9</v>
      </c>
      <c r="D430" s="77">
        <v>0</v>
      </c>
      <c r="E430" s="77">
        <v>0</v>
      </c>
      <c r="F430" s="77">
        <v>0</v>
      </c>
      <c r="G430" s="77">
        <v>0</v>
      </c>
      <c r="H430" s="77">
        <v>3</v>
      </c>
      <c r="I430" s="77">
        <v>27</v>
      </c>
      <c r="J430" s="77">
        <v>0</v>
      </c>
    </row>
    <row r="431" spans="1:10" x14ac:dyDescent="0.25">
      <c r="A431" s="36" t="s">
        <v>106</v>
      </c>
      <c r="B431" s="36" t="s">
        <v>167</v>
      </c>
      <c r="C431" s="6">
        <f t="shared" si="6"/>
        <v>10</v>
      </c>
      <c r="D431" s="75">
        <v>4</v>
      </c>
      <c r="E431" s="75">
        <v>36</v>
      </c>
      <c r="F431" s="75">
        <v>0</v>
      </c>
      <c r="G431" s="75">
        <v>0</v>
      </c>
      <c r="H431" s="75">
        <v>5</v>
      </c>
      <c r="I431" s="75">
        <v>45</v>
      </c>
      <c r="J431" s="75">
        <v>4</v>
      </c>
    </row>
    <row r="432" spans="1:10" x14ac:dyDescent="0.25">
      <c r="A432" s="35" t="s">
        <v>106</v>
      </c>
      <c r="B432" s="35" t="s">
        <v>168</v>
      </c>
      <c r="C432" s="6">
        <f t="shared" si="6"/>
        <v>11</v>
      </c>
      <c r="D432" s="77">
        <v>9</v>
      </c>
      <c r="E432" s="77">
        <v>81</v>
      </c>
      <c r="F432" s="77">
        <v>1</v>
      </c>
      <c r="G432" s="77">
        <v>0</v>
      </c>
      <c r="H432" s="77">
        <v>0</v>
      </c>
      <c r="I432" s="77">
        <v>0</v>
      </c>
      <c r="J432" s="77">
        <v>4</v>
      </c>
    </row>
    <row r="433" spans="1:10" x14ac:dyDescent="0.25">
      <c r="A433" s="36" t="s">
        <v>106</v>
      </c>
      <c r="B433" s="36" t="s">
        <v>169</v>
      </c>
      <c r="C433" s="6">
        <f t="shared" si="6"/>
        <v>12</v>
      </c>
      <c r="D433" s="75">
        <v>0</v>
      </c>
      <c r="E433" s="75">
        <v>0</v>
      </c>
      <c r="F433" s="75">
        <v>0</v>
      </c>
      <c r="G433" s="75">
        <v>0</v>
      </c>
      <c r="H433" s="75">
        <v>0</v>
      </c>
      <c r="I433" s="75">
        <v>0</v>
      </c>
      <c r="J433" s="75">
        <v>0</v>
      </c>
    </row>
    <row r="434" spans="1:10" x14ac:dyDescent="0.25">
      <c r="A434" s="35" t="s">
        <v>110</v>
      </c>
      <c r="B434" s="35" t="s">
        <v>158</v>
      </c>
      <c r="C434" s="6">
        <f t="shared" si="6"/>
        <v>1</v>
      </c>
      <c r="D434" s="77">
        <v>2</v>
      </c>
      <c r="E434" s="77">
        <v>5</v>
      </c>
      <c r="F434" s="77">
        <v>0</v>
      </c>
      <c r="G434" s="77">
        <v>0</v>
      </c>
      <c r="H434" s="77">
        <v>5</v>
      </c>
      <c r="I434" s="77">
        <v>13</v>
      </c>
      <c r="J434" s="77">
        <v>1</v>
      </c>
    </row>
    <row r="435" spans="1:10" x14ac:dyDescent="0.25">
      <c r="A435" s="36" t="s">
        <v>110</v>
      </c>
      <c r="B435" s="36" t="s">
        <v>159</v>
      </c>
      <c r="C435" s="6">
        <f t="shared" si="6"/>
        <v>2</v>
      </c>
      <c r="D435" s="75">
        <v>0</v>
      </c>
      <c r="E435" s="75">
        <v>0</v>
      </c>
      <c r="F435" s="75">
        <v>0</v>
      </c>
      <c r="G435" s="75">
        <v>0</v>
      </c>
      <c r="H435" s="75">
        <v>0</v>
      </c>
      <c r="I435" s="75">
        <v>0</v>
      </c>
      <c r="J435" s="75">
        <v>0</v>
      </c>
    </row>
    <row r="436" spans="1:10" x14ac:dyDescent="0.25">
      <c r="A436" s="35" t="s">
        <v>110</v>
      </c>
      <c r="B436" s="35" t="s">
        <v>160</v>
      </c>
      <c r="C436" s="6">
        <f t="shared" si="6"/>
        <v>3</v>
      </c>
      <c r="D436" s="77">
        <v>3</v>
      </c>
      <c r="E436" s="77">
        <v>8</v>
      </c>
      <c r="F436" s="77">
        <v>1</v>
      </c>
      <c r="G436" s="77">
        <v>0</v>
      </c>
      <c r="H436" s="77">
        <v>7</v>
      </c>
      <c r="I436" s="77">
        <v>18</v>
      </c>
      <c r="J436" s="77">
        <v>1</v>
      </c>
    </row>
    <row r="437" spans="1:10" x14ac:dyDescent="0.25">
      <c r="A437" s="36" t="s">
        <v>110</v>
      </c>
      <c r="B437" s="36" t="s">
        <v>161</v>
      </c>
      <c r="C437" s="6">
        <f t="shared" si="6"/>
        <v>4</v>
      </c>
      <c r="D437" s="75">
        <v>3</v>
      </c>
      <c r="E437" s="75">
        <v>8</v>
      </c>
      <c r="F437" s="75">
        <v>4</v>
      </c>
      <c r="G437" s="75">
        <v>0</v>
      </c>
      <c r="H437" s="75">
        <v>0</v>
      </c>
      <c r="I437" s="75">
        <v>0</v>
      </c>
      <c r="J437" s="75">
        <v>1</v>
      </c>
    </row>
    <row r="438" spans="1:10" x14ac:dyDescent="0.25">
      <c r="A438" s="35" t="s">
        <v>110</v>
      </c>
      <c r="B438" s="35" t="s">
        <v>162</v>
      </c>
      <c r="C438" s="6">
        <f t="shared" si="6"/>
        <v>5</v>
      </c>
      <c r="D438" s="77">
        <v>5</v>
      </c>
      <c r="E438" s="77">
        <v>13</v>
      </c>
      <c r="F438" s="77">
        <v>0</v>
      </c>
      <c r="G438" s="77">
        <v>0</v>
      </c>
      <c r="H438" s="77">
        <v>0</v>
      </c>
      <c r="I438" s="77">
        <v>0</v>
      </c>
      <c r="J438" s="77">
        <v>1</v>
      </c>
    </row>
    <row r="439" spans="1:10" x14ac:dyDescent="0.25">
      <c r="A439" s="36" t="s">
        <v>110</v>
      </c>
      <c r="B439" s="36" t="s">
        <v>163</v>
      </c>
      <c r="C439" s="6">
        <f t="shared" si="6"/>
        <v>6</v>
      </c>
      <c r="D439" s="75">
        <v>7</v>
      </c>
      <c r="E439" s="75">
        <v>18</v>
      </c>
      <c r="F439" s="75">
        <v>0</v>
      </c>
      <c r="G439" s="75">
        <v>0</v>
      </c>
      <c r="H439" s="75">
        <v>22</v>
      </c>
      <c r="I439" s="75">
        <v>59</v>
      </c>
      <c r="J439" s="75">
        <v>2</v>
      </c>
    </row>
    <row r="440" spans="1:10" x14ac:dyDescent="0.25">
      <c r="A440" s="35" t="s">
        <v>110</v>
      </c>
      <c r="B440" s="35" t="s">
        <v>164</v>
      </c>
      <c r="C440" s="6">
        <f t="shared" si="6"/>
        <v>7</v>
      </c>
      <c r="D440" s="77">
        <v>3</v>
      </c>
      <c r="E440" s="77">
        <v>8</v>
      </c>
      <c r="F440" s="77">
        <v>0</v>
      </c>
      <c r="G440" s="77">
        <v>0</v>
      </c>
      <c r="H440" s="77">
        <v>0</v>
      </c>
      <c r="I440" s="77">
        <v>0</v>
      </c>
      <c r="J440" s="77">
        <v>1</v>
      </c>
    </row>
    <row r="441" spans="1:10" x14ac:dyDescent="0.25">
      <c r="A441" s="36" t="s">
        <v>110</v>
      </c>
      <c r="B441" s="36" t="s">
        <v>165</v>
      </c>
      <c r="C441" s="6">
        <f t="shared" si="6"/>
        <v>8</v>
      </c>
      <c r="D441" s="75">
        <v>20</v>
      </c>
      <c r="E441" s="75">
        <v>54</v>
      </c>
      <c r="F441" s="75">
        <v>1</v>
      </c>
      <c r="G441" s="75">
        <v>4</v>
      </c>
      <c r="H441" s="75">
        <v>0</v>
      </c>
      <c r="I441" s="75">
        <v>0</v>
      </c>
      <c r="J441" s="75">
        <v>4</v>
      </c>
    </row>
    <row r="442" spans="1:10" x14ac:dyDescent="0.25">
      <c r="A442" s="35" t="s">
        <v>110</v>
      </c>
      <c r="B442" s="35" t="s">
        <v>166</v>
      </c>
      <c r="C442" s="6">
        <f t="shared" si="6"/>
        <v>9</v>
      </c>
      <c r="D442" s="77">
        <v>3</v>
      </c>
      <c r="E442" s="77">
        <v>8</v>
      </c>
      <c r="F442" s="77">
        <v>0</v>
      </c>
      <c r="G442" s="77">
        <v>0</v>
      </c>
      <c r="H442" s="77">
        <v>23</v>
      </c>
      <c r="I442" s="77">
        <v>62</v>
      </c>
      <c r="J442" s="77">
        <v>1</v>
      </c>
    </row>
    <row r="443" spans="1:10" x14ac:dyDescent="0.25">
      <c r="A443" s="36" t="s">
        <v>110</v>
      </c>
      <c r="B443" s="36" t="s">
        <v>167</v>
      </c>
      <c r="C443" s="6">
        <f t="shared" si="6"/>
        <v>10</v>
      </c>
      <c r="D443" s="75">
        <v>6</v>
      </c>
      <c r="E443" s="75">
        <v>16</v>
      </c>
      <c r="F443" s="75">
        <v>0</v>
      </c>
      <c r="G443" s="75">
        <v>0</v>
      </c>
      <c r="H443" s="75">
        <v>0</v>
      </c>
      <c r="I443" s="75">
        <v>0</v>
      </c>
      <c r="J443" s="75">
        <v>2</v>
      </c>
    </row>
    <row r="444" spans="1:10" x14ac:dyDescent="0.25">
      <c r="A444" s="35" t="s">
        <v>110</v>
      </c>
      <c r="B444" s="35" t="s">
        <v>168</v>
      </c>
      <c r="C444" s="6">
        <f t="shared" si="6"/>
        <v>11</v>
      </c>
      <c r="D444" s="77">
        <v>0</v>
      </c>
      <c r="E444" s="77">
        <v>0</v>
      </c>
      <c r="F444" s="77">
        <v>0</v>
      </c>
      <c r="G444" s="77">
        <v>0</v>
      </c>
      <c r="H444" s="77">
        <v>22</v>
      </c>
      <c r="I444" s="77">
        <v>59</v>
      </c>
      <c r="J444" s="77">
        <v>0</v>
      </c>
    </row>
    <row r="445" spans="1:10" x14ac:dyDescent="0.25">
      <c r="A445" s="36" t="s">
        <v>110</v>
      </c>
      <c r="B445" s="36" t="s">
        <v>169</v>
      </c>
      <c r="C445" s="6">
        <f t="shared" si="6"/>
        <v>12</v>
      </c>
      <c r="D445" s="75">
        <v>10</v>
      </c>
      <c r="E445" s="75">
        <v>27</v>
      </c>
      <c r="F445" s="75">
        <v>0</v>
      </c>
      <c r="G445" s="75">
        <v>0</v>
      </c>
      <c r="H445" s="75">
        <v>0</v>
      </c>
      <c r="I445" s="75">
        <v>0</v>
      </c>
      <c r="J445" s="75">
        <v>6</v>
      </c>
    </row>
    <row r="446" spans="1:10" x14ac:dyDescent="0.25">
      <c r="A446" s="35" t="s">
        <v>32</v>
      </c>
      <c r="B446" s="35" t="s">
        <v>158</v>
      </c>
      <c r="C446" s="6">
        <f t="shared" si="6"/>
        <v>1</v>
      </c>
      <c r="D446" s="77">
        <v>0</v>
      </c>
      <c r="E446" s="77">
        <v>0</v>
      </c>
      <c r="F446" s="77">
        <v>0</v>
      </c>
      <c r="G446" s="77">
        <v>0</v>
      </c>
      <c r="H446" s="77">
        <v>0</v>
      </c>
      <c r="I446" s="77">
        <v>0</v>
      </c>
      <c r="J446" s="77">
        <v>0</v>
      </c>
    </row>
    <row r="447" spans="1:10" x14ac:dyDescent="0.25">
      <c r="A447" s="36" t="s">
        <v>32</v>
      </c>
      <c r="B447" s="36" t="s">
        <v>159</v>
      </c>
      <c r="C447" s="6">
        <f t="shared" si="6"/>
        <v>2</v>
      </c>
      <c r="D447" s="75">
        <v>0</v>
      </c>
      <c r="E447" s="75">
        <v>0</v>
      </c>
      <c r="F447" s="75">
        <v>0</v>
      </c>
      <c r="G447" s="75">
        <v>0</v>
      </c>
      <c r="H447" s="75">
        <v>0</v>
      </c>
      <c r="I447" s="75">
        <v>0</v>
      </c>
      <c r="J447" s="75">
        <v>0</v>
      </c>
    </row>
    <row r="448" spans="1:10" x14ac:dyDescent="0.25">
      <c r="A448" s="35" t="s">
        <v>32</v>
      </c>
      <c r="B448" s="35" t="s">
        <v>160</v>
      </c>
      <c r="C448" s="6">
        <f t="shared" si="6"/>
        <v>3</v>
      </c>
      <c r="D448" s="77">
        <v>0</v>
      </c>
      <c r="E448" s="77">
        <v>0</v>
      </c>
      <c r="F448" s="77">
        <v>0</v>
      </c>
      <c r="G448" s="77">
        <v>0</v>
      </c>
      <c r="H448" s="77">
        <v>0</v>
      </c>
      <c r="I448" s="77">
        <v>0</v>
      </c>
      <c r="J448" s="77">
        <v>0</v>
      </c>
    </row>
    <row r="449" spans="1:10" x14ac:dyDescent="0.25">
      <c r="A449" s="36" t="s">
        <v>32</v>
      </c>
      <c r="B449" s="36" t="s">
        <v>161</v>
      </c>
      <c r="C449" s="6">
        <f t="shared" si="6"/>
        <v>4</v>
      </c>
      <c r="D449" s="75">
        <v>0</v>
      </c>
      <c r="E449" s="75">
        <v>0</v>
      </c>
      <c r="F449" s="75">
        <v>0</v>
      </c>
      <c r="G449" s="75">
        <v>0</v>
      </c>
      <c r="H449" s="75">
        <v>0</v>
      </c>
      <c r="I449" s="75">
        <v>0</v>
      </c>
      <c r="J449" s="75">
        <v>0</v>
      </c>
    </row>
    <row r="450" spans="1:10" x14ac:dyDescent="0.25">
      <c r="A450" s="35" t="s">
        <v>32</v>
      </c>
      <c r="B450" s="35" t="s">
        <v>162</v>
      </c>
      <c r="C450" s="6">
        <f t="shared" ref="C450:C513" si="7">_xlfn.IFS(B450="Janeiro",1,B450="Fevereiro",2,B450="Março",3,B450="Abril",4,B450="Maio",5,B450="Junho",6,B450="Julho",7,B450="Agosto",8,B450="Setembro",9,B450="Outubro",10,B450="Novembro",11,B450="Dezembro",12,TRUE,0)</f>
        <v>5</v>
      </c>
      <c r="D450" s="77">
        <v>0</v>
      </c>
      <c r="E450" s="77">
        <v>0</v>
      </c>
      <c r="F450" s="77">
        <v>0</v>
      </c>
      <c r="G450" s="77">
        <v>0</v>
      </c>
      <c r="H450" s="77">
        <v>3</v>
      </c>
      <c r="I450" s="77">
        <v>25</v>
      </c>
      <c r="J450" s="77">
        <v>0</v>
      </c>
    </row>
    <row r="451" spans="1:10" x14ac:dyDescent="0.25">
      <c r="A451" s="36" t="s">
        <v>32</v>
      </c>
      <c r="B451" s="36" t="s">
        <v>163</v>
      </c>
      <c r="C451" s="6">
        <f t="shared" si="7"/>
        <v>6</v>
      </c>
      <c r="D451" s="75">
        <v>0</v>
      </c>
      <c r="E451" s="75">
        <v>0</v>
      </c>
      <c r="F451" s="75">
        <v>0</v>
      </c>
      <c r="G451" s="75">
        <v>0</v>
      </c>
      <c r="H451" s="75">
        <v>4</v>
      </c>
      <c r="I451" s="75">
        <v>33</v>
      </c>
      <c r="J451" s="75">
        <v>0</v>
      </c>
    </row>
    <row r="452" spans="1:10" x14ac:dyDescent="0.25">
      <c r="A452" s="35" t="s">
        <v>32</v>
      </c>
      <c r="B452" s="35" t="s">
        <v>164</v>
      </c>
      <c r="C452" s="6">
        <f t="shared" si="7"/>
        <v>7</v>
      </c>
      <c r="D452" s="77">
        <v>0</v>
      </c>
      <c r="E452" s="77">
        <v>0</v>
      </c>
      <c r="F452" s="77">
        <v>0</v>
      </c>
      <c r="G452" s="77">
        <v>0</v>
      </c>
      <c r="H452" s="77">
        <v>0</v>
      </c>
      <c r="I452" s="77">
        <v>0</v>
      </c>
      <c r="J452" s="77">
        <v>0</v>
      </c>
    </row>
    <row r="453" spans="1:10" x14ac:dyDescent="0.25">
      <c r="A453" s="36" t="s">
        <v>32</v>
      </c>
      <c r="B453" s="36" t="s">
        <v>165</v>
      </c>
      <c r="C453" s="6">
        <f t="shared" si="7"/>
        <v>8</v>
      </c>
      <c r="D453" s="75">
        <v>0</v>
      </c>
      <c r="E453" s="75">
        <v>0</v>
      </c>
      <c r="F453" s="75">
        <v>0</v>
      </c>
      <c r="G453" s="75">
        <v>0</v>
      </c>
      <c r="H453" s="75">
        <v>0</v>
      </c>
      <c r="I453" s="75">
        <v>0</v>
      </c>
      <c r="J453" s="75">
        <v>0</v>
      </c>
    </row>
    <row r="454" spans="1:10" x14ac:dyDescent="0.25">
      <c r="A454" s="35" t="s">
        <v>32</v>
      </c>
      <c r="B454" s="35" t="s">
        <v>166</v>
      </c>
      <c r="C454" s="6">
        <f t="shared" si="7"/>
        <v>9</v>
      </c>
      <c r="D454" s="77">
        <v>0</v>
      </c>
      <c r="E454" s="77">
        <v>0</v>
      </c>
      <c r="F454" s="77">
        <v>0</v>
      </c>
      <c r="G454" s="77">
        <v>0</v>
      </c>
      <c r="H454" s="77">
        <v>6</v>
      </c>
      <c r="I454" s="77">
        <v>50</v>
      </c>
      <c r="J454" s="77">
        <v>0</v>
      </c>
    </row>
    <row r="455" spans="1:10" x14ac:dyDescent="0.25">
      <c r="A455" s="36" t="s">
        <v>32</v>
      </c>
      <c r="B455" s="36" t="s">
        <v>167</v>
      </c>
      <c r="C455" s="6">
        <f t="shared" si="7"/>
        <v>10</v>
      </c>
      <c r="D455" s="75">
        <v>0</v>
      </c>
      <c r="E455" s="75">
        <v>0</v>
      </c>
      <c r="F455" s="75">
        <v>0</v>
      </c>
      <c r="G455" s="75">
        <v>0</v>
      </c>
      <c r="H455" s="75">
        <v>0</v>
      </c>
      <c r="I455" s="75">
        <v>0</v>
      </c>
      <c r="J455" s="75">
        <v>0</v>
      </c>
    </row>
    <row r="456" spans="1:10" x14ac:dyDescent="0.25">
      <c r="A456" s="35" t="s">
        <v>32</v>
      </c>
      <c r="B456" s="35" t="s">
        <v>168</v>
      </c>
      <c r="C456" s="6">
        <f t="shared" si="7"/>
        <v>11</v>
      </c>
      <c r="D456" s="77">
        <v>0</v>
      </c>
      <c r="E456" s="77">
        <v>0</v>
      </c>
      <c r="F456" s="77">
        <v>0</v>
      </c>
      <c r="G456" s="77">
        <v>0</v>
      </c>
      <c r="H456" s="77">
        <v>0</v>
      </c>
      <c r="I456" s="77">
        <v>0</v>
      </c>
      <c r="J456" s="77">
        <v>0</v>
      </c>
    </row>
    <row r="457" spans="1:10" x14ac:dyDescent="0.25">
      <c r="A457" s="36" t="s">
        <v>32</v>
      </c>
      <c r="B457" s="36" t="s">
        <v>169</v>
      </c>
      <c r="C457" s="6">
        <f t="shared" si="7"/>
        <v>12</v>
      </c>
      <c r="D457" s="75">
        <v>12</v>
      </c>
      <c r="E457" s="75">
        <v>100</v>
      </c>
      <c r="F457" s="75">
        <v>0</v>
      </c>
      <c r="G457" s="75">
        <v>0</v>
      </c>
      <c r="H457" s="75">
        <v>0</v>
      </c>
      <c r="I457" s="75">
        <v>0</v>
      </c>
      <c r="J457" s="75">
        <v>1</v>
      </c>
    </row>
    <row r="458" spans="1:10" x14ac:dyDescent="0.25">
      <c r="A458" s="35" t="s">
        <v>150</v>
      </c>
      <c r="B458" s="35" t="s">
        <v>158</v>
      </c>
      <c r="C458" s="6">
        <f t="shared" si="7"/>
        <v>1</v>
      </c>
      <c r="D458" s="77">
        <v>0</v>
      </c>
      <c r="E458" s="77">
        <v>0</v>
      </c>
      <c r="F458" s="77">
        <v>0</v>
      </c>
      <c r="G458" s="77">
        <v>0</v>
      </c>
      <c r="H458" s="77">
        <v>1</v>
      </c>
      <c r="I458" s="77">
        <v>3</v>
      </c>
      <c r="J458" s="77">
        <v>0</v>
      </c>
    </row>
    <row r="459" spans="1:10" x14ac:dyDescent="0.25">
      <c r="A459" s="36" t="s">
        <v>150</v>
      </c>
      <c r="B459" s="36" t="s">
        <v>159</v>
      </c>
      <c r="C459" s="6">
        <f t="shared" si="7"/>
        <v>2</v>
      </c>
      <c r="D459" s="75">
        <v>4</v>
      </c>
      <c r="E459" s="75">
        <v>15</v>
      </c>
      <c r="F459" s="75">
        <v>0</v>
      </c>
      <c r="G459" s="75">
        <v>0</v>
      </c>
      <c r="H459" s="75">
        <v>0</v>
      </c>
      <c r="I459" s="75">
        <v>0</v>
      </c>
      <c r="J459" s="75">
        <v>3</v>
      </c>
    </row>
    <row r="460" spans="1:10" x14ac:dyDescent="0.25">
      <c r="A460" s="35" t="s">
        <v>150</v>
      </c>
      <c r="B460" s="35" t="s">
        <v>160</v>
      </c>
      <c r="C460" s="6">
        <f t="shared" si="7"/>
        <v>3</v>
      </c>
      <c r="D460" s="77">
        <v>1</v>
      </c>
      <c r="E460" s="77">
        <v>3</v>
      </c>
      <c r="F460" s="77">
        <v>0</v>
      </c>
      <c r="G460" s="77">
        <v>0</v>
      </c>
      <c r="H460" s="77">
        <v>0</v>
      </c>
      <c r="I460" s="77">
        <v>0</v>
      </c>
      <c r="J460" s="77">
        <v>1</v>
      </c>
    </row>
    <row r="461" spans="1:10" x14ac:dyDescent="0.25">
      <c r="A461" s="36" t="s">
        <v>150</v>
      </c>
      <c r="B461" s="36" t="s">
        <v>161</v>
      </c>
      <c r="C461" s="6">
        <f t="shared" si="7"/>
        <v>4</v>
      </c>
      <c r="D461" s="75">
        <v>2</v>
      </c>
      <c r="E461" s="75">
        <v>7</v>
      </c>
      <c r="F461" s="75">
        <v>0</v>
      </c>
      <c r="G461" s="75">
        <v>0</v>
      </c>
      <c r="H461" s="75">
        <v>0</v>
      </c>
      <c r="I461" s="75">
        <v>0</v>
      </c>
      <c r="J461" s="75">
        <v>1</v>
      </c>
    </row>
    <row r="462" spans="1:10" x14ac:dyDescent="0.25">
      <c r="A462" s="35" t="s">
        <v>150</v>
      </c>
      <c r="B462" s="35" t="s">
        <v>162</v>
      </c>
      <c r="C462" s="6">
        <f t="shared" si="7"/>
        <v>5</v>
      </c>
      <c r="D462" s="77">
        <v>2</v>
      </c>
      <c r="E462" s="77">
        <v>7</v>
      </c>
      <c r="F462" s="77">
        <v>0</v>
      </c>
      <c r="G462" s="77">
        <v>0</v>
      </c>
      <c r="H462" s="77">
        <v>0</v>
      </c>
      <c r="I462" s="77">
        <v>0</v>
      </c>
      <c r="J462" s="77">
        <v>1</v>
      </c>
    </row>
    <row r="463" spans="1:10" x14ac:dyDescent="0.25">
      <c r="A463" s="36" t="s">
        <v>150</v>
      </c>
      <c r="B463" s="36" t="s">
        <v>163</v>
      </c>
      <c r="C463" s="6">
        <f t="shared" si="7"/>
        <v>6</v>
      </c>
      <c r="D463" s="75">
        <v>0</v>
      </c>
      <c r="E463" s="75">
        <v>0</v>
      </c>
      <c r="F463" s="75">
        <v>0</v>
      </c>
      <c r="G463" s="75">
        <v>0</v>
      </c>
      <c r="H463" s="75">
        <v>6</v>
      </c>
      <c r="I463" s="75">
        <v>23</v>
      </c>
      <c r="J463" s="75">
        <v>0</v>
      </c>
    </row>
    <row r="464" spans="1:10" x14ac:dyDescent="0.25">
      <c r="A464" s="35" t="s">
        <v>150</v>
      </c>
      <c r="B464" s="35" t="s">
        <v>164</v>
      </c>
      <c r="C464" s="6">
        <f t="shared" si="7"/>
        <v>7</v>
      </c>
      <c r="D464" s="77">
        <v>4</v>
      </c>
      <c r="E464" s="77">
        <v>15</v>
      </c>
      <c r="F464" s="77">
        <v>0</v>
      </c>
      <c r="G464" s="77">
        <v>0</v>
      </c>
      <c r="H464" s="77">
        <v>0</v>
      </c>
      <c r="I464" s="77">
        <v>0</v>
      </c>
      <c r="J464" s="77">
        <v>3</v>
      </c>
    </row>
    <row r="465" spans="1:10" x14ac:dyDescent="0.25">
      <c r="A465" s="36" t="s">
        <v>150</v>
      </c>
      <c r="B465" s="36" t="s">
        <v>165</v>
      </c>
      <c r="C465" s="6">
        <f t="shared" si="7"/>
        <v>8</v>
      </c>
      <c r="D465" s="75">
        <v>5</v>
      </c>
      <c r="E465" s="75">
        <v>19</v>
      </c>
      <c r="F465" s="75">
        <v>0</v>
      </c>
      <c r="G465" s="75">
        <v>0</v>
      </c>
      <c r="H465" s="75">
        <v>0</v>
      </c>
      <c r="I465" s="75">
        <v>0</v>
      </c>
      <c r="J465" s="75">
        <v>2</v>
      </c>
    </row>
    <row r="466" spans="1:10" x14ac:dyDescent="0.25">
      <c r="A466" s="35" t="s">
        <v>150</v>
      </c>
      <c r="B466" s="35" t="s">
        <v>166</v>
      </c>
      <c r="C466" s="6">
        <f t="shared" si="7"/>
        <v>9</v>
      </c>
      <c r="D466" s="77">
        <v>0</v>
      </c>
      <c r="E466" s="77">
        <v>0</v>
      </c>
      <c r="F466" s="77">
        <v>0</v>
      </c>
      <c r="G466" s="77">
        <v>0</v>
      </c>
      <c r="H466" s="77">
        <v>12</v>
      </c>
      <c r="I466" s="77">
        <v>46</v>
      </c>
      <c r="J466" s="77">
        <v>0</v>
      </c>
    </row>
    <row r="467" spans="1:10" x14ac:dyDescent="0.25">
      <c r="A467" s="36" t="s">
        <v>150</v>
      </c>
      <c r="B467" s="36" t="s">
        <v>167</v>
      </c>
      <c r="C467" s="6">
        <f t="shared" si="7"/>
        <v>10</v>
      </c>
      <c r="D467" s="75">
        <v>1</v>
      </c>
      <c r="E467" s="75">
        <v>3</v>
      </c>
      <c r="F467" s="75">
        <v>0</v>
      </c>
      <c r="G467" s="75">
        <v>0</v>
      </c>
      <c r="H467" s="75">
        <v>4</v>
      </c>
      <c r="I467" s="75">
        <v>15</v>
      </c>
      <c r="J467" s="75">
        <v>1</v>
      </c>
    </row>
    <row r="468" spans="1:10" x14ac:dyDescent="0.25">
      <c r="A468" s="35" t="s">
        <v>150</v>
      </c>
      <c r="B468" s="35" t="s">
        <v>168</v>
      </c>
      <c r="C468" s="6">
        <f t="shared" si="7"/>
        <v>11</v>
      </c>
      <c r="D468" s="77">
        <v>5</v>
      </c>
      <c r="E468" s="77">
        <v>19</v>
      </c>
      <c r="F468" s="77">
        <v>0</v>
      </c>
      <c r="G468" s="77">
        <v>0</v>
      </c>
      <c r="H468" s="77">
        <v>0</v>
      </c>
      <c r="I468" s="77">
        <v>0</v>
      </c>
      <c r="J468" s="77">
        <v>1</v>
      </c>
    </row>
    <row r="469" spans="1:10" x14ac:dyDescent="0.25">
      <c r="A469" s="36" t="s">
        <v>150</v>
      </c>
      <c r="B469" s="36" t="s">
        <v>169</v>
      </c>
      <c r="C469" s="6">
        <f t="shared" si="7"/>
        <v>12</v>
      </c>
      <c r="D469" s="75">
        <v>3</v>
      </c>
      <c r="E469" s="75">
        <v>11</v>
      </c>
      <c r="F469" s="75">
        <v>1</v>
      </c>
      <c r="G469" s="75">
        <v>1</v>
      </c>
      <c r="H469" s="75">
        <v>0</v>
      </c>
      <c r="I469" s="75">
        <v>0</v>
      </c>
      <c r="J469" s="75">
        <v>1</v>
      </c>
    </row>
    <row r="470" spans="1:10" x14ac:dyDescent="0.25">
      <c r="A470" s="35" t="s">
        <v>71</v>
      </c>
      <c r="B470" s="35" t="s">
        <v>158</v>
      </c>
      <c r="C470" s="6">
        <f t="shared" si="7"/>
        <v>1</v>
      </c>
      <c r="D470" s="77">
        <v>0</v>
      </c>
      <c r="E470" s="77">
        <v>0</v>
      </c>
      <c r="F470" s="77">
        <v>0</v>
      </c>
      <c r="G470" s="77">
        <v>0</v>
      </c>
      <c r="H470" s="77">
        <v>0</v>
      </c>
      <c r="I470" s="77">
        <v>0</v>
      </c>
      <c r="J470" s="77">
        <v>0</v>
      </c>
    </row>
    <row r="471" spans="1:10" x14ac:dyDescent="0.25">
      <c r="A471" s="36" t="s">
        <v>71</v>
      </c>
      <c r="B471" s="36" t="s">
        <v>159</v>
      </c>
      <c r="C471" s="6">
        <f t="shared" si="7"/>
        <v>2</v>
      </c>
      <c r="D471" s="75">
        <v>0</v>
      </c>
      <c r="E471" s="75">
        <v>0</v>
      </c>
      <c r="F471" s="75">
        <v>0</v>
      </c>
      <c r="G471" s="75">
        <v>0</v>
      </c>
      <c r="H471" s="75">
        <v>0</v>
      </c>
      <c r="I471" s="75">
        <v>0</v>
      </c>
      <c r="J471" s="75">
        <v>0</v>
      </c>
    </row>
    <row r="472" spans="1:10" x14ac:dyDescent="0.25">
      <c r="A472" s="35" t="s">
        <v>71</v>
      </c>
      <c r="B472" s="35" t="s">
        <v>160</v>
      </c>
      <c r="C472" s="6">
        <f t="shared" si="7"/>
        <v>3</v>
      </c>
      <c r="D472" s="77">
        <v>0</v>
      </c>
      <c r="E472" s="77">
        <v>0</v>
      </c>
      <c r="F472" s="77">
        <v>0</v>
      </c>
      <c r="G472" s="77">
        <v>0</v>
      </c>
      <c r="H472" s="77">
        <v>0</v>
      </c>
      <c r="I472" s="77">
        <v>0</v>
      </c>
      <c r="J472" s="77">
        <v>0</v>
      </c>
    </row>
    <row r="473" spans="1:10" x14ac:dyDescent="0.25">
      <c r="A473" s="36" t="s">
        <v>71</v>
      </c>
      <c r="B473" s="36" t="s">
        <v>161</v>
      </c>
      <c r="C473" s="6">
        <f t="shared" si="7"/>
        <v>4</v>
      </c>
      <c r="D473" s="75">
        <v>0</v>
      </c>
      <c r="E473" s="75">
        <v>0</v>
      </c>
      <c r="F473" s="75">
        <v>0</v>
      </c>
      <c r="G473" s="75">
        <v>0</v>
      </c>
      <c r="H473" s="75">
        <v>0</v>
      </c>
      <c r="I473" s="75">
        <v>0</v>
      </c>
      <c r="J473" s="75">
        <v>0</v>
      </c>
    </row>
    <row r="474" spans="1:10" x14ac:dyDescent="0.25">
      <c r="A474" s="35" t="s">
        <v>71</v>
      </c>
      <c r="B474" s="35" t="s">
        <v>162</v>
      </c>
      <c r="C474" s="6">
        <f t="shared" si="7"/>
        <v>5</v>
      </c>
      <c r="D474" s="77">
        <v>0</v>
      </c>
      <c r="E474" s="77">
        <v>0</v>
      </c>
      <c r="F474" s="77">
        <v>0</v>
      </c>
      <c r="G474" s="77">
        <v>0</v>
      </c>
      <c r="H474" s="77">
        <v>0</v>
      </c>
      <c r="I474" s="77">
        <v>0</v>
      </c>
      <c r="J474" s="77">
        <v>0</v>
      </c>
    </row>
    <row r="475" spans="1:10" x14ac:dyDescent="0.25">
      <c r="A475" s="36" t="s">
        <v>71</v>
      </c>
      <c r="B475" s="36" t="s">
        <v>163</v>
      </c>
      <c r="C475" s="6">
        <f t="shared" si="7"/>
        <v>6</v>
      </c>
      <c r="D475" s="75">
        <v>0</v>
      </c>
      <c r="E475" s="75">
        <v>0</v>
      </c>
      <c r="F475" s="75">
        <v>0</v>
      </c>
      <c r="G475" s="75">
        <v>0</v>
      </c>
      <c r="H475" s="75">
        <v>0</v>
      </c>
      <c r="I475" s="75">
        <v>0</v>
      </c>
      <c r="J475" s="75">
        <v>0</v>
      </c>
    </row>
    <row r="476" spans="1:10" x14ac:dyDescent="0.25">
      <c r="A476" s="35" t="s">
        <v>71</v>
      </c>
      <c r="B476" s="35" t="s">
        <v>164</v>
      </c>
      <c r="C476" s="6">
        <f t="shared" si="7"/>
        <v>7</v>
      </c>
      <c r="D476" s="77">
        <v>0</v>
      </c>
      <c r="E476" s="77">
        <v>0</v>
      </c>
      <c r="F476" s="77">
        <v>0</v>
      </c>
      <c r="G476" s="77">
        <v>0</v>
      </c>
      <c r="H476" s="77">
        <v>0</v>
      </c>
      <c r="I476" s="77">
        <v>0</v>
      </c>
      <c r="J476" s="77">
        <v>0</v>
      </c>
    </row>
    <row r="477" spans="1:10" x14ac:dyDescent="0.25">
      <c r="A477" s="36" t="s">
        <v>71</v>
      </c>
      <c r="B477" s="36" t="s">
        <v>165</v>
      </c>
      <c r="C477" s="6">
        <f t="shared" si="7"/>
        <v>8</v>
      </c>
      <c r="D477" s="75">
        <v>0</v>
      </c>
      <c r="E477" s="75">
        <v>0</v>
      </c>
      <c r="F477" s="75">
        <v>0</v>
      </c>
      <c r="G477" s="75">
        <v>0</v>
      </c>
      <c r="H477" s="75">
        <v>0</v>
      </c>
      <c r="I477" s="75">
        <v>0</v>
      </c>
      <c r="J477" s="75">
        <v>0</v>
      </c>
    </row>
    <row r="478" spans="1:10" x14ac:dyDescent="0.25">
      <c r="A478" s="35" t="s">
        <v>71</v>
      </c>
      <c r="B478" s="35" t="s">
        <v>166</v>
      </c>
      <c r="C478" s="6">
        <f t="shared" si="7"/>
        <v>9</v>
      </c>
      <c r="D478" s="77">
        <v>0</v>
      </c>
      <c r="E478" s="77">
        <v>0</v>
      </c>
      <c r="F478" s="77">
        <v>0</v>
      </c>
      <c r="G478" s="77">
        <v>0</v>
      </c>
      <c r="H478" s="77">
        <v>1</v>
      </c>
      <c r="I478" s="77">
        <v>10</v>
      </c>
      <c r="J478" s="77">
        <v>0</v>
      </c>
    </row>
    <row r="479" spans="1:10" x14ac:dyDescent="0.25">
      <c r="A479" s="36" t="s">
        <v>71</v>
      </c>
      <c r="B479" s="36" t="s">
        <v>167</v>
      </c>
      <c r="C479" s="6">
        <f t="shared" si="7"/>
        <v>10</v>
      </c>
      <c r="D479" s="75">
        <v>0</v>
      </c>
      <c r="E479" s="75">
        <v>0</v>
      </c>
      <c r="F479" s="75">
        <v>0</v>
      </c>
      <c r="G479" s="75">
        <v>0</v>
      </c>
      <c r="H479" s="75">
        <v>0</v>
      </c>
      <c r="I479" s="75">
        <v>0</v>
      </c>
      <c r="J479" s="75">
        <v>0</v>
      </c>
    </row>
    <row r="480" spans="1:10" x14ac:dyDescent="0.25">
      <c r="A480" s="35" t="s">
        <v>71</v>
      </c>
      <c r="B480" s="35" t="s">
        <v>168</v>
      </c>
      <c r="C480" s="6">
        <f t="shared" si="7"/>
        <v>11</v>
      </c>
      <c r="D480" s="77">
        <v>0</v>
      </c>
      <c r="E480" s="77">
        <v>0</v>
      </c>
      <c r="F480" s="77">
        <v>1</v>
      </c>
      <c r="G480" s="77">
        <v>0</v>
      </c>
      <c r="H480" s="77">
        <v>0</v>
      </c>
      <c r="I480" s="77">
        <v>0</v>
      </c>
      <c r="J480" s="77">
        <v>0</v>
      </c>
    </row>
    <row r="481" spans="1:10" x14ac:dyDescent="0.25">
      <c r="A481" s="36" t="s">
        <v>71</v>
      </c>
      <c r="B481" s="36" t="s">
        <v>169</v>
      </c>
      <c r="C481" s="6">
        <f t="shared" si="7"/>
        <v>12</v>
      </c>
      <c r="D481" s="75">
        <v>0</v>
      </c>
      <c r="E481" s="75">
        <v>0</v>
      </c>
      <c r="F481" s="75">
        <v>0</v>
      </c>
      <c r="G481" s="75">
        <v>0</v>
      </c>
      <c r="H481" s="75">
        <v>0</v>
      </c>
      <c r="I481" s="75">
        <v>0</v>
      </c>
      <c r="J481" s="75">
        <v>0</v>
      </c>
    </row>
    <row r="482" spans="1:10" x14ac:dyDescent="0.25">
      <c r="A482" s="35" t="s">
        <v>84</v>
      </c>
      <c r="B482" s="35" t="s">
        <v>158</v>
      </c>
      <c r="C482" s="6">
        <f t="shared" si="7"/>
        <v>1</v>
      </c>
      <c r="D482" s="77">
        <v>0</v>
      </c>
      <c r="E482" s="77">
        <v>0</v>
      </c>
      <c r="F482" s="77">
        <v>0</v>
      </c>
      <c r="G482" s="77">
        <v>0</v>
      </c>
      <c r="H482" s="77">
        <v>0</v>
      </c>
      <c r="I482" s="77">
        <v>0</v>
      </c>
      <c r="J482" s="77">
        <v>0</v>
      </c>
    </row>
    <row r="483" spans="1:10" x14ac:dyDescent="0.25">
      <c r="A483" s="36" t="s">
        <v>84</v>
      </c>
      <c r="B483" s="36" t="s">
        <v>159</v>
      </c>
      <c r="C483" s="6">
        <f t="shared" si="7"/>
        <v>2</v>
      </c>
      <c r="D483" s="75">
        <v>0</v>
      </c>
      <c r="E483" s="75">
        <v>0</v>
      </c>
      <c r="F483" s="75">
        <v>0</v>
      </c>
      <c r="G483" s="75">
        <v>0</v>
      </c>
      <c r="H483" s="75">
        <v>0</v>
      </c>
      <c r="I483" s="75">
        <v>0</v>
      </c>
      <c r="J483" s="75">
        <v>0</v>
      </c>
    </row>
    <row r="484" spans="1:10" x14ac:dyDescent="0.25">
      <c r="A484" s="35" t="s">
        <v>84</v>
      </c>
      <c r="B484" s="35" t="s">
        <v>160</v>
      </c>
      <c r="C484" s="6">
        <f t="shared" si="7"/>
        <v>3</v>
      </c>
      <c r="D484" s="77">
        <v>4</v>
      </c>
      <c r="E484" s="77">
        <v>57</v>
      </c>
      <c r="F484" s="77">
        <v>0</v>
      </c>
      <c r="G484" s="77">
        <v>0</v>
      </c>
      <c r="H484" s="77">
        <v>0</v>
      </c>
      <c r="I484" s="77">
        <v>0</v>
      </c>
      <c r="J484" s="77">
        <v>1</v>
      </c>
    </row>
    <row r="485" spans="1:10" x14ac:dyDescent="0.25">
      <c r="A485" s="36" t="s">
        <v>84</v>
      </c>
      <c r="B485" s="36" t="s">
        <v>161</v>
      </c>
      <c r="C485" s="6">
        <f t="shared" si="7"/>
        <v>4</v>
      </c>
      <c r="D485" s="75">
        <v>0</v>
      </c>
      <c r="E485" s="75">
        <v>0</v>
      </c>
      <c r="F485" s="75">
        <v>0</v>
      </c>
      <c r="G485" s="75">
        <v>0</v>
      </c>
      <c r="H485" s="75">
        <v>0</v>
      </c>
      <c r="I485" s="75">
        <v>0</v>
      </c>
      <c r="J485" s="75">
        <v>0</v>
      </c>
    </row>
    <row r="486" spans="1:10" x14ac:dyDescent="0.25">
      <c r="A486" s="35" t="s">
        <v>84</v>
      </c>
      <c r="B486" s="35" t="s">
        <v>162</v>
      </c>
      <c r="C486" s="6">
        <f t="shared" si="7"/>
        <v>5</v>
      </c>
      <c r="D486" s="77">
        <v>0</v>
      </c>
      <c r="E486" s="77">
        <v>0</v>
      </c>
      <c r="F486" s="77">
        <v>0</v>
      </c>
      <c r="G486" s="77">
        <v>0</v>
      </c>
      <c r="H486" s="77">
        <v>0</v>
      </c>
      <c r="I486" s="77">
        <v>0</v>
      </c>
      <c r="J486" s="77">
        <v>0</v>
      </c>
    </row>
    <row r="487" spans="1:10" x14ac:dyDescent="0.25">
      <c r="A487" s="36" t="s">
        <v>84</v>
      </c>
      <c r="B487" s="36" t="s">
        <v>163</v>
      </c>
      <c r="C487" s="6">
        <f t="shared" si="7"/>
        <v>6</v>
      </c>
      <c r="D487" s="75">
        <v>0</v>
      </c>
      <c r="E487" s="75">
        <v>0</v>
      </c>
      <c r="F487" s="75">
        <v>0</v>
      </c>
      <c r="G487" s="75">
        <v>0</v>
      </c>
      <c r="H487" s="75">
        <v>0</v>
      </c>
      <c r="I487" s="75">
        <v>0</v>
      </c>
      <c r="J487" s="75">
        <v>0</v>
      </c>
    </row>
    <row r="488" spans="1:10" x14ac:dyDescent="0.25">
      <c r="A488" s="35" t="s">
        <v>84</v>
      </c>
      <c r="B488" s="35" t="s">
        <v>164</v>
      </c>
      <c r="C488" s="6">
        <f t="shared" si="7"/>
        <v>7</v>
      </c>
      <c r="D488" s="77">
        <v>2</v>
      </c>
      <c r="E488" s="77">
        <v>28</v>
      </c>
      <c r="F488" s="77">
        <v>0</v>
      </c>
      <c r="G488" s="77">
        <v>0</v>
      </c>
      <c r="H488" s="77">
        <v>0</v>
      </c>
      <c r="I488" s="77">
        <v>0</v>
      </c>
      <c r="J488" s="77">
        <v>1</v>
      </c>
    </row>
    <row r="489" spans="1:10" x14ac:dyDescent="0.25">
      <c r="A489" s="36" t="s">
        <v>84</v>
      </c>
      <c r="B489" s="36" t="s">
        <v>165</v>
      </c>
      <c r="C489" s="6">
        <f t="shared" si="7"/>
        <v>8</v>
      </c>
      <c r="D489" s="75">
        <v>4</v>
      </c>
      <c r="E489" s="75">
        <v>57</v>
      </c>
      <c r="F489" s="75">
        <v>0</v>
      </c>
      <c r="G489" s="75">
        <v>0</v>
      </c>
      <c r="H489" s="75">
        <v>0</v>
      </c>
      <c r="I489" s="75">
        <v>0</v>
      </c>
      <c r="J489" s="75">
        <v>2</v>
      </c>
    </row>
    <row r="490" spans="1:10" x14ac:dyDescent="0.25">
      <c r="A490" s="35" t="s">
        <v>84</v>
      </c>
      <c r="B490" s="35" t="s">
        <v>166</v>
      </c>
      <c r="C490" s="6">
        <f t="shared" si="7"/>
        <v>9</v>
      </c>
      <c r="D490" s="77">
        <v>0</v>
      </c>
      <c r="E490" s="77">
        <v>0</v>
      </c>
      <c r="F490" s="77">
        <v>0</v>
      </c>
      <c r="G490" s="77">
        <v>0</v>
      </c>
      <c r="H490" s="77">
        <v>0</v>
      </c>
      <c r="I490" s="77">
        <v>0</v>
      </c>
      <c r="J490" s="77">
        <v>0</v>
      </c>
    </row>
    <row r="491" spans="1:10" x14ac:dyDescent="0.25">
      <c r="A491" s="36" t="s">
        <v>84</v>
      </c>
      <c r="B491" s="36" t="s">
        <v>167</v>
      </c>
      <c r="C491" s="6">
        <f t="shared" si="7"/>
        <v>10</v>
      </c>
      <c r="D491" s="75">
        <v>0</v>
      </c>
      <c r="E491" s="75">
        <v>0</v>
      </c>
      <c r="F491" s="75">
        <v>0</v>
      </c>
      <c r="G491" s="75">
        <v>0</v>
      </c>
      <c r="H491" s="75">
        <v>2</v>
      </c>
      <c r="I491" s="75">
        <v>28</v>
      </c>
      <c r="J491" s="75">
        <v>0</v>
      </c>
    </row>
    <row r="492" spans="1:10" x14ac:dyDescent="0.25">
      <c r="A492" s="35" t="s">
        <v>84</v>
      </c>
      <c r="B492" s="35" t="s">
        <v>168</v>
      </c>
      <c r="C492" s="6">
        <f t="shared" si="7"/>
        <v>11</v>
      </c>
      <c r="D492" s="77">
        <v>7</v>
      </c>
      <c r="E492" s="77">
        <v>100</v>
      </c>
      <c r="F492" s="77">
        <v>1</v>
      </c>
      <c r="G492" s="77">
        <v>2</v>
      </c>
      <c r="H492" s="77">
        <v>0</v>
      </c>
      <c r="I492" s="77">
        <v>0</v>
      </c>
      <c r="J492" s="77">
        <v>1</v>
      </c>
    </row>
    <row r="493" spans="1:10" x14ac:dyDescent="0.25">
      <c r="A493" s="36" t="s">
        <v>84</v>
      </c>
      <c r="B493" s="36" t="s">
        <v>169</v>
      </c>
      <c r="C493" s="6">
        <f t="shared" si="7"/>
        <v>12</v>
      </c>
      <c r="D493" s="75">
        <v>0</v>
      </c>
      <c r="E493" s="75">
        <v>0</v>
      </c>
      <c r="F493" s="75">
        <v>1</v>
      </c>
      <c r="G493" s="75">
        <v>0</v>
      </c>
      <c r="H493" s="75">
        <v>0</v>
      </c>
      <c r="I493" s="75">
        <v>0</v>
      </c>
      <c r="J493" s="75">
        <v>0</v>
      </c>
    </row>
    <row r="494" spans="1:10" x14ac:dyDescent="0.25">
      <c r="A494" s="35" t="s">
        <v>81</v>
      </c>
      <c r="B494" s="35" t="s">
        <v>158</v>
      </c>
      <c r="C494" s="6">
        <f t="shared" si="7"/>
        <v>1</v>
      </c>
      <c r="D494" s="77">
        <v>0</v>
      </c>
      <c r="E494" s="77">
        <v>0</v>
      </c>
      <c r="F494" s="77">
        <v>0</v>
      </c>
      <c r="G494" s="77">
        <v>0</v>
      </c>
      <c r="H494" s="77">
        <v>0</v>
      </c>
      <c r="I494" s="77">
        <v>0</v>
      </c>
      <c r="J494" s="77">
        <v>0</v>
      </c>
    </row>
    <row r="495" spans="1:10" x14ac:dyDescent="0.25">
      <c r="A495" s="36" t="s">
        <v>81</v>
      </c>
      <c r="B495" s="36" t="s">
        <v>159</v>
      </c>
      <c r="C495" s="6">
        <f t="shared" si="7"/>
        <v>2</v>
      </c>
      <c r="D495" s="75">
        <v>0</v>
      </c>
      <c r="E495" s="75">
        <v>0</v>
      </c>
      <c r="F495" s="75">
        <v>0</v>
      </c>
      <c r="G495" s="75">
        <v>0</v>
      </c>
      <c r="H495" s="75">
        <v>0</v>
      </c>
      <c r="I495" s="75">
        <v>0</v>
      </c>
      <c r="J495" s="75">
        <v>0</v>
      </c>
    </row>
    <row r="496" spans="1:10" x14ac:dyDescent="0.25">
      <c r="A496" s="35" t="s">
        <v>81</v>
      </c>
      <c r="B496" s="35" t="s">
        <v>160</v>
      </c>
      <c r="C496" s="6">
        <f t="shared" si="7"/>
        <v>3</v>
      </c>
      <c r="D496" s="77">
        <v>0</v>
      </c>
      <c r="E496" s="77">
        <v>0</v>
      </c>
      <c r="F496" s="77">
        <v>0</v>
      </c>
      <c r="G496" s="77">
        <v>0</v>
      </c>
      <c r="H496" s="77">
        <v>1</v>
      </c>
      <c r="I496" s="77">
        <v>5</v>
      </c>
      <c r="J496" s="77">
        <v>0</v>
      </c>
    </row>
    <row r="497" spans="1:10" x14ac:dyDescent="0.25">
      <c r="A497" s="36" t="s">
        <v>81</v>
      </c>
      <c r="B497" s="36" t="s">
        <v>161</v>
      </c>
      <c r="C497" s="6">
        <f t="shared" si="7"/>
        <v>4</v>
      </c>
      <c r="D497" s="75">
        <v>0</v>
      </c>
      <c r="E497" s="75">
        <v>0</v>
      </c>
      <c r="F497" s="75">
        <v>0</v>
      </c>
      <c r="G497" s="75">
        <v>0</v>
      </c>
      <c r="H497" s="75">
        <v>0</v>
      </c>
      <c r="I497" s="75">
        <v>0</v>
      </c>
      <c r="J497" s="75">
        <v>0</v>
      </c>
    </row>
    <row r="498" spans="1:10" x14ac:dyDescent="0.25">
      <c r="A498" s="35" t="s">
        <v>81</v>
      </c>
      <c r="B498" s="35" t="s">
        <v>162</v>
      </c>
      <c r="C498" s="6">
        <f t="shared" si="7"/>
        <v>5</v>
      </c>
      <c r="D498" s="77">
        <v>0</v>
      </c>
      <c r="E498" s="77">
        <v>0</v>
      </c>
      <c r="F498" s="77">
        <v>0</v>
      </c>
      <c r="G498" s="77">
        <v>0</v>
      </c>
      <c r="H498" s="77">
        <v>2</v>
      </c>
      <c r="I498" s="77">
        <v>10</v>
      </c>
      <c r="J498" s="77">
        <v>0</v>
      </c>
    </row>
    <row r="499" spans="1:10" x14ac:dyDescent="0.25">
      <c r="A499" s="36" t="s">
        <v>81</v>
      </c>
      <c r="B499" s="36" t="s">
        <v>163</v>
      </c>
      <c r="C499" s="6">
        <f t="shared" si="7"/>
        <v>6</v>
      </c>
      <c r="D499" s="75">
        <v>0</v>
      </c>
      <c r="E499" s="75">
        <v>0</v>
      </c>
      <c r="F499" s="75">
        <v>0</v>
      </c>
      <c r="G499" s="75">
        <v>0</v>
      </c>
      <c r="H499" s="75">
        <v>0</v>
      </c>
      <c r="I499" s="75">
        <v>0</v>
      </c>
      <c r="J499" s="75">
        <v>0</v>
      </c>
    </row>
    <row r="500" spans="1:10" x14ac:dyDescent="0.25">
      <c r="A500" s="35" t="s">
        <v>81</v>
      </c>
      <c r="B500" s="35" t="s">
        <v>164</v>
      </c>
      <c r="C500" s="6">
        <f t="shared" si="7"/>
        <v>7</v>
      </c>
      <c r="D500" s="77">
        <v>0</v>
      </c>
      <c r="E500" s="77">
        <v>0</v>
      </c>
      <c r="F500" s="77">
        <v>0</v>
      </c>
      <c r="G500" s="77">
        <v>0</v>
      </c>
      <c r="H500" s="77">
        <v>0</v>
      </c>
      <c r="I500" s="77">
        <v>0</v>
      </c>
      <c r="J500" s="77">
        <v>0</v>
      </c>
    </row>
    <row r="501" spans="1:10" x14ac:dyDescent="0.25">
      <c r="A501" s="36" t="s">
        <v>81</v>
      </c>
      <c r="B501" s="36" t="s">
        <v>165</v>
      </c>
      <c r="C501" s="6">
        <f t="shared" si="7"/>
        <v>8</v>
      </c>
      <c r="D501" s="75">
        <v>0</v>
      </c>
      <c r="E501" s="75">
        <v>0</v>
      </c>
      <c r="F501" s="75">
        <v>0</v>
      </c>
      <c r="G501" s="75">
        <v>0</v>
      </c>
      <c r="H501" s="75">
        <v>0</v>
      </c>
      <c r="I501" s="75">
        <v>0</v>
      </c>
      <c r="J501" s="75">
        <v>0</v>
      </c>
    </row>
    <row r="502" spans="1:10" x14ac:dyDescent="0.25">
      <c r="A502" s="35" t="s">
        <v>81</v>
      </c>
      <c r="B502" s="35" t="s">
        <v>166</v>
      </c>
      <c r="C502" s="6">
        <f t="shared" si="7"/>
        <v>9</v>
      </c>
      <c r="D502" s="77">
        <v>0</v>
      </c>
      <c r="E502" s="77">
        <v>0</v>
      </c>
      <c r="F502" s="77">
        <v>0</v>
      </c>
      <c r="G502" s="77">
        <v>0</v>
      </c>
      <c r="H502" s="77">
        <v>12</v>
      </c>
      <c r="I502" s="77">
        <v>60</v>
      </c>
      <c r="J502" s="77">
        <v>0</v>
      </c>
    </row>
    <row r="503" spans="1:10" x14ac:dyDescent="0.25">
      <c r="A503" s="36" t="s">
        <v>81</v>
      </c>
      <c r="B503" s="36" t="s">
        <v>167</v>
      </c>
      <c r="C503" s="6">
        <f t="shared" si="7"/>
        <v>10</v>
      </c>
      <c r="D503" s="75">
        <v>6</v>
      </c>
      <c r="E503" s="75">
        <v>30</v>
      </c>
      <c r="F503" s="75">
        <v>0</v>
      </c>
      <c r="G503" s="75">
        <v>0</v>
      </c>
      <c r="H503" s="75">
        <v>0</v>
      </c>
      <c r="I503" s="75">
        <v>0</v>
      </c>
      <c r="J503" s="75">
        <v>2</v>
      </c>
    </row>
    <row r="504" spans="1:10" x14ac:dyDescent="0.25">
      <c r="A504" s="35" t="s">
        <v>81</v>
      </c>
      <c r="B504" s="35" t="s">
        <v>168</v>
      </c>
      <c r="C504" s="6">
        <f t="shared" si="7"/>
        <v>11</v>
      </c>
      <c r="D504" s="77">
        <v>0</v>
      </c>
      <c r="E504" s="77">
        <v>0</v>
      </c>
      <c r="F504" s="77">
        <v>0</v>
      </c>
      <c r="G504" s="77">
        <v>0</v>
      </c>
      <c r="H504" s="77">
        <v>0</v>
      </c>
      <c r="I504" s="77">
        <v>0</v>
      </c>
      <c r="J504" s="77">
        <v>0</v>
      </c>
    </row>
    <row r="505" spans="1:10" x14ac:dyDescent="0.25">
      <c r="A505" s="36" t="s">
        <v>81</v>
      </c>
      <c r="B505" s="36" t="s">
        <v>169</v>
      </c>
      <c r="C505" s="6">
        <f t="shared" si="7"/>
        <v>12</v>
      </c>
      <c r="D505" s="75">
        <v>0</v>
      </c>
      <c r="E505" s="75">
        <v>0</v>
      </c>
      <c r="F505" s="75">
        <v>0</v>
      </c>
      <c r="G505" s="75">
        <v>0</v>
      </c>
      <c r="H505" s="75">
        <v>0</v>
      </c>
      <c r="I505" s="75">
        <v>0</v>
      </c>
      <c r="J505" s="75">
        <v>0</v>
      </c>
    </row>
    <row r="506" spans="1:10" x14ac:dyDescent="0.25">
      <c r="A506" s="35" t="s">
        <v>53</v>
      </c>
      <c r="B506" s="35" t="s">
        <v>158</v>
      </c>
      <c r="C506" s="6">
        <f t="shared" si="7"/>
        <v>1</v>
      </c>
      <c r="D506" s="77">
        <v>0</v>
      </c>
      <c r="E506" s="77">
        <v>0</v>
      </c>
      <c r="F506" s="77">
        <v>0</v>
      </c>
      <c r="G506" s="77">
        <v>0</v>
      </c>
      <c r="H506" s="77">
        <v>0</v>
      </c>
      <c r="I506" s="77">
        <v>0</v>
      </c>
      <c r="J506" s="77">
        <v>0</v>
      </c>
    </row>
    <row r="507" spans="1:10" x14ac:dyDescent="0.25">
      <c r="A507" s="36" t="s">
        <v>53</v>
      </c>
      <c r="B507" s="36" t="s">
        <v>159</v>
      </c>
      <c r="C507" s="6">
        <f t="shared" si="7"/>
        <v>2</v>
      </c>
      <c r="D507" s="75">
        <v>0</v>
      </c>
      <c r="E507" s="75">
        <v>0</v>
      </c>
      <c r="F507" s="75">
        <v>0</v>
      </c>
      <c r="G507" s="75">
        <v>0</v>
      </c>
      <c r="H507" s="75">
        <v>0</v>
      </c>
      <c r="I507" s="75">
        <v>0</v>
      </c>
      <c r="J507" s="75">
        <v>0</v>
      </c>
    </row>
    <row r="508" spans="1:10" x14ac:dyDescent="0.25">
      <c r="A508" s="35" t="s">
        <v>53</v>
      </c>
      <c r="B508" s="35" t="s">
        <v>160</v>
      </c>
      <c r="C508" s="6">
        <f t="shared" si="7"/>
        <v>3</v>
      </c>
      <c r="D508" s="77">
        <v>0</v>
      </c>
      <c r="E508" s="77">
        <v>0</v>
      </c>
      <c r="F508" s="77">
        <v>0</v>
      </c>
      <c r="G508" s="77">
        <v>0</v>
      </c>
      <c r="H508" s="77">
        <v>0</v>
      </c>
      <c r="I508" s="77">
        <v>0</v>
      </c>
      <c r="J508" s="77">
        <v>0</v>
      </c>
    </row>
    <row r="509" spans="1:10" x14ac:dyDescent="0.25">
      <c r="A509" s="36" t="s">
        <v>53</v>
      </c>
      <c r="B509" s="36" t="s">
        <v>161</v>
      </c>
      <c r="C509" s="6">
        <f t="shared" si="7"/>
        <v>4</v>
      </c>
      <c r="D509" s="75">
        <v>3</v>
      </c>
      <c r="E509" s="75">
        <v>12</v>
      </c>
      <c r="F509" s="75">
        <v>0</v>
      </c>
      <c r="G509" s="75">
        <v>0</v>
      </c>
      <c r="H509" s="75">
        <v>0</v>
      </c>
      <c r="I509" s="75">
        <v>0</v>
      </c>
      <c r="J509" s="75">
        <v>1</v>
      </c>
    </row>
    <row r="510" spans="1:10" x14ac:dyDescent="0.25">
      <c r="A510" s="35" t="s">
        <v>53</v>
      </c>
      <c r="B510" s="35" t="s">
        <v>162</v>
      </c>
      <c r="C510" s="6">
        <f t="shared" si="7"/>
        <v>5</v>
      </c>
      <c r="D510" s="77">
        <v>0</v>
      </c>
      <c r="E510" s="77">
        <v>0</v>
      </c>
      <c r="F510" s="77">
        <v>0</v>
      </c>
      <c r="G510" s="77">
        <v>0</v>
      </c>
      <c r="H510" s="77">
        <v>0</v>
      </c>
      <c r="I510" s="77">
        <v>0</v>
      </c>
      <c r="J510" s="77">
        <v>0</v>
      </c>
    </row>
    <row r="511" spans="1:10" x14ac:dyDescent="0.25">
      <c r="A511" s="36" t="s">
        <v>53</v>
      </c>
      <c r="B511" s="36" t="s">
        <v>163</v>
      </c>
      <c r="C511" s="6">
        <f t="shared" si="7"/>
        <v>6</v>
      </c>
      <c r="D511" s="75">
        <v>3</v>
      </c>
      <c r="E511" s="75">
        <v>12</v>
      </c>
      <c r="F511" s="75">
        <v>0</v>
      </c>
      <c r="G511" s="75">
        <v>0</v>
      </c>
      <c r="H511" s="75">
        <v>2</v>
      </c>
      <c r="I511" s="75">
        <v>8</v>
      </c>
      <c r="J511" s="75">
        <v>1</v>
      </c>
    </row>
    <row r="512" spans="1:10" x14ac:dyDescent="0.25">
      <c r="A512" s="35" t="s">
        <v>53</v>
      </c>
      <c r="B512" s="35" t="s">
        <v>164</v>
      </c>
      <c r="C512" s="6">
        <f t="shared" si="7"/>
        <v>7</v>
      </c>
      <c r="D512" s="77">
        <v>3</v>
      </c>
      <c r="E512" s="77">
        <v>12</v>
      </c>
      <c r="F512" s="77">
        <v>0</v>
      </c>
      <c r="G512" s="77">
        <v>0</v>
      </c>
      <c r="H512" s="77">
        <v>0</v>
      </c>
      <c r="I512" s="77">
        <v>0</v>
      </c>
      <c r="J512" s="77">
        <v>1</v>
      </c>
    </row>
    <row r="513" spans="1:10" x14ac:dyDescent="0.25">
      <c r="A513" s="36" t="s">
        <v>53</v>
      </c>
      <c r="B513" s="36" t="s">
        <v>165</v>
      </c>
      <c r="C513" s="6">
        <f t="shared" si="7"/>
        <v>8</v>
      </c>
      <c r="D513" s="75">
        <v>0</v>
      </c>
      <c r="E513" s="75">
        <v>0</v>
      </c>
      <c r="F513" s="75">
        <v>0</v>
      </c>
      <c r="G513" s="75">
        <v>0</v>
      </c>
      <c r="H513" s="75">
        <v>0</v>
      </c>
      <c r="I513" s="75">
        <v>0</v>
      </c>
      <c r="J513" s="75">
        <v>0</v>
      </c>
    </row>
    <row r="514" spans="1:10" x14ac:dyDescent="0.25">
      <c r="A514" s="35" t="s">
        <v>53</v>
      </c>
      <c r="B514" s="35" t="s">
        <v>166</v>
      </c>
      <c r="C514" s="6">
        <f t="shared" ref="C514:C577" si="8">_xlfn.IFS(B514="Janeiro",1,B514="Fevereiro",2,B514="Março",3,B514="Abril",4,B514="Maio",5,B514="Junho",6,B514="Julho",7,B514="Agosto",8,B514="Setembro",9,B514="Outubro",10,B514="Novembro",11,B514="Dezembro",12,TRUE,0)</f>
        <v>9</v>
      </c>
      <c r="D514" s="77">
        <v>0</v>
      </c>
      <c r="E514" s="77">
        <v>0</v>
      </c>
      <c r="F514" s="77">
        <v>0</v>
      </c>
      <c r="G514" s="77">
        <v>0</v>
      </c>
      <c r="H514" s="77">
        <v>7</v>
      </c>
      <c r="I514" s="77">
        <v>29</v>
      </c>
      <c r="J514" s="77">
        <v>0</v>
      </c>
    </row>
    <row r="515" spans="1:10" x14ac:dyDescent="0.25">
      <c r="A515" s="36" t="s">
        <v>53</v>
      </c>
      <c r="B515" s="36" t="s">
        <v>167</v>
      </c>
      <c r="C515" s="6">
        <f t="shared" si="8"/>
        <v>10</v>
      </c>
      <c r="D515" s="75">
        <v>3</v>
      </c>
      <c r="E515" s="75">
        <v>12</v>
      </c>
      <c r="F515" s="75">
        <v>0</v>
      </c>
      <c r="G515" s="75">
        <v>0</v>
      </c>
      <c r="H515" s="75">
        <v>0</v>
      </c>
      <c r="I515" s="75">
        <v>0</v>
      </c>
      <c r="J515" s="75">
        <v>1</v>
      </c>
    </row>
    <row r="516" spans="1:10" x14ac:dyDescent="0.25">
      <c r="A516" s="35" t="s">
        <v>53</v>
      </c>
      <c r="B516" s="35" t="s">
        <v>168</v>
      </c>
      <c r="C516" s="6">
        <f t="shared" si="8"/>
        <v>11</v>
      </c>
      <c r="D516" s="77">
        <v>6</v>
      </c>
      <c r="E516" s="77">
        <v>25</v>
      </c>
      <c r="F516" s="77">
        <v>1</v>
      </c>
      <c r="G516" s="77">
        <v>5</v>
      </c>
      <c r="H516" s="77">
        <v>1</v>
      </c>
      <c r="I516" s="77">
        <v>4</v>
      </c>
      <c r="J516" s="77">
        <v>2</v>
      </c>
    </row>
    <row r="517" spans="1:10" x14ac:dyDescent="0.25">
      <c r="A517" s="36" t="s">
        <v>53</v>
      </c>
      <c r="B517" s="36" t="s">
        <v>169</v>
      </c>
      <c r="C517" s="6">
        <f t="shared" si="8"/>
        <v>12</v>
      </c>
      <c r="D517" s="75">
        <v>4</v>
      </c>
      <c r="E517" s="75">
        <v>16</v>
      </c>
      <c r="F517" s="75">
        <v>1</v>
      </c>
      <c r="G517" s="75">
        <v>0</v>
      </c>
      <c r="H517" s="75">
        <v>0</v>
      </c>
      <c r="I517" s="75">
        <v>0</v>
      </c>
      <c r="J517" s="75">
        <v>2</v>
      </c>
    </row>
    <row r="518" spans="1:10" x14ac:dyDescent="0.25">
      <c r="A518" s="35" t="s">
        <v>109</v>
      </c>
      <c r="B518" s="35" t="s">
        <v>158</v>
      </c>
      <c r="C518" s="6">
        <f t="shared" si="8"/>
        <v>1</v>
      </c>
      <c r="D518" s="77">
        <v>0</v>
      </c>
      <c r="E518" s="77">
        <v>0</v>
      </c>
      <c r="F518" s="77">
        <v>0</v>
      </c>
      <c r="G518" s="77">
        <v>0</v>
      </c>
      <c r="H518" s="77">
        <v>0</v>
      </c>
      <c r="I518" s="77">
        <v>0</v>
      </c>
      <c r="J518" s="77">
        <v>0</v>
      </c>
    </row>
    <row r="519" spans="1:10" x14ac:dyDescent="0.25">
      <c r="A519" s="36" t="s">
        <v>109</v>
      </c>
      <c r="B519" s="36" t="s">
        <v>159</v>
      </c>
      <c r="C519" s="6">
        <f t="shared" si="8"/>
        <v>2</v>
      </c>
      <c r="D519" s="75">
        <v>4</v>
      </c>
      <c r="E519" s="75">
        <v>36</v>
      </c>
      <c r="F519" s="75">
        <v>0</v>
      </c>
      <c r="G519" s="75">
        <v>0</v>
      </c>
      <c r="H519" s="75">
        <v>0</v>
      </c>
      <c r="I519" s="75">
        <v>0</v>
      </c>
      <c r="J519" s="75">
        <v>1</v>
      </c>
    </row>
    <row r="520" spans="1:10" x14ac:dyDescent="0.25">
      <c r="A520" s="35" t="s">
        <v>109</v>
      </c>
      <c r="B520" s="35" t="s">
        <v>160</v>
      </c>
      <c r="C520" s="6">
        <f t="shared" si="8"/>
        <v>3</v>
      </c>
      <c r="D520" s="77">
        <v>0</v>
      </c>
      <c r="E520" s="77">
        <v>0</v>
      </c>
      <c r="F520" s="77">
        <v>0</v>
      </c>
      <c r="G520" s="77">
        <v>0</v>
      </c>
      <c r="H520" s="77">
        <v>0</v>
      </c>
      <c r="I520" s="77">
        <v>0</v>
      </c>
      <c r="J520" s="77">
        <v>0</v>
      </c>
    </row>
    <row r="521" spans="1:10" x14ac:dyDescent="0.25">
      <c r="A521" s="36" t="s">
        <v>109</v>
      </c>
      <c r="B521" s="36" t="s">
        <v>161</v>
      </c>
      <c r="C521" s="6">
        <f t="shared" si="8"/>
        <v>4</v>
      </c>
      <c r="D521" s="75">
        <v>1</v>
      </c>
      <c r="E521" s="75">
        <v>9</v>
      </c>
      <c r="F521" s="75">
        <v>0</v>
      </c>
      <c r="G521" s="75">
        <v>0</v>
      </c>
      <c r="H521" s="75">
        <v>0</v>
      </c>
      <c r="I521" s="75">
        <v>0</v>
      </c>
      <c r="J521" s="75">
        <v>1</v>
      </c>
    </row>
    <row r="522" spans="1:10" x14ac:dyDescent="0.25">
      <c r="A522" s="35" t="s">
        <v>109</v>
      </c>
      <c r="B522" s="35" t="s">
        <v>162</v>
      </c>
      <c r="C522" s="6">
        <f t="shared" si="8"/>
        <v>5</v>
      </c>
      <c r="D522" s="77">
        <v>2</v>
      </c>
      <c r="E522" s="77">
        <v>18</v>
      </c>
      <c r="F522" s="77">
        <v>0</v>
      </c>
      <c r="G522" s="77">
        <v>0</v>
      </c>
      <c r="H522" s="77">
        <v>0</v>
      </c>
      <c r="I522" s="77">
        <v>0</v>
      </c>
      <c r="J522" s="77">
        <v>1</v>
      </c>
    </row>
    <row r="523" spans="1:10" x14ac:dyDescent="0.25">
      <c r="A523" s="36" t="s">
        <v>109</v>
      </c>
      <c r="B523" s="36" t="s">
        <v>163</v>
      </c>
      <c r="C523" s="6">
        <f t="shared" si="8"/>
        <v>6</v>
      </c>
      <c r="D523" s="75">
        <v>2</v>
      </c>
      <c r="E523" s="75">
        <v>18</v>
      </c>
      <c r="F523" s="75">
        <v>0</v>
      </c>
      <c r="G523" s="75">
        <v>0</v>
      </c>
      <c r="H523" s="75">
        <v>8</v>
      </c>
      <c r="I523" s="75">
        <v>72</v>
      </c>
      <c r="J523" s="75">
        <v>1</v>
      </c>
    </row>
    <row r="524" spans="1:10" x14ac:dyDescent="0.25">
      <c r="A524" s="35" t="s">
        <v>109</v>
      </c>
      <c r="B524" s="35" t="s">
        <v>164</v>
      </c>
      <c r="C524" s="6">
        <f t="shared" si="8"/>
        <v>7</v>
      </c>
      <c r="D524" s="77">
        <v>2</v>
      </c>
      <c r="E524" s="77">
        <v>18</v>
      </c>
      <c r="F524" s="77">
        <v>1</v>
      </c>
      <c r="G524" s="77">
        <v>2</v>
      </c>
      <c r="H524" s="77">
        <v>0</v>
      </c>
      <c r="I524" s="77">
        <v>0</v>
      </c>
      <c r="J524" s="77">
        <v>2</v>
      </c>
    </row>
    <row r="525" spans="1:10" x14ac:dyDescent="0.25">
      <c r="A525" s="36" t="s">
        <v>109</v>
      </c>
      <c r="B525" s="36" t="s">
        <v>165</v>
      </c>
      <c r="C525" s="6">
        <f t="shared" si="8"/>
        <v>8</v>
      </c>
      <c r="D525" s="75">
        <v>2</v>
      </c>
      <c r="E525" s="75">
        <v>18</v>
      </c>
      <c r="F525" s="75">
        <v>0</v>
      </c>
      <c r="G525" s="75">
        <v>0</v>
      </c>
      <c r="H525" s="75">
        <v>0</v>
      </c>
      <c r="I525" s="75">
        <v>0</v>
      </c>
      <c r="J525" s="75">
        <v>1</v>
      </c>
    </row>
    <row r="526" spans="1:10" x14ac:dyDescent="0.25">
      <c r="A526" s="35" t="s">
        <v>109</v>
      </c>
      <c r="B526" s="35" t="s">
        <v>166</v>
      </c>
      <c r="C526" s="6">
        <f t="shared" si="8"/>
        <v>9</v>
      </c>
      <c r="D526" s="77">
        <v>5</v>
      </c>
      <c r="E526" s="77">
        <v>45</v>
      </c>
      <c r="F526" s="77">
        <v>0</v>
      </c>
      <c r="G526" s="77">
        <v>0</v>
      </c>
      <c r="H526" s="77">
        <v>3</v>
      </c>
      <c r="I526" s="77">
        <v>27</v>
      </c>
      <c r="J526" s="77">
        <v>2</v>
      </c>
    </row>
    <row r="527" spans="1:10" x14ac:dyDescent="0.25">
      <c r="A527" s="36" t="s">
        <v>109</v>
      </c>
      <c r="B527" s="36" t="s">
        <v>167</v>
      </c>
      <c r="C527" s="6">
        <f t="shared" si="8"/>
        <v>10</v>
      </c>
      <c r="D527" s="75">
        <v>0</v>
      </c>
      <c r="E527" s="75">
        <v>0</v>
      </c>
      <c r="F527" s="75">
        <v>0</v>
      </c>
      <c r="G527" s="75">
        <v>0</v>
      </c>
      <c r="H527" s="75">
        <v>0</v>
      </c>
      <c r="I527" s="75">
        <v>0</v>
      </c>
      <c r="J527" s="75">
        <v>0</v>
      </c>
    </row>
    <row r="528" spans="1:10" x14ac:dyDescent="0.25">
      <c r="A528" s="35" t="s">
        <v>109</v>
      </c>
      <c r="B528" s="35" t="s">
        <v>168</v>
      </c>
      <c r="C528" s="6">
        <f t="shared" si="8"/>
        <v>11</v>
      </c>
      <c r="D528" s="77">
        <v>2</v>
      </c>
      <c r="E528" s="77">
        <v>18</v>
      </c>
      <c r="F528" s="77">
        <v>0</v>
      </c>
      <c r="G528" s="77">
        <v>0</v>
      </c>
      <c r="H528" s="77">
        <v>7</v>
      </c>
      <c r="I528" s="77">
        <v>63</v>
      </c>
      <c r="J528" s="77">
        <v>1</v>
      </c>
    </row>
    <row r="529" spans="1:10" x14ac:dyDescent="0.25">
      <c r="A529" s="36" t="s">
        <v>109</v>
      </c>
      <c r="B529" s="36" t="s">
        <v>169</v>
      </c>
      <c r="C529" s="6">
        <f t="shared" si="8"/>
        <v>12</v>
      </c>
      <c r="D529" s="75">
        <v>0</v>
      </c>
      <c r="E529" s="75">
        <v>0</v>
      </c>
      <c r="F529" s="75">
        <v>1</v>
      </c>
      <c r="G529" s="75">
        <v>1</v>
      </c>
      <c r="H529" s="75">
        <v>0</v>
      </c>
      <c r="I529" s="75">
        <v>0</v>
      </c>
      <c r="J529" s="75">
        <v>6</v>
      </c>
    </row>
    <row r="530" spans="1:10" x14ac:dyDescent="0.25">
      <c r="A530" s="35" t="s">
        <v>102</v>
      </c>
      <c r="B530" s="35" t="s">
        <v>158</v>
      </c>
      <c r="C530" s="6">
        <f t="shared" si="8"/>
        <v>1</v>
      </c>
      <c r="D530" s="77">
        <v>0</v>
      </c>
      <c r="E530" s="77">
        <v>0</v>
      </c>
      <c r="F530" s="77">
        <v>0</v>
      </c>
      <c r="G530" s="77">
        <v>0</v>
      </c>
      <c r="H530" s="77">
        <v>0</v>
      </c>
      <c r="I530" s="77">
        <v>0</v>
      </c>
      <c r="J530" s="77">
        <v>5</v>
      </c>
    </row>
    <row r="531" spans="1:10" x14ac:dyDescent="0.25">
      <c r="A531" s="36" t="s">
        <v>102</v>
      </c>
      <c r="B531" s="36" t="s">
        <v>159</v>
      </c>
      <c r="C531" s="6">
        <f t="shared" si="8"/>
        <v>2</v>
      </c>
      <c r="D531" s="75">
        <v>0</v>
      </c>
      <c r="E531" s="75">
        <v>0</v>
      </c>
      <c r="F531" s="75">
        <v>0</v>
      </c>
      <c r="G531" s="75">
        <v>0</v>
      </c>
      <c r="H531" s="75">
        <v>0</v>
      </c>
      <c r="I531" s="75">
        <v>0</v>
      </c>
      <c r="J531" s="75">
        <v>2</v>
      </c>
    </row>
    <row r="532" spans="1:10" x14ac:dyDescent="0.25">
      <c r="A532" s="35" t="s">
        <v>102</v>
      </c>
      <c r="B532" s="35" t="s">
        <v>160</v>
      </c>
      <c r="C532" s="6">
        <f t="shared" si="8"/>
        <v>3</v>
      </c>
      <c r="D532" s="77">
        <v>0</v>
      </c>
      <c r="E532" s="77">
        <v>0</v>
      </c>
      <c r="F532" s="77">
        <v>0</v>
      </c>
      <c r="G532" s="77">
        <v>0</v>
      </c>
      <c r="H532" s="77">
        <v>0</v>
      </c>
      <c r="I532" s="77">
        <v>0</v>
      </c>
      <c r="J532" s="77">
        <v>5</v>
      </c>
    </row>
    <row r="533" spans="1:10" x14ac:dyDescent="0.25">
      <c r="A533" s="36" t="s">
        <v>102</v>
      </c>
      <c r="B533" s="36" t="s">
        <v>161</v>
      </c>
      <c r="C533" s="6">
        <f t="shared" si="8"/>
        <v>4</v>
      </c>
      <c r="D533" s="75">
        <v>0</v>
      </c>
      <c r="E533" s="75">
        <v>0</v>
      </c>
      <c r="F533" s="75">
        <v>0</v>
      </c>
      <c r="G533" s="75">
        <v>0</v>
      </c>
      <c r="H533" s="75">
        <v>0</v>
      </c>
      <c r="I533" s="75">
        <v>0</v>
      </c>
      <c r="J533" s="75">
        <v>4</v>
      </c>
    </row>
    <row r="534" spans="1:10" x14ac:dyDescent="0.25">
      <c r="A534" s="35" t="s">
        <v>102</v>
      </c>
      <c r="B534" s="35" t="s">
        <v>162</v>
      </c>
      <c r="C534" s="6">
        <f t="shared" si="8"/>
        <v>5</v>
      </c>
      <c r="D534" s="77">
        <v>0</v>
      </c>
      <c r="E534" s="77">
        <v>0</v>
      </c>
      <c r="F534" s="77">
        <v>0</v>
      </c>
      <c r="G534" s="77">
        <v>0</v>
      </c>
      <c r="H534" s="77">
        <v>0</v>
      </c>
      <c r="I534" s="77">
        <v>0</v>
      </c>
      <c r="J534" s="77">
        <v>11</v>
      </c>
    </row>
    <row r="535" spans="1:10" x14ac:dyDescent="0.25">
      <c r="A535" s="36" t="s">
        <v>102</v>
      </c>
      <c r="B535" s="36" t="s">
        <v>163</v>
      </c>
      <c r="C535" s="6">
        <f t="shared" si="8"/>
        <v>6</v>
      </c>
      <c r="D535" s="75">
        <v>0</v>
      </c>
      <c r="E535" s="75">
        <v>0</v>
      </c>
      <c r="F535" s="75">
        <v>1</v>
      </c>
      <c r="G535" s="75">
        <v>0</v>
      </c>
      <c r="H535" s="75">
        <v>0</v>
      </c>
      <c r="I535" s="75">
        <v>0</v>
      </c>
      <c r="J535" s="75">
        <v>2</v>
      </c>
    </row>
    <row r="536" spans="1:10" x14ac:dyDescent="0.25">
      <c r="A536" s="35" t="s">
        <v>102</v>
      </c>
      <c r="B536" s="35" t="s">
        <v>164</v>
      </c>
      <c r="C536" s="6">
        <f t="shared" si="8"/>
        <v>7</v>
      </c>
      <c r="D536" s="77">
        <v>0</v>
      </c>
      <c r="E536" s="77">
        <v>0</v>
      </c>
      <c r="F536" s="77">
        <v>2</v>
      </c>
      <c r="G536" s="77">
        <v>1</v>
      </c>
      <c r="H536" s="77">
        <v>0</v>
      </c>
      <c r="I536" s="77">
        <v>0</v>
      </c>
      <c r="J536" s="77">
        <v>4</v>
      </c>
    </row>
    <row r="537" spans="1:10" x14ac:dyDescent="0.25">
      <c r="A537" s="36" t="s">
        <v>102</v>
      </c>
      <c r="B537" s="36" t="s">
        <v>165</v>
      </c>
      <c r="C537" s="6">
        <f t="shared" si="8"/>
        <v>8</v>
      </c>
      <c r="D537" s="75">
        <v>0</v>
      </c>
      <c r="E537" s="75">
        <v>0</v>
      </c>
      <c r="F537" s="75">
        <v>2</v>
      </c>
      <c r="G537" s="75">
        <v>0</v>
      </c>
      <c r="H537" s="75">
        <v>0</v>
      </c>
      <c r="I537" s="75">
        <v>0</v>
      </c>
      <c r="J537" s="75">
        <v>7</v>
      </c>
    </row>
    <row r="538" spans="1:10" x14ac:dyDescent="0.25">
      <c r="A538" s="35" t="s">
        <v>102</v>
      </c>
      <c r="B538" s="35" t="s">
        <v>166</v>
      </c>
      <c r="C538" s="6">
        <f t="shared" si="8"/>
        <v>9</v>
      </c>
      <c r="D538" s="77">
        <v>0</v>
      </c>
      <c r="E538" s="77">
        <v>0</v>
      </c>
      <c r="F538" s="77">
        <v>2</v>
      </c>
      <c r="G538" s="77">
        <v>1</v>
      </c>
      <c r="H538" s="77">
        <v>0</v>
      </c>
      <c r="I538" s="77">
        <v>0</v>
      </c>
      <c r="J538" s="77">
        <v>3</v>
      </c>
    </row>
    <row r="539" spans="1:10" x14ac:dyDescent="0.25">
      <c r="A539" s="36" t="s">
        <v>102</v>
      </c>
      <c r="B539" s="36" t="s">
        <v>167</v>
      </c>
      <c r="C539" s="6">
        <f t="shared" si="8"/>
        <v>10</v>
      </c>
      <c r="D539" s="75">
        <v>0</v>
      </c>
      <c r="E539" s="75">
        <v>0</v>
      </c>
      <c r="F539" s="75">
        <v>1</v>
      </c>
      <c r="G539" s="75">
        <v>1</v>
      </c>
      <c r="H539" s="75">
        <v>0</v>
      </c>
      <c r="I539" s="75">
        <v>0</v>
      </c>
      <c r="J539" s="75">
        <v>8</v>
      </c>
    </row>
    <row r="540" spans="1:10" x14ac:dyDescent="0.25">
      <c r="A540" s="35" t="s">
        <v>102</v>
      </c>
      <c r="B540" s="35" t="s">
        <v>168</v>
      </c>
      <c r="C540" s="6">
        <f t="shared" si="8"/>
        <v>11</v>
      </c>
      <c r="D540" s="77">
        <v>0</v>
      </c>
      <c r="E540" s="77">
        <v>0</v>
      </c>
      <c r="F540" s="77">
        <v>2</v>
      </c>
      <c r="G540" s="77">
        <v>0</v>
      </c>
      <c r="H540" s="77">
        <v>0</v>
      </c>
      <c r="I540" s="77">
        <v>0</v>
      </c>
      <c r="J540" s="77">
        <v>2</v>
      </c>
    </row>
    <row r="541" spans="1:10" x14ac:dyDescent="0.25">
      <c r="A541" s="36" t="s">
        <v>102</v>
      </c>
      <c r="B541" s="36" t="s">
        <v>169</v>
      </c>
      <c r="C541" s="6">
        <f t="shared" si="8"/>
        <v>12</v>
      </c>
      <c r="D541" s="75">
        <v>0</v>
      </c>
      <c r="E541" s="75">
        <v>0</v>
      </c>
      <c r="F541" s="75">
        <v>0</v>
      </c>
      <c r="G541" s="75">
        <v>0</v>
      </c>
      <c r="H541" s="75">
        <v>0</v>
      </c>
      <c r="I541" s="75">
        <v>0</v>
      </c>
      <c r="J541" s="75">
        <v>1</v>
      </c>
    </row>
    <row r="542" spans="1:10" x14ac:dyDescent="0.25">
      <c r="A542" s="35" t="s">
        <v>113</v>
      </c>
      <c r="B542" s="35" t="s">
        <v>158</v>
      </c>
      <c r="C542" s="6">
        <f t="shared" si="8"/>
        <v>1</v>
      </c>
      <c r="D542" s="77">
        <v>0</v>
      </c>
      <c r="E542" s="77">
        <v>0</v>
      </c>
      <c r="F542" s="77">
        <v>0</v>
      </c>
      <c r="G542" s="77">
        <v>0</v>
      </c>
      <c r="H542" s="77">
        <v>0</v>
      </c>
      <c r="I542" s="77">
        <v>0</v>
      </c>
      <c r="J542" s="77">
        <v>0</v>
      </c>
    </row>
    <row r="543" spans="1:10" x14ac:dyDescent="0.25">
      <c r="A543" s="36" t="s">
        <v>113</v>
      </c>
      <c r="B543" s="36" t="s">
        <v>159</v>
      </c>
      <c r="C543" s="6">
        <f t="shared" si="8"/>
        <v>2</v>
      </c>
      <c r="D543" s="75">
        <v>0</v>
      </c>
      <c r="E543" s="75">
        <v>0</v>
      </c>
      <c r="F543" s="75">
        <v>0</v>
      </c>
      <c r="G543" s="75">
        <v>0</v>
      </c>
      <c r="H543" s="75">
        <v>0</v>
      </c>
      <c r="I543" s="75">
        <v>0</v>
      </c>
      <c r="J543" s="75">
        <v>0</v>
      </c>
    </row>
    <row r="544" spans="1:10" x14ac:dyDescent="0.25">
      <c r="A544" s="35" t="s">
        <v>113</v>
      </c>
      <c r="B544" s="35" t="s">
        <v>160</v>
      </c>
      <c r="C544" s="6">
        <f t="shared" si="8"/>
        <v>3</v>
      </c>
      <c r="D544" s="77">
        <v>2</v>
      </c>
      <c r="E544" s="77">
        <v>8</v>
      </c>
      <c r="F544" s="77">
        <v>0</v>
      </c>
      <c r="G544" s="77">
        <v>0</v>
      </c>
      <c r="H544" s="77">
        <v>1</v>
      </c>
      <c r="I544" s="77">
        <v>4</v>
      </c>
      <c r="J544" s="77">
        <v>1</v>
      </c>
    </row>
    <row r="545" spans="1:10" x14ac:dyDescent="0.25">
      <c r="A545" s="36" t="s">
        <v>113</v>
      </c>
      <c r="B545" s="36" t="s">
        <v>161</v>
      </c>
      <c r="C545" s="6">
        <f t="shared" si="8"/>
        <v>4</v>
      </c>
      <c r="D545" s="75">
        <v>4</v>
      </c>
      <c r="E545" s="75">
        <v>16</v>
      </c>
      <c r="F545" s="75">
        <v>0</v>
      </c>
      <c r="G545" s="75">
        <v>0</v>
      </c>
      <c r="H545" s="75">
        <v>0</v>
      </c>
      <c r="I545" s="75">
        <v>0</v>
      </c>
      <c r="J545" s="75">
        <v>2</v>
      </c>
    </row>
    <row r="546" spans="1:10" x14ac:dyDescent="0.25">
      <c r="A546" s="35" t="s">
        <v>113</v>
      </c>
      <c r="B546" s="35" t="s">
        <v>162</v>
      </c>
      <c r="C546" s="6">
        <f t="shared" si="8"/>
        <v>5</v>
      </c>
      <c r="D546" s="77">
        <v>5</v>
      </c>
      <c r="E546" s="77">
        <v>20</v>
      </c>
      <c r="F546" s="77">
        <v>0</v>
      </c>
      <c r="G546" s="77">
        <v>0</v>
      </c>
      <c r="H546" s="77">
        <v>0</v>
      </c>
      <c r="I546" s="77">
        <v>0</v>
      </c>
      <c r="J546" s="77">
        <v>1</v>
      </c>
    </row>
    <row r="547" spans="1:10" x14ac:dyDescent="0.25">
      <c r="A547" s="36" t="s">
        <v>113</v>
      </c>
      <c r="B547" s="36" t="s">
        <v>163</v>
      </c>
      <c r="C547" s="6">
        <f t="shared" si="8"/>
        <v>6</v>
      </c>
      <c r="D547" s="75">
        <v>2</v>
      </c>
      <c r="E547" s="75">
        <v>8</v>
      </c>
      <c r="F547" s="75">
        <v>0</v>
      </c>
      <c r="G547" s="75">
        <v>0</v>
      </c>
      <c r="H547" s="75">
        <v>0</v>
      </c>
      <c r="I547" s="75">
        <v>0</v>
      </c>
      <c r="J547" s="75">
        <v>1</v>
      </c>
    </row>
    <row r="548" spans="1:10" x14ac:dyDescent="0.25">
      <c r="A548" s="35" t="s">
        <v>113</v>
      </c>
      <c r="B548" s="35" t="s">
        <v>164</v>
      </c>
      <c r="C548" s="6">
        <f t="shared" si="8"/>
        <v>7</v>
      </c>
      <c r="D548" s="77">
        <v>0</v>
      </c>
      <c r="E548" s="77">
        <v>0</v>
      </c>
      <c r="F548" s="77">
        <v>0</v>
      </c>
      <c r="G548" s="77">
        <v>0</v>
      </c>
      <c r="H548" s="77">
        <v>0</v>
      </c>
      <c r="I548" s="77">
        <v>0</v>
      </c>
      <c r="J548" s="77">
        <v>0</v>
      </c>
    </row>
    <row r="549" spans="1:10" x14ac:dyDescent="0.25">
      <c r="A549" s="36" t="s">
        <v>113</v>
      </c>
      <c r="B549" s="36" t="s">
        <v>165</v>
      </c>
      <c r="C549" s="6">
        <f t="shared" si="8"/>
        <v>8</v>
      </c>
      <c r="D549" s="75">
        <v>6</v>
      </c>
      <c r="E549" s="75">
        <v>25</v>
      </c>
      <c r="F549" s="75">
        <v>0</v>
      </c>
      <c r="G549" s="75">
        <v>0</v>
      </c>
      <c r="H549" s="75">
        <v>0</v>
      </c>
      <c r="I549" s="75">
        <v>0</v>
      </c>
      <c r="J549" s="75">
        <v>2</v>
      </c>
    </row>
    <row r="550" spans="1:10" x14ac:dyDescent="0.25">
      <c r="A550" s="35" t="s">
        <v>113</v>
      </c>
      <c r="B550" s="35" t="s">
        <v>166</v>
      </c>
      <c r="C550" s="6">
        <f t="shared" si="8"/>
        <v>9</v>
      </c>
      <c r="D550" s="77">
        <v>0</v>
      </c>
      <c r="E550" s="77">
        <v>0</v>
      </c>
      <c r="F550" s="77">
        <v>0</v>
      </c>
      <c r="G550" s="77">
        <v>0</v>
      </c>
      <c r="H550" s="77">
        <v>5</v>
      </c>
      <c r="I550" s="77">
        <v>20</v>
      </c>
      <c r="J550" s="77">
        <v>0</v>
      </c>
    </row>
    <row r="551" spans="1:10" x14ac:dyDescent="0.25">
      <c r="A551" s="36" t="s">
        <v>113</v>
      </c>
      <c r="B551" s="36" t="s">
        <v>167</v>
      </c>
      <c r="C551" s="6">
        <f t="shared" si="8"/>
        <v>10</v>
      </c>
      <c r="D551" s="75">
        <v>6</v>
      </c>
      <c r="E551" s="75">
        <v>25</v>
      </c>
      <c r="F551" s="75">
        <v>0</v>
      </c>
      <c r="G551" s="75">
        <v>0</v>
      </c>
      <c r="H551" s="75">
        <v>5</v>
      </c>
      <c r="I551" s="75">
        <v>20</v>
      </c>
      <c r="J551" s="75">
        <v>2</v>
      </c>
    </row>
    <row r="552" spans="1:10" x14ac:dyDescent="0.25">
      <c r="A552" s="35" t="s">
        <v>113</v>
      </c>
      <c r="B552" s="35" t="s">
        <v>168</v>
      </c>
      <c r="C552" s="6">
        <f t="shared" si="8"/>
        <v>11</v>
      </c>
      <c r="D552" s="77">
        <v>1</v>
      </c>
      <c r="E552" s="77">
        <v>4</v>
      </c>
      <c r="F552" s="77">
        <v>0</v>
      </c>
      <c r="G552" s="77">
        <v>0</v>
      </c>
      <c r="H552" s="77">
        <v>0</v>
      </c>
      <c r="I552" s="77">
        <v>0</v>
      </c>
      <c r="J552" s="77">
        <v>1</v>
      </c>
    </row>
    <row r="553" spans="1:10" x14ac:dyDescent="0.25">
      <c r="A553" s="36" t="s">
        <v>113</v>
      </c>
      <c r="B553" s="36" t="s">
        <v>169</v>
      </c>
      <c r="C553" s="6">
        <f t="shared" si="8"/>
        <v>12</v>
      </c>
      <c r="D553" s="75">
        <v>0</v>
      </c>
      <c r="E553" s="75">
        <v>0</v>
      </c>
      <c r="F553" s="75">
        <v>0</v>
      </c>
      <c r="G553" s="75">
        <v>0</v>
      </c>
      <c r="H553" s="75">
        <v>0</v>
      </c>
      <c r="I553" s="75">
        <v>0</v>
      </c>
      <c r="J553" s="75">
        <v>0</v>
      </c>
    </row>
    <row r="554" spans="1:10" x14ac:dyDescent="0.25">
      <c r="A554" s="35" t="s">
        <v>100</v>
      </c>
      <c r="B554" s="35" t="s">
        <v>158</v>
      </c>
      <c r="C554" s="6">
        <f t="shared" si="8"/>
        <v>1</v>
      </c>
      <c r="D554" s="77">
        <v>0</v>
      </c>
      <c r="E554" s="77">
        <v>0</v>
      </c>
      <c r="F554" s="77">
        <v>0</v>
      </c>
      <c r="G554" s="77">
        <v>0</v>
      </c>
      <c r="H554" s="77">
        <v>3</v>
      </c>
      <c r="I554" s="77">
        <v>9</v>
      </c>
      <c r="J554" s="77">
        <v>0</v>
      </c>
    </row>
    <row r="555" spans="1:10" x14ac:dyDescent="0.25">
      <c r="A555" s="36" t="s">
        <v>100</v>
      </c>
      <c r="B555" s="36" t="s">
        <v>159</v>
      </c>
      <c r="C555" s="6">
        <f t="shared" si="8"/>
        <v>2</v>
      </c>
      <c r="D555" s="75">
        <v>2</v>
      </c>
      <c r="E555" s="75">
        <v>6</v>
      </c>
      <c r="F555" s="75">
        <v>0</v>
      </c>
      <c r="G555" s="75">
        <v>0</v>
      </c>
      <c r="H555" s="75">
        <v>0</v>
      </c>
      <c r="I555" s="75">
        <v>0</v>
      </c>
      <c r="J555" s="75">
        <v>1</v>
      </c>
    </row>
    <row r="556" spans="1:10" x14ac:dyDescent="0.25">
      <c r="A556" s="35" t="s">
        <v>100</v>
      </c>
      <c r="B556" s="35" t="s">
        <v>160</v>
      </c>
      <c r="C556" s="6">
        <f t="shared" si="8"/>
        <v>3</v>
      </c>
      <c r="D556" s="77">
        <v>3</v>
      </c>
      <c r="E556" s="77">
        <v>9</v>
      </c>
      <c r="F556" s="77">
        <v>0</v>
      </c>
      <c r="G556" s="77">
        <v>0</v>
      </c>
      <c r="H556" s="77">
        <v>8</v>
      </c>
      <c r="I556" s="77">
        <v>25</v>
      </c>
      <c r="J556" s="77">
        <v>1</v>
      </c>
    </row>
    <row r="557" spans="1:10" x14ac:dyDescent="0.25">
      <c r="A557" s="36" t="s">
        <v>100</v>
      </c>
      <c r="B557" s="36" t="s">
        <v>161</v>
      </c>
      <c r="C557" s="6">
        <f t="shared" si="8"/>
        <v>4</v>
      </c>
      <c r="D557" s="75">
        <v>5</v>
      </c>
      <c r="E557" s="75">
        <v>16</v>
      </c>
      <c r="F557" s="75">
        <v>0</v>
      </c>
      <c r="G557" s="75">
        <v>0</v>
      </c>
      <c r="H557" s="75">
        <v>0</v>
      </c>
      <c r="I557" s="75">
        <v>0</v>
      </c>
      <c r="J557" s="75">
        <v>2</v>
      </c>
    </row>
    <row r="558" spans="1:10" x14ac:dyDescent="0.25">
      <c r="A558" s="35" t="s">
        <v>100</v>
      </c>
      <c r="B558" s="35" t="s">
        <v>162</v>
      </c>
      <c r="C558" s="6">
        <f t="shared" si="8"/>
        <v>5</v>
      </c>
      <c r="D558" s="77">
        <v>0</v>
      </c>
      <c r="E558" s="77">
        <v>0</v>
      </c>
      <c r="F558" s="77">
        <v>0</v>
      </c>
      <c r="G558" s="77">
        <v>0</v>
      </c>
      <c r="H558" s="77">
        <v>0</v>
      </c>
      <c r="I558" s="77">
        <v>0</v>
      </c>
      <c r="J558" s="77">
        <v>0</v>
      </c>
    </row>
    <row r="559" spans="1:10" x14ac:dyDescent="0.25">
      <c r="A559" s="36" t="s">
        <v>100</v>
      </c>
      <c r="B559" s="36" t="s">
        <v>163</v>
      </c>
      <c r="C559" s="6">
        <f t="shared" si="8"/>
        <v>6</v>
      </c>
      <c r="D559" s="75">
        <v>0</v>
      </c>
      <c r="E559" s="75">
        <v>0</v>
      </c>
      <c r="F559" s="75">
        <v>0</v>
      </c>
      <c r="G559" s="75">
        <v>0</v>
      </c>
      <c r="H559" s="75">
        <v>11</v>
      </c>
      <c r="I559" s="75">
        <v>35</v>
      </c>
      <c r="J559" s="75">
        <v>0</v>
      </c>
    </row>
    <row r="560" spans="1:10" x14ac:dyDescent="0.25">
      <c r="A560" s="35" t="s">
        <v>100</v>
      </c>
      <c r="B560" s="35" t="s">
        <v>164</v>
      </c>
      <c r="C560" s="6">
        <f t="shared" si="8"/>
        <v>7</v>
      </c>
      <c r="D560" s="77">
        <v>9</v>
      </c>
      <c r="E560" s="77">
        <v>29</v>
      </c>
      <c r="F560" s="77">
        <v>2</v>
      </c>
      <c r="G560" s="77">
        <v>6</v>
      </c>
      <c r="H560" s="77">
        <v>0</v>
      </c>
      <c r="I560" s="77">
        <v>0</v>
      </c>
      <c r="J560" s="77">
        <v>2</v>
      </c>
    </row>
    <row r="561" spans="1:10" x14ac:dyDescent="0.25">
      <c r="A561" s="36" t="s">
        <v>100</v>
      </c>
      <c r="B561" s="36" t="s">
        <v>165</v>
      </c>
      <c r="C561" s="6">
        <f t="shared" si="8"/>
        <v>8</v>
      </c>
      <c r="D561" s="75">
        <v>5</v>
      </c>
      <c r="E561" s="75">
        <v>16</v>
      </c>
      <c r="F561" s="75">
        <v>0</v>
      </c>
      <c r="G561" s="75">
        <v>0</v>
      </c>
      <c r="H561" s="75">
        <v>0</v>
      </c>
      <c r="I561" s="75">
        <v>0</v>
      </c>
      <c r="J561" s="75">
        <v>2</v>
      </c>
    </row>
    <row r="562" spans="1:10" x14ac:dyDescent="0.25">
      <c r="A562" s="35" t="s">
        <v>100</v>
      </c>
      <c r="B562" s="35" t="s">
        <v>166</v>
      </c>
      <c r="C562" s="6">
        <f t="shared" si="8"/>
        <v>9</v>
      </c>
      <c r="D562" s="77">
        <v>0</v>
      </c>
      <c r="E562" s="77">
        <v>0</v>
      </c>
      <c r="F562" s="77">
        <v>0</v>
      </c>
      <c r="G562" s="77">
        <v>0</v>
      </c>
      <c r="H562" s="77">
        <v>14</v>
      </c>
      <c r="I562" s="77">
        <v>45</v>
      </c>
      <c r="J562" s="77">
        <v>0</v>
      </c>
    </row>
    <row r="563" spans="1:10" x14ac:dyDescent="0.25">
      <c r="A563" s="36" t="s">
        <v>100</v>
      </c>
      <c r="B563" s="36" t="s">
        <v>167</v>
      </c>
      <c r="C563" s="6">
        <f t="shared" si="8"/>
        <v>10</v>
      </c>
      <c r="D563" s="75">
        <v>8</v>
      </c>
      <c r="E563" s="75">
        <v>25</v>
      </c>
      <c r="F563" s="75">
        <v>0</v>
      </c>
      <c r="G563" s="75">
        <v>0</v>
      </c>
      <c r="H563" s="75">
        <v>0</v>
      </c>
      <c r="I563" s="75">
        <v>0</v>
      </c>
      <c r="J563" s="75">
        <v>2</v>
      </c>
    </row>
    <row r="564" spans="1:10" x14ac:dyDescent="0.25">
      <c r="A564" s="35" t="s">
        <v>100</v>
      </c>
      <c r="B564" s="35" t="s">
        <v>168</v>
      </c>
      <c r="C564" s="6">
        <f t="shared" si="8"/>
        <v>11</v>
      </c>
      <c r="D564" s="77">
        <v>6</v>
      </c>
      <c r="E564" s="77">
        <v>19</v>
      </c>
      <c r="F564" s="77">
        <v>2</v>
      </c>
      <c r="G564" s="77">
        <v>0</v>
      </c>
      <c r="H564" s="77">
        <v>9</v>
      </c>
      <c r="I564" s="77">
        <v>29</v>
      </c>
      <c r="J564" s="77">
        <v>2</v>
      </c>
    </row>
    <row r="565" spans="1:10" x14ac:dyDescent="0.25">
      <c r="A565" s="36" t="s">
        <v>100</v>
      </c>
      <c r="B565" s="36" t="s">
        <v>169</v>
      </c>
      <c r="C565" s="6">
        <f t="shared" si="8"/>
        <v>12</v>
      </c>
      <c r="D565" s="75">
        <v>0</v>
      </c>
      <c r="E565" s="75">
        <v>0</v>
      </c>
      <c r="F565" s="75">
        <v>0</v>
      </c>
      <c r="G565" s="75">
        <v>0</v>
      </c>
      <c r="H565" s="75">
        <v>0</v>
      </c>
      <c r="I565" s="75">
        <v>0</v>
      </c>
      <c r="J565" s="75">
        <v>0</v>
      </c>
    </row>
    <row r="566" spans="1:10" x14ac:dyDescent="0.25">
      <c r="A566" s="35" t="s">
        <v>67</v>
      </c>
      <c r="B566" s="35" t="s">
        <v>158</v>
      </c>
      <c r="C566" s="6">
        <f t="shared" si="8"/>
        <v>1</v>
      </c>
      <c r="D566" s="77">
        <v>0</v>
      </c>
      <c r="E566" s="77">
        <v>0</v>
      </c>
      <c r="F566" s="77">
        <v>0</v>
      </c>
      <c r="G566" s="77">
        <v>0</v>
      </c>
      <c r="H566" s="77">
        <v>0</v>
      </c>
      <c r="I566" s="77">
        <v>0</v>
      </c>
      <c r="J566" s="77">
        <v>0</v>
      </c>
    </row>
    <row r="567" spans="1:10" x14ac:dyDescent="0.25">
      <c r="A567" s="36" t="s">
        <v>67</v>
      </c>
      <c r="B567" s="36" t="s">
        <v>159</v>
      </c>
      <c r="C567" s="6">
        <f t="shared" si="8"/>
        <v>2</v>
      </c>
      <c r="D567" s="75">
        <v>0</v>
      </c>
      <c r="E567" s="75">
        <v>0</v>
      </c>
      <c r="F567" s="75">
        <v>0</v>
      </c>
      <c r="G567" s="75">
        <v>0</v>
      </c>
      <c r="H567" s="75">
        <v>0</v>
      </c>
      <c r="I567" s="75">
        <v>0</v>
      </c>
      <c r="J567" s="75">
        <v>0</v>
      </c>
    </row>
    <row r="568" spans="1:10" x14ac:dyDescent="0.25">
      <c r="A568" s="35" t="s">
        <v>67</v>
      </c>
      <c r="B568" s="35" t="s">
        <v>160</v>
      </c>
      <c r="C568" s="6">
        <f t="shared" si="8"/>
        <v>3</v>
      </c>
      <c r="D568" s="77">
        <v>0</v>
      </c>
      <c r="E568" s="77">
        <v>0</v>
      </c>
      <c r="F568" s="77">
        <v>0</v>
      </c>
      <c r="G568" s="77">
        <v>0</v>
      </c>
      <c r="H568" s="77">
        <v>0</v>
      </c>
      <c r="I568" s="77">
        <v>0</v>
      </c>
      <c r="J568" s="77">
        <v>0</v>
      </c>
    </row>
    <row r="569" spans="1:10" x14ac:dyDescent="0.25">
      <c r="A569" s="36" t="s">
        <v>67</v>
      </c>
      <c r="B569" s="36" t="s">
        <v>161</v>
      </c>
      <c r="C569" s="6">
        <f t="shared" si="8"/>
        <v>4</v>
      </c>
      <c r="D569" s="75">
        <v>0</v>
      </c>
      <c r="E569" s="75">
        <v>0</v>
      </c>
      <c r="F569" s="75">
        <v>0</v>
      </c>
      <c r="G569" s="75">
        <v>0</v>
      </c>
      <c r="H569" s="75">
        <v>0</v>
      </c>
      <c r="I569" s="75">
        <v>0</v>
      </c>
      <c r="J569" s="75">
        <v>0</v>
      </c>
    </row>
    <row r="570" spans="1:10" x14ac:dyDescent="0.25">
      <c r="A570" s="35" t="s">
        <v>67</v>
      </c>
      <c r="B570" s="35" t="s">
        <v>162</v>
      </c>
      <c r="C570" s="6">
        <f t="shared" si="8"/>
        <v>5</v>
      </c>
      <c r="D570" s="77">
        <v>2</v>
      </c>
      <c r="E570" s="77">
        <v>15</v>
      </c>
      <c r="F570" s="77">
        <v>0</v>
      </c>
      <c r="G570" s="77">
        <v>0</v>
      </c>
      <c r="H570" s="77">
        <v>4</v>
      </c>
      <c r="I570" s="77">
        <v>30</v>
      </c>
      <c r="J570" s="77">
        <v>1</v>
      </c>
    </row>
    <row r="571" spans="1:10" x14ac:dyDescent="0.25">
      <c r="A571" s="36" t="s">
        <v>67</v>
      </c>
      <c r="B571" s="36" t="s">
        <v>163</v>
      </c>
      <c r="C571" s="6">
        <f t="shared" si="8"/>
        <v>6</v>
      </c>
      <c r="D571" s="75">
        <v>0</v>
      </c>
      <c r="E571" s="75">
        <v>0</v>
      </c>
      <c r="F571" s="75">
        <v>0</v>
      </c>
      <c r="G571" s="75">
        <v>0</v>
      </c>
      <c r="H571" s="75">
        <v>0</v>
      </c>
      <c r="I571" s="75">
        <v>0</v>
      </c>
      <c r="J571" s="75">
        <v>0</v>
      </c>
    </row>
    <row r="572" spans="1:10" x14ac:dyDescent="0.25">
      <c r="A572" s="35" t="s">
        <v>67</v>
      </c>
      <c r="B572" s="35" t="s">
        <v>164</v>
      </c>
      <c r="C572" s="6">
        <f t="shared" si="8"/>
        <v>7</v>
      </c>
      <c r="D572" s="77">
        <v>0</v>
      </c>
      <c r="E572" s="77">
        <v>0</v>
      </c>
      <c r="F572" s="77">
        <v>0</v>
      </c>
      <c r="G572" s="77">
        <v>0</v>
      </c>
      <c r="H572" s="77">
        <v>0</v>
      </c>
      <c r="I572" s="77">
        <v>0</v>
      </c>
      <c r="J572" s="77">
        <v>0</v>
      </c>
    </row>
    <row r="573" spans="1:10" x14ac:dyDescent="0.25">
      <c r="A573" s="36" t="s">
        <v>67</v>
      </c>
      <c r="B573" s="36" t="s">
        <v>165</v>
      </c>
      <c r="C573" s="6">
        <f t="shared" si="8"/>
        <v>8</v>
      </c>
      <c r="D573" s="75">
        <v>5</v>
      </c>
      <c r="E573" s="75">
        <v>38</v>
      </c>
      <c r="F573" s="75">
        <v>0</v>
      </c>
      <c r="G573" s="75">
        <v>0</v>
      </c>
      <c r="H573" s="75">
        <v>0</v>
      </c>
      <c r="I573" s="75">
        <v>0</v>
      </c>
      <c r="J573" s="75">
        <v>1</v>
      </c>
    </row>
    <row r="574" spans="1:10" x14ac:dyDescent="0.25">
      <c r="A574" s="35" t="s">
        <v>67</v>
      </c>
      <c r="B574" s="35" t="s">
        <v>166</v>
      </c>
      <c r="C574" s="6">
        <f t="shared" si="8"/>
        <v>9</v>
      </c>
      <c r="D574" s="77">
        <v>0</v>
      </c>
      <c r="E574" s="77">
        <v>0</v>
      </c>
      <c r="F574" s="77">
        <v>0</v>
      </c>
      <c r="G574" s="77">
        <v>0</v>
      </c>
      <c r="H574" s="77">
        <v>8</v>
      </c>
      <c r="I574" s="77">
        <v>61</v>
      </c>
      <c r="J574" s="77">
        <v>0</v>
      </c>
    </row>
    <row r="575" spans="1:10" x14ac:dyDescent="0.25">
      <c r="A575" s="36" t="s">
        <v>67</v>
      </c>
      <c r="B575" s="36" t="s">
        <v>167</v>
      </c>
      <c r="C575" s="6">
        <f t="shared" si="8"/>
        <v>10</v>
      </c>
      <c r="D575" s="75">
        <v>0</v>
      </c>
      <c r="E575" s="75">
        <v>0</v>
      </c>
      <c r="F575" s="75">
        <v>0</v>
      </c>
      <c r="G575" s="75">
        <v>0</v>
      </c>
      <c r="H575" s="75">
        <v>0</v>
      </c>
      <c r="I575" s="75">
        <v>0</v>
      </c>
      <c r="J575" s="75">
        <v>0</v>
      </c>
    </row>
    <row r="576" spans="1:10" x14ac:dyDescent="0.25">
      <c r="A576" s="35" t="s">
        <v>67</v>
      </c>
      <c r="B576" s="35" t="s">
        <v>168</v>
      </c>
      <c r="C576" s="6">
        <f t="shared" si="8"/>
        <v>11</v>
      </c>
      <c r="D576" s="77">
        <v>8</v>
      </c>
      <c r="E576" s="77">
        <v>61</v>
      </c>
      <c r="F576" s="77">
        <v>0</v>
      </c>
      <c r="G576" s="77">
        <v>0</v>
      </c>
      <c r="H576" s="77">
        <v>0</v>
      </c>
      <c r="I576" s="77">
        <v>0</v>
      </c>
      <c r="J576" s="77">
        <v>4</v>
      </c>
    </row>
    <row r="577" spans="1:10" x14ac:dyDescent="0.25">
      <c r="A577" s="36" t="s">
        <v>67</v>
      </c>
      <c r="B577" s="36" t="s">
        <v>169</v>
      </c>
      <c r="C577" s="6">
        <f t="shared" si="8"/>
        <v>12</v>
      </c>
      <c r="D577" s="75">
        <v>2</v>
      </c>
      <c r="E577" s="75">
        <v>15</v>
      </c>
      <c r="F577" s="75">
        <v>0</v>
      </c>
      <c r="G577" s="75">
        <v>0</v>
      </c>
      <c r="H577" s="75">
        <v>0</v>
      </c>
      <c r="I577" s="75">
        <v>0</v>
      </c>
      <c r="J577" s="75">
        <v>1</v>
      </c>
    </row>
    <row r="578" spans="1:10" x14ac:dyDescent="0.25">
      <c r="A578" s="35" t="s">
        <v>153</v>
      </c>
      <c r="B578" s="35" t="s">
        <v>158</v>
      </c>
      <c r="C578" s="6">
        <f t="shared" ref="C578:C641" si="9">_xlfn.IFS(B578="Janeiro",1,B578="Fevereiro",2,B578="Março",3,B578="Abril",4,B578="Maio",5,B578="Junho",6,B578="Julho",7,B578="Agosto",8,B578="Setembro",9,B578="Outubro",10,B578="Novembro",11,B578="Dezembro",12,TRUE,0)</f>
        <v>1</v>
      </c>
      <c r="D578" s="77">
        <v>5</v>
      </c>
      <c r="E578" s="77">
        <v>16</v>
      </c>
      <c r="F578" s="77">
        <v>0</v>
      </c>
      <c r="G578" s="77">
        <v>0</v>
      </c>
      <c r="H578" s="77">
        <v>0</v>
      </c>
      <c r="I578" s="77">
        <v>0</v>
      </c>
      <c r="J578" s="77">
        <v>2</v>
      </c>
    </row>
    <row r="579" spans="1:10" x14ac:dyDescent="0.25">
      <c r="A579" s="36" t="s">
        <v>153</v>
      </c>
      <c r="B579" s="36" t="s">
        <v>159</v>
      </c>
      <c r="C579" s="6">
        <f t="shared" si="9"/>
        <v>2</v>
      </c>
      <c r="D579" s="75">
        <v>0</v>
      </c>
      <c r="E579" s="75">
        <v>0</v>
      </c>
      <c r="F579" s="75">
        <v>0</v>
      </c>
      <c r="G579" s="75">
        <v>0</v>
      </c>
      <c r="H579" s="75">
        <v>0</v>
      </c>
      <c r="I579" s="75">
        <v>0</v>
      </c>
      <c r="J579" s="75">
        <v>0</v>
      </c>
    </row>
    <row r="580" spans="1:10" x14ac:dyDescent="0.25">
      <c r="A580" s="35" t="s">
        <v>153</v>
      </c>
      <c r="B580" s="35" t="s">
        <v>160</v>
      </c>
      <c r="C580" s="6">
        <f t="shared" si="9"/>
        <v>3</v>
      </c>
      <c r="D580" s="77">
        <v>7</v>
      </c>
      <c r="E580" s="77">
        <v>23</v>
      </c>
      <c r="F580" s="77">
        <v>0</v>
      </c>
      <c r="G580" s="77">
        <v>0</v>
      </c>
      <c r="H580" s="77">
        <v>9</v>
      </c>
      <c r="I580" s="77">
        <v>30</v>
      </c>
      <c r="J580" s="77">
        <v>3</v>
      </c>
    </row>
    <row r="581" spans="1:10" x14ac:dyDescent="0.25">
      <c r="A581" s="36" t="s">
        <v>153</v>
      </c>
      <c r="B581" s="36" t="s">
        <v>161</v>
      </c>
      <c r="C581" s="6">
        <f t="shared" si="9"/>
        <v>4</v>
      </c>
      <c r="D581" s="75">
        <v>3</v>
      </c>
      <c r="E581" s="75">
        <v>10</v>
      </c>
      <c r="F581" s="75">
        <v>0</v>
      </c>
      <c r="G581" s="75">
        <v>0</v>
      </c>
      <c r="H581" s="75">
        <v>0</v>
      </c>
      <c r="I581" s="75">
        <v>0</v>
      </c>
      <c r="J581" s="75">
        <v>1</v>
      </c>
    </row>
    <row r="582" spans="1:10" x14ac:dyDescent="0.25">
      <c r="A582" s="35" t="s">
        <v>153</v>
      </c>
      <c r="B582" s="35" t="s">
        <v>162</v>
      </c>
      <c r="C582" s="6">
        <f t="shared" si="9"/>
        <v>5</v>
      </c>
      <c r="D582" s="77">
        <v>3</v>
      </c>
      <c r="E582" s="77">
        <v>10</v>
      </c>
      <c r="F582" s="77">
        <v>0</v>
      </c>
      <c r="G582" s="77">
        <v>0</v>
      </c>
      <c r="H582" s="77">
        <v>0</v>
      </c>
      <c r="I582" s="77">
        <v>0</v>
      </c>
      <c r="J582" s="77">
        <v>1</v>
      </c>
    </row>
    <row r="583" spans="1:10" x14ac:dyDescent="0.25">
      <c r="A583" s="36" t="s">
        <v>153</v>
      </c>
      <c r="B583" s="36" t="s">
        <v>163</v>
      </c>
      <c r="C583" s="6">
        <f t="shared" si="9"/>
        <v>6</v>
      </c>
      <c r="D583" s="75">
        <v>2</v>
      </c>
      <c r="E583" s="75">
        <v>6</v>
      </c>
      <c r="F583" s="75">
        <v>0</v>
      </c>
      <c r="G583" s="75">
        <v>0</v>
      </c>
      <c r="H583" s="75">
        <v>0</v>
      </c>
      <c r="I583" s="75">
        <v>0</v>
      </c>
      <c r="J583" s="75">
        <v>1</v>
      </c>
    </row>
    <row r="584" spans="1:10" x14ac:dyDescent="0.25">
      <c r="A584" s="35" t="s">
        <v>153</v>
      </c>
      <c r="B584" s="35" t="s">
        <v>164</v>
      </c>
      <c r="C584" s="6">
        <f t="shared" si="9"/>
        <v>7</v>
      </c>
      <c r="D584" s="77">
        <v>3</v>
      </c>
      <c r="E584" s="77">
        <v>10</v>
      </c>
      <c r="F584" s="77">
        <v>1</v>
      </c>
      <c r="G584" s="77">
        <v>3</v>
      </c>
      <c r="H584" s="77">
        <v>0</v>
      </c>
      <c r="I584" s="77">
        <v>0</v>
      </c>
      <c r="J584" s="77">
        <v>1</v>
      </c>
    </row>
    <row r="585" spans="1:10" x14ac:dyDescent="0.25">
      <c r="A585" s="36" t="s">
        <v>153</v>
      </c>
      <c r="B585" s="36" t="s">
        <v>165</v>
      </c>
      <c r="C585" s="6">
        <f t="shared" si="9"/>
        <v>8</v>
      </c>
      <c r="D585" s="75">
        <v>0</v>
      </c>
      <c r="E585" s="75">
        <v>0</v>
      </c>
      <c r="F585" s="75">
        <v>0</v>
      </c>
      <c r="G585" s="75">
        <v>0</v>
      </c>
      <c r="H585" s="75">
        <v>0</v>
      </c>
      <c r="I585" s="75">
        <v>0</v>
      </c>
      <c r="J585" s="75">
        <v>0</v>
      </c>
    </row>
    <row r="586" spans="1:10" x14ac:dyDescent="0.25">
      <c r="A586" s="35" t="s">
        <v>153</v>
      </c>
      <c r="B586" s="35" t="s">
        <v>166</v>
      </c>
      <c r="C586" s="6">
        <f t="shared" si="9"/>
        <v>9</v>
      </c>
      <c r="D586" s="77">
        <v>1</v>
      </c>
      <c r="E586" s="77">
        <v>3</v>
      </c>
      <c r="F586" s="77">
        <v>0</v>
      </c>
      <c r="G586" s="77">
        <v>0</v>
      </c>
      <c r="H586" s="77">
        <v>8</v>
      </c>
      <c r="I586" s="77">
        <v>26</v>
      </c>
      <c r="J586" s="77">
        <v>1</v>
      </c>
    </row>
    <row r="587" spans="1:10" x14ac:dyDescent="0.25">
      <c r="A587" s="36" t="s">
        <v>153</v>
      </c>
      <c r="B587" s="36" t="s">
        <v>167</v>
      </c>
      <c r="C587" s="6">
        <f t="shared" si="9"/>
        <v>10</v>
      </c>
      <c r="D587" s="75">
        <v>0</v>
      </c>
      <c r="E587" s="75">
        <v>0</v>
      </c>
      <c r="F587" s="75">
        <v>0</v>
      </c>
      <c r="G587" s="75">
        <v>0</v>
      </c>
      <c r="H587" s="75">
        <v>0</v>
      </c>
      <c r="I587" s="75">
        <v>0</v>
      </c>
      <c r="J587" s="75">
        <v>0</v>
      </c>
    </row>
    <row r="588" spans="1:10" x14ac:dyDescent="0.25">
      <c r="A588" s="35" t="s">
        <v>153</v>
      </c>
      <c r="B588" s="35" t="s">
        <v>168</v>
      </c>
      <c r="C588" s="6">
        <f t="shared" si="9"/>
        <v>11</v>
      </c>
      <c r="D588" s="77">
        <v>0</v>
      </c>
      <c r="E588" s="77">
        <v>0</v>
      </c>
      <c r="F588" s="77">
        <v>0</v>
      </c>
      <c r="G588" s="77">
        <v>0</v>
      </c>
      <c r="H588" s="77">
        <v>5</v>
      </c>
      <c r="I588" s="77">
        <v>16</v>
      </c>
      <c r="J588" s="77">
        <v>0</v>
      </c>
    </row>
    <row r="589" spans="1:10" x14ac:dyDescent="0.25">
      <c r="A589" s="36" t="s">
        <v>153</v>
      </c>
      <c r="B589" s="36" t="s">
        <v>169</v>
      </c>
      <c r="C589" s="6">
        <f t="shared" si="9"/>
        <v>12</v>
      </c>
      <c r="D589" s="75">
        <v>0</v>
      </c>
      <c r="E589" s="75">
        <v>0</v>
      </c>
      <c r="F589" s="75">
        <v>0</v>
      </c>
      <c r="G589" s="75">
        <v>0</v>
      </c>
      <c r="H589" s="75">
        <v>0</v>
      </c>
      <c r="I589" s="75">
        <v>0</v>
      </c>
      <c r="J589" s="75">
        <v>0</v>
      </c>
    </row>
    <row r="590" spans="1:10" x14ac:dyDescent="0.25">
      <c r="A590" s="35" t="s">
        <v>137</v>
      </c>
      <c r="B590" s="35" t="s">
        <v>158</v>
      </c>
      <c r="C590" s="6">
        <f t="shared" si="9"/>
        <v>1</v>
      </c>
      <c r="D590" s="77">
        <v>3</v>
      </c>
      <c r="E590" s="77">
        <v>10</v>
      </c>
      <c r="F590" s="77">
        <v>0</v>
      </c>
      <c r="G590" s="77">
        <v>0</v>
      </c>
      <c r="H590" s="77">
        <v>0</v>
      </c>
      <c r="I590" s="77">
        <v>0</v>
      </c>
      <c r="J590" s="77">
        <v>1</v>
      </c>
    </row>
    <row r="591" spans="1:10" x14ac:dyDescent="0.25">
      <c r="A591" s="36" t="s">
        <v>137</v>
      </c>
      <c r="B591" s="36" t="s">
        <v>159</v>
      </c>
      <c r="C591" s="6">
        <f t="shared" si="9"/>
        <v>2</v>
      </c>
      <c r="D591" s="75">
        <v>0</v>
      </c>
      <c r="E591" s="75">
        <v>0</v>
      </c>
      <c r="F591" s="75">
        <v>0</v>
      </c>
      <c r="G591" s="75">
        <v>0</v>
      </c>
      <c r="H591" s="75">
        <v>0</v>
      </c>
      <c r="I591" s="75">
        <v>0</v>
      </c>
      <c r="J591" s="75">
        <v>0</v>
      </c>
    </row>
    <row r="592" spans="1:10" x14ac:dyDescent="0.25">
      <c r="A592" s="35" t="s">
        <v>137</v>
      </c>
      <c r="B592" s="35" t="s">
        <v>160</v>
      </c>
      <c r="C592" s="6">
        <f t="shared" si="9"/>
        <v>3</v>
      </c>
      <c r="D592" s="77">
        <v>0</v>
      </c>
      <c r="E592" s="77">
        <v>0</v>
      </c>
      <c r="F592" s="77">
        <v>0</v>
      </c>
      <c r="G592" s="77">
        <v>0</v>
      </c>
      <c r="H592" s="77">
        <v>1</v>
      </c>
      <c r="I592" s="77">
        <v>3</v>
      </c>
      <c r="J592" s="77">
        <v>0</v>
      </c>
    </row>
    <row r="593" spans="1:10" x14ac:dyDescent="0.25">
      <c r="A593" s="36" t="s">
        <v>137</v>
      </c>
      <c r="B593" s="36" t="s">
        <v>161</v>
      </c>
      <c r="C593" s="6">
        <f t="shared" si="9"/>
        <v>4</v>
      </c>
      <c r="D593" s="75">
        <v>0</v>
      </c>
      <c r="E593" s="75">
        <v>0</v>
      </c>
      <c r="F593" s="75">
        <v>0</v>
      </c>
      <c r="G593" s="75">
        <v>0</v>
      </c>
      <c r="H593" s="75">
        <v>0</v>
      </c>
      <c r="I593" s="75">
        <v>0</v>
      </c>
      <c r="J593" s="75">
        <v>0</v>
      </c>
    </row>
    <row r="594" spans="1:10" x14ac:dyDescent="0.25">
      <c r="A594" s="35" t="s">
        <v>137</v>
      </c>
      <c r="B594" s="35" t="s">
        <v>162</v>
      </c>
      <c r="C594" s="6">
        <f t="shared" si="9"/>
        <v>5</v>
      </c>
      <c r="D594" s="77">
        <v>0</v>
      </c>
      <c r="E594" s="77">
        <v>0</v>
      </c>
      <c r="F594" s="77">
        <v>0</v>
      </c>
      <c r="G594" s="77">
        <v>0</v>
      </c>
      <c r="H594" s="77">
        <v>0</v>
      </c>
      <c r="I594" s="77">
        <v>0</v>
      </c>
      <c r="J594" s="77">
        <v>0</v>
      </c>
    </row>
    <row r="595" spans="1:10" x14ac:dyDescent="0.25">
      <c r="A595" s="36" t="s">
        <v>137</v>
      </c>
      <c r="B595" s="36" t="s">
        <v>163</v>
      </c>
      <c r="C595" s="6">
        <f t="shared" si="9"/>
        <v>6</v>
      </c>
      <c r="D595" s="75">
        <v>5</v>
      </c>
      <c r="E595" s="75">
        <v>17</v>
      </c>
      <c r="F595" s="75">
        <v>0</v>
      </c>
      <c r="G595" s="75">
        <v>0</v>
      </c>
      <c r="H595" s="75">
        <v>2</v>
      </c>
      <c r="I595" s="75">
        <v>6</v>
      </c>
      <c r="J595" s="75">
        <v>1</v>
      </c>
    </row>
    <row r="596" spans="1:10" x14ac:dyDescent="0.25">
      <c r="A596" s="35" t="s">
        <v>137</v>
      </c>
      <c r="B596" s="35" t="s">
        <v>164</v>
      </c>
      <c r="C596" s="6">
        <f t="shared" si="9"/>
        <v>7</v>
      </c>
      <c r="D596" s="77">
        <v>4</v>
      </c>
      <c r="E596" s="77">
        <v>13</v>
      </c>
      <c r="F596" s="77">
        <v>0</v>
      </c>
      <c r="G596" s="77">
        <v>0</v>
      </c>
      <c r="H596" s="77">
        <v>0</v>
      </c>
      <c r="I596" s="77">
        <v>0</v>
      </c>
      <c r="J596" s="77">
        <v>1</v>
      </c>
    </row>
    <row r="597" spans="1:10" x14ac:dyDescent="0.25">
      <c r="A597" s="36" t="s">
        <v>137</v>
      </c>
      <c r="B597" s="36" t="s">
        <v>165</v>
      </c>
      <c r="C597" s="6">
        <f t="shared" si="9"/>
        <v>8</v>
      </c>
      <c r="D597" s="75">
        <v>0</v>
      </c>
      <c r="E597" s="75">
        <v>0</v>
      </c>
      <c r="F597" s="75">
        <v>0</v>
      </c>
      <c r="G597" s="75">
        <v>0</v>
      </c>
      <c r="H597" s="75">
        <v>0</v>
      </c>
      <c r="I597" s="75">
        <v>0</v>
      </c>
      <c r="J597" s="75">
        <v>0</v>
      </c>
    </row>
    <row r="598" spans="1:10" x14ac:dyDescent="0.25">
      <c r="A598" s="35" t="s">
        <v>137</v>
      </c>
      <c r="B598" s="35" t="s">
        <v>166</v>
      </c>
      <c r="C598" s="6">
        <f t="shared" si="9"/>
        <v>9</v>
      </c>
      <c r="D598" s="77">
        <v>0</v>
      </c>
      <c r="E598" s="77">
        <v>0</v>
      </c>
      <c r="F598" s="77">
        <v>0</v>
      </c>
      <c r="G598" s="77">
        <v>0</v>
      </c>
      <c r="H598" s="77">
        <v>5</v>
      </c>
      <c r="I598" s="77">
        <v>17</v>
      </c>
      <c r="J598" s="77">
        <v>0</v>
      </c>
    </row>
    <row r="599" spans="1:10" x14ac:dyDescent="0.25">
      <c r="A599" s="36" t="s">
        <v>137</v>
      </c>
      <c r="B599" s="36" t="s">
        <v>167</v>
      </c>
      <c r="C599" s="6">
        <f t="shared" si="9"/>
        <v>10</v>
      </c>
      <c r="D599" s="75">
        <v>5</v>
      </c>
      <c r="E599" s="75">
        <v>17</v>
      </c>
      <c r="F599" s="75">
        <v>0</v>
      </c>
      <c r="G599" s="75">
        <v>0</v>
      </c>
      <c r="H599" s="75">
        <v>8</v>
      </c>
      <c r="I599" s="75">
        <v>27</v>
      </c>
      <c r="J599" s="75">
        <v>2</v>
      </c>
    </row>
    <row r="600" spans="1:10" x14ac:dyDescent="0.25">
      <c r="A600" s="35" t="s">
        <v>137</v>
      </c>
      <c r="B600" s="35" t="s">
        <v>168</v>
      </c>
      <c r="C600" s="6">
        <f t="shared" si="9"/>
        <v>11</v>
      </c>
      <c r="D600" s="77">
        <v>4</v>
      </c>
      <c r="E600" s="77">
        <v>13</v>
      </c>
      <c r="F600" s="77">
        <v>0</v>
      </c>
      <c r="G600" s="77">
        <v>0</v>
      </c>
      <c r="H600" s="77">
        <v>0</v>
      </c>
      <c r="I600" s="77">
        <v>0</v>
      </c>
      <c r="J600" s="77">
        <v>1</v>
      </c>
    </row>
    <row r="601" spans="1:10" x14ac:dyDescent="0.25">
      <c r="A601" s="36" t="s">
        <v>137</v>
      </c>
      <c r="B601" s="36" t="s">
        <v>169</v>
      </c>
      <c r="C601" s="6">
        <f t="shared" si="9"/>
        <v>12</v>
      </c>
      <c r="D601" s="75">
        <v>0</v>
      </c>
      <c r="E601" s="75">
        <v>0</v>
      </c>
      <c r="F601" s="75">
        <v>0</v>
      </c>
      <c r="G601" s="75">
        <v>0</v>
      </c>
      <c r="H601" s="75">
        <v>0</v>
      </c>
      <c r="I601" s="75">
        <v>0</v>
      </c>
      <c r="J601" s="75">
        <v>0</v>
      </c>
    </row>
    <row r="602" spans="1:10" x14ac:dyDescent="0.25">
      <c r="A602" s="35" t="s">
        <v>43</v>
      </c>
      <c r="B602" s="35" t="s">
        <v>158</v>
      </c>
      <c r="C602" s="6">
        <f t="shared" si="9"/>
        <v>1</v>
      </c>
      <c r="D602" s="77">
        <v>5</v>
      </c>
      <c r="E602" s="77">
        <v>20</v>
      </c>
      <c r="F602" s="77">
        <v>0</v>
      </c>
      <c r="G602" s="77">
        <v>0</v>
      </c>
      <c r="H602" s="77">
        <v>0</v>
      </c>
      <c r="I602" s="77">
        <v>0</v>
      </c>
      <c r="J602" s="77">
        <v>1</v>
      </c>
    </row>
    <row r="603" spans="1:10" x14ac:dyDescent="0.25">
      <c r="A603" s="36" t="s">
        <v>43</v>
      </c>
      <c r="B603" s="36" t="s">
        <v>159</v>
      </c>
      <c r="C603" s="6">
        <f t="shared" si="9"/>
        <v>2</v>
      </c>
      <c r="D603" s="75">
        <v>0</v>
      </c>
      <c r="E603" s="75">
        <v>0</v>
      </c>
      <c r="F603" s="75">
        <v>0</v>
      </c>
      <c r="G603" s="75">
        <v>0</v>
      </c>
      <c r="H603" s="75">
        <v>0</v>
      </c>
      <c r="I603" s="75">
        <v>0</v>
      </c>
      <c r="J603" s="75">
        <v>0</v>
      </c>
    </row>
    <row r="604" spans="1:10" x14ac:dyDescent="0.25">
      <c r="A604" s="35" t="s">
        <v>43</v>
      </c>
      <c r="B604" s="35" t="s">
        <v>160</v>
      </c>
      <c r="C604" s="6">
        <f t="shared" si="9"/>
        <v>3</v>
      </c>
      <c r="D604" s="77">
        <v>6</v>
      </c>
      <c r="E604" s="77">
        <v>24</v>
      </c>
      <c r="F604" s="77">
        <v>1</v>
      </c>
      <c r="G604" s="77">
        <v>0</v>
      </c>
      <c r="H604" s="77">
        <v>1</v>
      </c>
      <c r="I604" s="77">
        <v>4</v>
      </c>
      <c r="J604" s="77">
        <v>1</v>
      </c>
    </row>
    <row r="605" spans="1:10" x14ac:dyDescent="0.25">
      <c r="A605" s="36" t="s">
        <v>43</v>
      </c>
      <c r="B605" s="36" t="s">
        <v>161</v>
      </c>
      <c r="C605" s="6">
        <f t="shared" si="9"/>
        <v>4</v>
      </c>
      <c r="D605" s="75">
        <v>0</v>
      </c>
      <c r="E605" s="75">
        <v>0</v>
      </c>
      <c r="F605" s="75">
        <v>0</v>
      </c>
      <c r="G605" s="75">
        <v>0</v>
      </c>
      <c r="H605" s="75">
        <v>0</v>
      </c>
      <c r="I605" s="75">
        <v>0</v>
      </c>
      <c r="J605" s="75">
        <v>0</v>
      </c>
    </row>
    <row r="606" spans="1:10" x14ac:dyDescent="0.25">
      <c r="A606" s="35" t="s">
        <v>43</v>
      </c>
      <c r="B606" s="35" t="s">
        <v>162</v>
      </c>
      <c r="C606" s="6">
        <f t="shared" si="9"/>
        <v>5</v>
      </c>
      <c r="D606" s="77">
        <v>8</v>
      </c>
      <c r="E606" s="77">
        <v>32</v>
      </c>
      <c r="F606" s="77">
        <v>0</v>
      </c>
      <c r="G606" s="77">
        <v>0</v>
      </c>
      <c r="H606" s="77">
        <v>0</v>
      </c>
      <c r="I606" s="77">
        <v>0</v>
      </c>
      <c r="J606" s="77">
        <v>6</v>
      </c>
    </row>
    <row r="607" spans="1:10" x14ac:dyDescent="0.25">
      <c r="A607" s="36" t="s">
        <v>43</v>
      </c>
      <c r="B607" s="36" t="s">
        <v>163</v>
      </c>
      <c r="C607" s="6">
        <f t="shared" si="9"/>
        <v>6</v>
      </c>
      <c r="D607" s="75">
        <v>3</v>
      </c>
      <c r="E607" s="75">
        <v>12</v>
      </c>
      <c r="F607" s="75">
        <v>0</v>
      </c>
      <c r="G607" s="75">
        <v>0</v>
      </c>
      <c r="H607" s="75">
        <v>6</v>
      </c>
      <c r="I607" s="75">
        <v>24</v>
      </c>
      <c r="J607" s="75">
        <v>1</v>
      </c>
    </row>
    <row r="608" spans="1:10" x14ac:dyDescent="0.25">
      <c r="A608" s="35" t="s">
        <v>43</v>
      </c>
      <c r="B608" s="35" t="s">
        <v>164</v>
      </c>
      <c r="C608" s="6">
        <f t="shared" si="9"/>
        <v>7</v>
      </c>
      <c r="D608" s="77">
        <v>15</v>
      </c>
      <c r="E608" s="77">
        <v>60</v>
      </c>
      <c r="F608" s="77">
        <v>1</v>
      </c>
      <c r="G608" s="77">
        <v>0</v>
      </c>
      <c r="H608" s="77">
        <v>0</v>
      </c>
      <c r="I608" s="77">
        <v>0</v>
      </c>
      <c r="J608" s="77">
        <v>3</v>
      </c>
    </row>
    <row r="609" spans="1:10" x14ac:dyDescent="0.25">
      <c r="A609" s="36" t="s">
        <v>43</v>
      </c>
      <c r="B609" s="36" t="s">
        <v>165</v>
      </c>
      <c r="C609" s="6">
        <f t="shared" si="9"/>
        <v>8</v>
      </c>
      <c r="D609" s="75">
        <v>0</v>
      </c>
      <c r="E609" s="75">
        <v>0</v>
      </c>
      <c r="F609" s="75">
        <v>2</v>
      </c>
      <c r="G609" s="75">
        <v>0</v>
      </c>
      <c r="H609" s="75">
        <v>0</v>
      </c>
      <c r="I609" s="75">
        <v>0</v>
      </c>
      <c r="J609" s="75">
        <v>0</v>
      </c>
    </row>
    <row r="610" spans="1:10" x14ac:dyDescent="0.25">
      <c r="A610" s="35" t="s">
        <v>43</v>
      </c>
      <c r="B610" s="35" t="s">
        <v>166</v>
      </c>
      <c r="C610" s="6">
        <f t="shared" si="9"/>
        <v>9</v>
      </c>
      <c r="D610" s="77">
        <v>5</v>
      </c>
      <c r="E610" s="77">
        <v>20</v>
      </c>
      <c r="F610" s="77">
        <v>0</v>
      </c>
      <c r="G610" s="77">
        <v>0</v>
      </c>
      <c r="H610" s="77">
        <v>0</v>
      </c>
      <c r="I610" s="77">
        <v>0</v>
      </c>
      <c r="J610" s="77">
        <v>2</v>
      </c>
    </row>
    <row r="611" spans="1:10" x14ac:dyDescent="0.25">
      <c r="A611" s="36" t="s">
        <v>43</v>
      </c>
      <c r="B611" s="36" t="s">
        <v>167</v>
      </c>
      <c r="C611" s="6">
        <f t="shared" si="9"/>
        <v>10</v>
      </c>
      <c r="D611" s="75">
        <v>0</v>
      </c>
      <c r="E611" s="75">
        <v>0</v>
      </c>
      <c r="F611" s="75">
        <v>0</v>
      </c>
      <c r="G611" s="75">
        <v>0</v>
      </c>
      <c r="H611" s="75">
        <v>0</v>
      </c>
      <c r="I611" s="75">
        <v>0</v>
      </c>
      <c r="J611" s="75">
        <v>0</v>
      </c>
    </row>
    <row r="612" spans="1:10" x14ac:dyDescent="0.25">
      <c r="A612" s="35" t="s">
        <v>43</v>
      </c>
      <c r="B612" s="35" t="s">
        <v>168</v>
      </c>
      <c r="C612" s="6">
        <f t="shared" si="9"/>
        <v>11</v>
      </c>
      <c r="D612" s="77">
        <v>12</v>
      </c>
      <c r="E612" s="77">
        <v>48</v>
      </c>
      <c r="F612" s="77">
        <v>0</v>
      </c>
      <c r="G612" s="77">
        <v>0</v>
      </c>
      <c r="H612" s="77">
        <v>6</v>
      </c>
      <c r="I612" s="77">
        <v>24</v>
      </c>
      <c r="J612" s="77">
        <v>1</v>
      </c>
    </row>
    <row r="613" spans="1:10" x14ac:dyDescent="0.25">
      <c r="A613" s="36" t="s">
        <v>43</v>
      </c>
      <c r="B613" s="36" t="s">
        <v>169</v>
      </c>
      <c r="C613" s="6">
        <f t="shared" si="9"/>
        <v>12</v>
      </c>
      <c r="D613" s="75">
        <v>0</v>
      </c>
      <c r="E613" s="75">
        <v>0</v>
      </c>
      <c r="F613" s="75">
        <v>0</v>
      </c>
      <c r="G613" s="75">
        <v>0</v>
      </c>
      <c r="H613" s="75">
        <v>0</v>
      </c>
      <c r="I613" s="75">
        <v>0</v>
      </c>
      <c r="J613" s="75">
        <v>0</v>
      </c>
    </row>
    <row r="614" spans="1:10" x14ac:dyDescent="0.25">
      <c r="A614" s="35" t="s">
        <v>112</v>
      </c>
      <c r="B614" s="35" t="s">
        <v>158</v>
      </c>
      <c r="C614" s="6">
        <f t="shared" si="9"/>
        <v>1</v>
      </c>
      <c r="D614" s="77">
        <v>3</v>
      </c>
      <c r="E614" s="77">
        <v>21</v>
      </c>
      <c r="F614" s="77">
        <v>0</v>
      </c>
      <c r="G614" s="77">
        <v>0</v>
      </c>
      <c r="H614" s="77">
        <v>0</v>
      </c>
      <c r="I614" s="77">
        <v>0</v>
      </c>
      <c r="J614" s="77">
        <v>1</v>
      </c>
    </row>
    <row r="615" spans="1:10" x14ac:dyDescent="0.25">
      <c r="A615" s="36" t="s">
        <v>112</v>
      </c>
      <c r="B615" s="36" t="s">
        <v>159</v>
      </c>
      <c r="C615" s="6">
        <f t="shared" si="9"/>
        <v>2</v>
      </c>
      <c r="D615" s="75">
        <v>0</v>
      </c>
      <c r="E615" s="75">
        <v>0</v>
      </c>
      <c r="F615" s="75">
        <v>0</v>
      </c>
      <c r="G615" s="75">
        <v>0</v>
      </c>
      <c r="H615" s="75">
        <v>0</v>
      </c>
      <c r="I615" s="75">
        <v>0</v>
      </c>
      <c r="J615" s="75">
        <v>0</v>
      </c>
    </row>
    <row r="616" spans="1:10" x14ac:dyDescent="0.25">
      <c r="A616" s="35" t="s">
        <v>112</v>
      </c>
      <c r="B616" s="35" t="s">
        <v>160</v>
      </c>
      <c r="C616" s="6">
        <f t="shared" si="9"/>
        <v>3</v>
      </c>
      <c r="D616" s="77">
        <v>0</v>
      </c>
      <c r="E616" s="77">
        <v>0</v>
      </c>
      <c r="F616" s="77">
        <v>0</v>
      </c>
      <c r="G616" s="77">
        <v>0</v>
      </c>
      <c r="H616" s="77">
        <v>6</v>
      </c>
      <c r="I616" s="77">
        <v>42</v>
      </c>
      <c r="J616" s="77">
        <v>0</v>
      </c>
    </row>
    <row r="617" spans="1:10" x14ac:dyDescent="0.25">
      <c r="A617" s="36" t="s">
        <v>112</v>
      </c>
      <c r="B617" s="36" t="s">
        <v>161</v>
      </c>
      <c r="C617" s="6">
        <f t="shared" si="9"/>
        <v>4</v>
      </c>
      <c r="D617" s="75">
        <v>0</v>
      </c>
      <c r="E617" s="75">
        <v>0</v>
      </c>
      <c r="F617" s="75">
        <v>0</v>
      </c>
      <c r="G617" s="75">
        <v>0</v>
      </c>
      <c r="H617" s="75">
        <v>0</v>
      </c>
      <c r="I617" s="75">
        <v>0</v>
      </c>
      <c r="J617" s="75">
        <v>0</v>
      </c>
    </row>
    <row r="618" spans="1:10" x14ac:dyDescent="0.25">
      <c r="A618" s="35" t="s">
        <v>112</v>
      </c>
      <c r="B618" s="35" t="s">
        <v>162</v>
      </c>
      <c r="C618" s="6">
        <f t="shared" si="9"/>
        <v>5</v>
      </c>
      <c r="D618" s="77">
        <v>0</v>
      </c>
      <c r="E618" s="77">
        <v>0</v>
      </c>
      <c r="F618" s="77">
        <v>0</v>
      </c>
      <c r="G618" s="77">
        <v>0</v>
      </c>
      <c r="H618" s="77">
        <v>0</v>
      </c>
      <c r="I618" s="77">
        <v>0</v>
      </c>
      <c r="J618" s="77">
        <v>0</v>
      </c>
    </row>
    <row r="619" spans="1:10" x14ac:dyDescent="0.25">
      <c r="A619" s="36" t="s">
        <v>112</v>
      </c>
      <c r="B619" s="36" t="s">
        <v>163</v>
      </c>
      <c r="C619" s="6">
        <f t="shared" si="9"/>
        <v>6</v>
      </c>
      <c r="D619" s="75">
        <v>0</v>
      </c>
      <c r="E619" s="75">
        <v>0</v>
      </c>
      <c r="F619" s="75">
        <v>0</v>
      </c>
      <c r="G619" s="75">
        <v>0</v>
      </c>
      <c r="H619" s="75">
        <v>6</v>
      </c>
      <c r="I619" s="75">
        <v>42</v>
      </c>
      <c r="J619" s="75">
        <v>0</v>
      </c>
    </row>
    <row r="620" spans="1:10" x14ac:dyDescent="0.25">
      <c r="A620" s="35" t="s">
        <v>112</v>
      </c>
      <c r="B620" s="35" t="s">
        <v>164</v>
      </c>
      <c r="C620" s="6">
        <f t="shared" si="9"/>
        <v>7</v>
      </c>
      <c r="D620" s="77">
        <v>5</v>
      </c>
      <c r="E620" s="77">
        <v>35</v>
      </c>
      <c r="F620" s="77">
        <v>0</v>
      </c>
      <c r="G620" s="77">
        <v>0</v>
      </c>
      <c r="H620" s="77">
        <v>0</v>
      </c>
      <c r="I620" s="77">
        <v>0</v>
      </c>
      <c r="J620" s="77">
        <v>2</v>
      </c>
    </row>
    <row r="621" spans="1:10" x14ac:dyDescent="0.25">
      <c r="A621" s="36" t="s">
        <v>112</v>
      </c>
      <c r="B621" s="36" t="s">
        <v>165</v>
      </c>
      <c r="C621" s="6">
        <f t="shared" si="9"/>
        <v>8</v>
      </c>
      <c r="D621" s="75">
        <v>0</v>
      </c>
      <c r="E621" s="75">
        <v>0</v>
      </c>
      <c r="F621" s="75">
        <v>0</v>
      </c>
      <c r="G621" s="75">
        <v>0</v>
      </c>
      <c r="H621" s="75">
        <v>0</v>
      </c>
      <c r="I621" s="75">
        <v>0</v>
      </c>
      <c r="J621" s="75">
        <v>0</v>
      </c>
    </row>
    <row r="622" spans="1:10" x14ac:dyDescent="0.25">
      <c r="A622" s="35" t="s">
        <v>112</v>
      </c>
      <c r="B622" s="35" t="s">
        <v>166</v>
      </c>
      <c r="C622" s="6">
        <f t="shared" si="9"/>
        <v>9</v>
      </c>
      <c r="D622" s="77">
        <v>2</v>
      </c>
      <c r="E622" s="77">
        <v>14</v>
      </c>
      <c r="F622" s="77">
        <v>0</v>
      </c>
      <c r="G622" s="77">
        <v>0</v>
      </c>
      <c r="H622" s="77">
        <v>2</v>
      </c>
      <c r="I622" s="77">
        <v>14</v>
      </c>
      <c r="J622" s="77">
        <v>1</v>
      </c>
    </row>
    <row r="623" spans="1:10" x14ac:dyDescent="0.25">
      <c r="A623" s="36" t="s">
        <v>112</v>
      </c>
      <c r="B623" s="36" t="s">
        <v>167</v>
      </c>
      <c r="C623" s="6">
        <f t="shared" si="9"/>
        <v>10</v>
      </c>
      <c r="D623" s="75">
        <v>0</v>
      </c>
      <c r="E623" s="75">
        <v>0</v>
      </c>
      <c r="F623" s="75">
        <v>0</v>
      </c>
      <c r="G623" s="75">
        <v>0</v>
      </c>
      <c r="H623" s="75">
        <v>0</v>
      </c>
      <c r="I623" s="75">
        <v>0</v>
      </c>
      <c r="J623" s="75">
        <v>0</v>
      </c>
    </row>
    <row r="624" spans="1:10" x14ac:dyDescent="0.25">
      <c r="A624" s="35" t="s">
        <v>112</v>
      </c>
      <c r="B624" s="35" t="s">
        <v>168</v>
      </c>
      <c r="C624" s="6">
        <f t="shared" si="9"/>
        <v>11</v>
      </c>
      <c r="D624" s="77">
        <v>12</v>
      </c>
      <c r="E624" s="77">
        <v>85</v>
      </c>
      <c r="F624" s="77">
        <v>0</v>
      </c>
      <c r="G624" s="77">
        <v>0</v>
      </c>
      <c r="H624" s="77">
        <v>7</v>
      </c>
      <c r="I624" s="77">
        <v>50</v>
      </c>
      <c r="J624" s="77">
        <v>9</v>
      </c>
    </row>
    <row r="625" spans="1:10" x14ac:dyDescent="0.25">
      <c r="A625" s="36" t="s">
        <v>112</v>
      </c>
      <c r="B625" s="36" t="s">
        <v>169</v>
      </c>
      <c r="C625" s="6">
        <f t="shared" si="9"/>
        <v>12</v>
      </c>
      <c r="D625" s="75">
        <v>0</v>
      </c>
      <c r="E625" s="75">
        <v>0</v>
      </c>
      <c r="F625" s="75">
        <v>0</v>
      </c>
      <c r="G625" s="75">
        <v>0</v>
      </c>
      <c r="H625" s="75">
        <v>0</v>
      </c>
      <c r="I625" s="75">
        <v>0</v>
      </c>
      <c r="J625" s="75">
        <v>0</v>
      </c>
    </row>
    <row r="626" spans="1:10" x14ac:dyDescent="0.25">
      <c r="A626" s="35" t="s">
        <v>135</v>
      </c>
      <c r="B626" s="35" t="s">
        <v>158</v>
      </c>
      <c r="C626" s="6">
        <f t="shared" si="9"/>
        <v>1</v>
      </c>
      <c r="D626" s="77">
        <v>0</v>
      </c>
      <c r="E626" s="77">
        <v>0</v>
      </c>
      <c r="F626" s="77">
        <v>0</v>
      </c>
      <c r="G626" s="77">
        <v>0</v>
      </c>
      <c r="H626" s="77">
        <v>0</v>
      </c>
      <c r="I626" s="77">
        <v>0</v>
      </c>
      <c r="J626" s="77">
        <v>0</v>
      </c>
    </row>
    <row r="627" spans="1:10" x14ac:dyDescent="0.25">
      <c r="A627" s="36" t="s">
        <v>135</v>
      </c>
      <c r="B627" s="36" t="s">
        <v>159</v>
      </c>
      <c r="C627" s="6">
        <f t="shared" si="9"/>
        <v>2</v>
      </c>
      <c r="D627" s="75">
        <v>0</v>
      </c>
      <c r="E627" s="75">
        <v>0</v>
      </c>
      <c r="F627" s="75">
        <v>0</v>
      </c>
      <c r="G627" s="75">
        <v>0</v>
      </c>
      <c r="H627" s="75">
        <v>0</v>
      </c>
      <c r="I627" s="75">
        <v>0</v>
      </c>
      <c r="J627" s="75">
        <v>0</v>
      </c>
    </row>
    <row r="628" spans="1:10" x14ac:dyDescent="0.25">
      <c r="A628" s="35" t="s">
        <v>135</v>
      </c>
      <c r="B628" s="35" t="s">
        <v>160</v>
      </c>
      <c r="C628" s="6">
        <f t="shared" si="9"/>
        <v>3</v>
      </c>
      <c r="D628" s="77">
        <v>0</v>
      </c>
      <c r="E628" s="77">
        <v>0</v>
      </c>
      <c r="F628" s="77">
        <v>0</v>
      </c>
      <c r="G628" s="77">
        <v>0</v>
      </c>
      <c r="H628" s="77">
        <v>0</v>
      </c>
      <c r="I628" s="77">
        <v>0</v>
      </c>
      <c r="J628" s="77">
        <v>0</v>
      </c>
    </row>
    <row r="629" spans="1:10" x14ac:dyDescent="0.25">
      <c r="A629" s="36" t="s">
        <v>135</v>
      </c>
      <c r="B629" s="36" t="s">
        <v>161</v>
      </c>
      <c r="C629" s="6">
        <f t="shared" si="9"/>
        <v>4</v>
      </c>
      <c r="D629" s="75">
        <v>0</v>
      </c>
      <c r="E629" s="75">
        <v>0</v>
      </c>
      <c r="F629" s="75">
        <v>0</v>
      </c>
      <c r="G629" s="75">
        <v>0</v>
      </c>
      <c r="H629" s="75">
        <v>0</v>
      </c>
      <c r="I629" s="75">
        <v>0</v>
      </c>
      <c r="J629" s="75">
        <v>0</v>
      </c>
    </row>
    <row r="630" spans="1:10" x14ac:dyDescent="0.25">
      <c r="A630" s="35" t="s">
        <v>135</v>
      </c>
      <c r="B630" s="35" t="s">
        <v>162</v>
      </c>
      <c r="C630" s="6">
        <f t="shared" si="9"/>
        <v>5</v>
      </c>
      <c r="D630" s="77">
        <v>0</v>
      </c>
      <c r="E630" s="77">
        <v>0</v>
      </c>
      <c r="F630" s="77">
        <v>0</v>
      </c>
      <c r="G630" s="77">
        <v>0</v>
      </c>
      <c r="H630" s="77">
        <v>0</v>
      </c>
      <c r="I630" s="77">
        <v>0</v>
      </c>
      <c r="J630" s="77">
        <v>0</v>
      </c>
    </row>
    <row r="631" spans="1:10" x14ac:dyDescent="0.25">
      <c r="A631" s="36" t="s">
        <v>135</v>
      </c>
      <c r="B631" s="36" t="s">
        <v>163</v>
      </c>
      <c r="C631" s="6">
        <f t="shared" si="9"/>
        <v>6</v>
      </c>
      <c r="D631" s="75">
        <v>0</v>
      </c>
      <c r="E631" s="75">
        <v>0</v>
      </c>
      <c r="F631" s="75">
        <v>0</v>
      </c>
      <c r="G631" s="75">
        <v>0</v>
      </c>
      <c r="H631" s="75">
        <v>0</v>
      </c>
      <c r="I631" s="75">
        <v>0</v>
      </c>
      <c r="J631" s="75">
        <v>0</v>
      </c>
    </row>
    <row r="632" spans="1:10" x14ac:dyDescent="0.25">
      <c r="A632" s="35" t="s">
        <v>135</v>
      </c>
      <c r="B632" s="35" t="s">
        <v>164</v>
      </c>
      <c r="C632" s="6">
        <f t="shared" si="9"/>
        <v>7</v>
      </c>
      <c r="D632" s="77">
        <v>0</v>
      </c>
      <c r="E632" s="77">
        <v>0</v>
      </c>
      <c r="F632" s="77">
        <v>0</v>
      </c>
      <c r="G632" s="77">
        <v>0</v>
      </c>
      <c r="H632" s="77">
        <v>0</v>
      </c>
      <c r="I632" s="77">
        <v>0</v>
      </c>
      <c r="J632" s="77">
        <v>0</v>
      </c>
    </row>
    <row r="633" spans="1:10" x14ac:dyDescent="0.25">
      <c r="A633" s="36" t="s">
        <v>135</v>
      </c>
      <c r="B633" s="36" t="s">
        <v>165</v>
      </c>
      <c r="C633" s="6">
        <f t="shared" si="9"/>
        <v>8</v>
      </c>
      <c r="D633" s="75">
        <v>0</v>
      </c>
      <c r="E633" s="75">
        <v>0</v>
      </c>
      <c r="F633" s="75">
        <v>0</v>
      </c>
      <c r="G633" s="75">
        <v>0</v>
      </c>
      <c r="H633" s="75">
        <v>0</v>
      </c>
      <c r="I633" s="75">
        <v>0</v>
      </c>
      <c r="J633" s="75">
        <v>0</v>
      </c>
    </row>
    <row r="634" spans="1:10" x14ac:dyDescent="0.25">
      <c r="A634" s="35" t="s">
        <v>135</v>
      </c>
      <c r="B634" s="35" t="s">
        <v>166</v>
      </c>
      <c r="C634" s="6">
        <f t="shared" si="9"/>
        <v>9</v>
      </c>
      <c r="D634" s="77">
        <v>0</v>
      </c>
      <c r="E634" s="77">
        <v>0</v>
      </c>
      <c r="F634" s="77">
        <v>0</v>
      </c>
      <c r="G634" s="77">
        <v>0</v>
      </c>
      <c r="H634" s="77">
        <v>5</v>
      </c>
      <c r="I634" s="77">
        <v>27</v>
      </c>
      <c r="J634" s="77">
        <v>0</v>
      </c>
    </row>
    <row r="635" spans="1:10" x14ac:dyDescent="0.25">
      <c r="A635" s="36" t="s">
        <v>135</v>
      </c>
      <c r="B635" s="36" t="s">
        <v>167</v>
      </c>
      <c r="C635" s="6">
        <f t="shared" si="9"/>
        <v>10</v>
      </c>
      <c r="D635" s="75">
        <v>0</v>
      </c>
      <c r="E635" s="75">
        <v>0</v>
      </c>
      <c r="F635" s="75">
        <v>0</v>
      </c>
      <c r="G635" s="75">
        <v>0</v>
      </c>
      <c r="H635" s="75">
        <v>0</v>
      </c>
      <c r="I635" s="75">
        <v>0</v>
      </c>
      <c r="J635" s="75">
        <v>0</v>
      </c>
    </row>
    <row r="636" spans="1:10" x14ac:dyDescent="0.25">
      <c r="A636" s="35" t="s">
        <v>135</v>
      </c>
      <c r="B636" s="35" t="s">
        <v>168</v>
      </c>
      <c r="C636" s="6">
        <f t="shared" si="9"/>
        <v>11</v>
      </c>
      <c r="D636" s="77">
        <v>0</v>
      </c>
      <c r="E636" s="77">
        <v>0</v>
      </c>
      <c r="F636" s="77">
        <v>0</v>
      </c>
      <c r="G636" s="77">
        <v>0</v>
      </c>
      <c r="H636" s="77">
        <v>1</v>
      </c>
      <c r="I636" s="77">
        <v>5</v>
      </c>
      <c r="J636" s="77">
        <v>0</v>
      </c>
    </row>
    <row r="637" spans="1:10" x14ac:dyDescent="0.25">
      <c r="A637" s="36" t="s">
        <v>135</v>
      </c>
      <c r="B637" s="36" t="s">
        <v>169</v>
      </c>
      <c r="C637" s="6">
        <f t="shared" si="9"/>
        <v>12</v>
      </c>
      <c r="D637" s="75">
        <v>0</v>
      </c>
      <c r="E637" s="75">
        <v>0</v>
      </c>
      <c r="F637" s="75">
        <v>0</v>
      </c>
      <c r="G637" s="75">
        <v>0</v>
      </c>
      <c r="H637" s="75">
        <v>0</v>
      </c>
      <c r="I637" s="75">
        <v>0</v>
      </c>
      <c r="J637" s="75">
        <v>0</v>
      </c>
    </row>
    <row r="638" spans="1:10" x14ac:dyDescent="0.25">
      <c r="A638" s="35" t="s">
        <v>131</v>
      </c>
      <c r="B638" s="35" t="s">
        <v>158</v>
      </c>
      <c r="C638" s="6">
        <f t="shared" si="9"/>
        <v>1</v>
      </c>
      <c r="D638" s="77">
        <v>0</v>
      </c>
      <c r="E638" s="77">
        <v>0</v>
      </c>
      <c r="F638" s="77">
        <v>0</v>
      </c>
      <c r="G638" s="77">
        <v>0</v>
      </c>
      <c r="H638" s="77">
        <v>1</v>
      </c>
      <c r="I638" s="77">
        <v>11</v>
      </c>
      <c r="J638" s="77">
        <v>0</v>
      </c>
    </row>
    <row r="639" spans="1:10" x14ac:dyDescent="0.25">
      <c r="A639" s="36" t="s">
        <v>131</v>
      </c>
      <c r="B639" s="36" t="s">
        <v>159</v>
      </c>
      <c r="C639" s="6">
        <f t="shared" si="9"/>
        <v>2</v>
      </c>
      <c r="D639" s="75">
        <v>3</v>
      </c>
      <c r="E639" s="75">
        <v>33</v>
      </c>
      <c r="F639" s="75">
        <v>0</v>
      </c>
      <c r="G639" s="75">
        <v>0</v>
      </c>
      <c r="H639" s="75">
        <v>0</v>
      </c>
      <c r="I639" s="75">
        <v>0</v>
      </c>
      <c r="J639" s="75">
        <v>1</v>
      </c>
    </row>
    <row r="640" spans="1:10" x14ac:dyDescent="0.25">
      <c r="A640" s="35" t="s">
        <v>131</v>
      </c>
      <c r="B640" s="35" t="s">
        <v>160</v>
      </c>
      <c r="C640" s="6">
        <f t="shared" si="9"/>
        <v>3</v>
      </c>
      <c r="D640" s="77">
        <v>0</v>
      </c>
      <c r="E640" s="77">
        <v>0</v>
      </c>
      <c r="F640" s="77">
        <v>0</v>
      </c>
      <c r="G640" s="77">
        <v>0</v>
      </c>
      <c r="H640" s="77">
        <v>1</v>
      </c>
      <c r="I640" s="77">
        <v>11</v>
      </c>
      <c r="J640" s="77">
        <v>0</v>
      </c>
    </row>
    <row r="641" spans="1:10" x14ac:dyDescent="0.25">
      <c r="A641" s="36" t="s">
        <v>131</v>
      </c>
      <c r="B641" s="36" t="s">
        <v>161</v>
      </c>
      <c r="C641" s="6">
        <f t="shared" si="9"/>
        <v>4</v>
      </c>
      <c r="D641" s="75">
        <v>0</v>
      </c>
      <c r="E641" s="75">
        <v>0</v>
      </c>
      <c r="F641" s="75">
        <v>0</v>
      </c>
      <c r="G641" s="75">
        <v>0</v>
      </c>
      <c r="H641" s="75">
        <v>0</v>
      </c>
      <c r="I641" s="75">
        <v>0</v>
      </c>
      <c r="J641" s="75">
        <v>0</v>
      </c>
    </row>
    <row r="642" spans="1:10" x14ac:dyDescent="0.25">
      <c r="A642" s="35" t="s">
        <v>131</v>
      </c>
      <c r="B642" s="35" t="s">
        <v>162</v>
      </c>
      <c r="C642" s="6">
        <f t="shared" ref="C642:C705" si="10">_xlfn.IFS(B642="Janeiro",1,B642="Fevereiro",2,B642="Março",3,B642="Abril",4,B642="Maio",5,B642="Junho",6,B642="Julho",7,B642="Agosto",8,B642="Setembro",9,B642="Outubro",10,B642="Novembro",11,B642="Dezembro",12,TRUE,0)</f>
        <v>5</v>
      </c>
      <c r="D642" s="77">
        <v>0</v>
      </c>
      <c r="E642" s="77">
        <v>0</v>
      </c>
      <c r="F642" s="77">
        <v>0</v>
      </c>
      <c r="G642" s="77">
        <v>0</v>
      </c>
      <c r="H642" s="77">
        <v>0</v>
      </c>
      <c r="I642" s="77">
        <v>0</v>
      </c>
      <c r="J642" s="77">
        <v>0</v>
      </c>
    </row>
    <row r="643" spans="1:10" x14ac:dyDescent="0.25">
      <c r="A643" s="36" t="s">
        <v>131</v>
      </c>
      <c r="B643" s="36" t="s">
        <v>163</v>
      </c>
      <c r="C643" s="6">
        <f t="shared" si="10"/>
        <v>6</v>
      </c>
      <c r="D643" s="75">
        <v>5</v>
      </c>
      <c r="E643" s="75">
        <v>55</v>
      </c>
      <c r="F643" s="75">
        <v>1</v>
      </c>
      <c r="G643" s="75">
        <v>1</v>
      </c>
      <c r="H643" s="75">
        <v>5</v>
      </c>
      <c r="I643" s="75">
        <v>55</v>
      </c>
      <c r="J643" s="75">
        <v>2</v>
      </c>
    </row>
    <row r="644" spans="1:10" x14ac:dyDescent="0.25">
      <c r="A644" s="35" t="s">
        <v>131</v>
      </c>
      <c r="B644" s="35" t="s">
        <v>164</v>
      </c>
      <c r="C644" s="6">
        <f t="shared" si="10"/>
        <v>7</v>
      </c>
      <c r="D644" s="77">
        <v>1</v>
      </c>
      <c r="E644" s="77">
        <v>11</v>
      </c>
      <c r="F644" s="77">
        <v>0</v>
      </c>
      <c r="G644" s="77">
        <v>0</v>
      </c>
      <c r="H644" s="77">
        <v>0</v>
      </c>
      <c r="I644" s="77">
        <v>0</v>
      </c>
      <c r="J644" s="77">
        <v>1</v>
      </c>
    </row>
    <row r="645" spans="1:10" x14ac:dyDescent="0.25">
      <c r="A645" s="36" t="s">
        <v>131</v>
      </c>
      <c r="B645" s="36" t="s">
        <v>165</v>
      </c>
      <c r="C645" s="6">
        <f t="shared" si="10"/>
        <v>8</v>
      </c>
      <c r="D645" s="75">
        <v>1</v>
      </c>
      <c r="E645" s="75">
        <v>11</v>
      </c>
      <c r="F645" s="75">
        <v>0</v>
      </c>
      <c r="G645" s="75">
        <v>0</v>
      </c>
      <c r="H645" s="75">
        <v>0</v>
      </c>
      <c r="I645" s="75">
        <v>0</v>
      </c>
      <c r="J645" s="75">
        <v>1</v>
      </c>
    </row>
    <row r="646" spans="1:10" x14ac:dyDescent="0.25">
      <c r="A646" s="35" t="s">
        <v>131</v>
      </c>
      <c r="B646" s="35" t="s">
        <v>166</v>
      </c>
      <c r="C646" s="6">
        <f t="shared" si="10"/>
        <v>9</v>
      </c>
      <c r="D646" s="77">
        <v>1</v>
      </c>
      <c r="E646" s="77">
        <v>11</v>
      </c>
      <c r="F646" s="77">
        <v>0</v>
      </c>
      <c r="G646" s="77">
        <v>0</v>
      </c>
      <c r="H646" s="77">
        <v>7</v>
      </c>
      <c r="I646" s="77">
        <v>77</v>
      </c>
      <c r="J646" s="77">
        <v>1</v>
      </c>
    </row>
    <row r="647" spans="1:10" x14ac:dyDescent="0.25">
      <c r="A647" s="36" t="s">
        <v>131</v>
      </c>
      <c r="B647" s="36" t="s">
        <v>167</v>
      </c>
      <c r="C647" s="6">
        <f t="shared" si="10"/>
        <v>10</v>
      </c>
      <c r="D647" s="75">
        <v>1</v>
      </c>
      <c r="E647" s="75">
        <v>11</v>
      </c>
      <c r="F647" s="75">
        <v>0</v>
      </c>
      <c r="G647" s="75">
        <v>0</v>
      </c>
      <c r="H647" s="75">
        <v>0</v>
      </c>
      <c r="I647" s="75">
        <v>0</v>
      </c>
      <c r="J647" s="75">
        <v>1</v>
      </c>
    </row>
    <row r="648" spans="1:10" x14ac:dyDescent="0.25">
      <c r="A648" s="35" t="s">
        <v>131</v>
      </c>
      <c r="B648" s="35" t="s">
        <v>168</v>
      </c>
      <c r="C648" s="6">
        <f t="shared" si="10"/>
        <v>11</v>
      </c>
      <c r="D648" s="77">
        <v>0</v>
      </c>
      <c r="E648" s="77">
        <v>0</v>
      </c>
      <c r="F648" s="77">
        <v>0</v>
      </c>
      <c r="G648" s="77">
        <v>0</v>
      </c>
      <c r="H648" s="77">
        <v>0</v>
      </c>
      <c r="I648" s="77">
        <v>0</v>
      </c>
      <c r="J648" s="77">
        <v>0</v>
      </c>
    </row>
    <row r="649" spans="1:10" x14ac:dyDescent="0.25">
      <c r="A649" s="36" t="s">
        <v>131</v>
      </c>
      <c r="B649" s="36" t="s">
        <v>169</v>
      </c>
      <c r="C649" s="6">
        <f t="shared" si="10"/>
        <v>12</v>
      </c>
      <c r="D649" s="75">
        <v>0</v>
      </c>
      <c r="E649" s="75">
        <v>0</v>
      </c>
      <c r="F649" s="75">
        <v>0</v>
      </c>
      <c r="G649" s="75">
        <v>0</v>
      </c>
      <c r="H649" s="75">
        <v>0</v>
      </c>
      <c r="I649" s="75">
        <v>0</v>
      </c>
      <c r="J649" s="75">
        <v>0</v>
      </c>
    </row>
  </sheetData>
  <sheetProtection sheet="1" objects="1" scenarios="1"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6EC4C-A434-40A3-80CA-8103FDB1CFF1}">
  <dimension ref="A1:E7"/>
  <sheetViews>
    <sheetView workbookViewId="0">
      <selection activeCell="A4" sqref="A4"/>
    </sheetView>
  </sheetViews>
  <sheetFormatPr defaultRowHeight="13.8" x14ac:dyDescent="0.25"/>
  <cols>
    <col min="1" max="1" width="18.59765625" bestFit="1" customWidth="1"/>
    <col min="2" max="2" width="9.69921875" bestFit="1" customWidth="1"/>
    <col min="3" max="3" width="6.3984375" bestFit="1" customWidth="1"/>
    <col min="4" max="4" width="12" bestFit="1" customWidth="1"/>
    <col min="5" max="5" width="10.796875" bestFit="1" customWidth="1"/>
  </cols>
  <sheetData>
    <row r="1" spans="1:5" x14ac:dyDescent="0.25">
      <c r="A1" s="40" t="s">
        <v>171</v>
      </c>
      <c r="B1" s="40" t="s">
        <v>172</v>
      </c>
      <c r="C1" s="40" t="s">
        <v>173</v>
      </c>
      <c r="D1" s="40" t="s">
        <v>255</v>
      </c>
      <c r="E1" s="40" t="s">
        <v>287</v>
      </c>
    </row>
    <row r="2" spans="1:5" ht="15" x14ac:dyDescent="0.25">
      <c r="A2" s="68" t="s">
        <v>250</v>
      </c>
      <c r="B2" s="69" t="s">
        <v>158</v>
      </c>
      <c r="C2" s="70">
        <v>2019</v>
      </c>
      <c r="D2" s="70" t="s">
        <v>256</v>
      </c>
      <c r="E2" s="66" t="s">
        <v>39</v>
      </c>
    </row>
    <row r="3" spans="1:5" ht="15" x14ac:dyDescent="0.25">
      <c r="A3" s="68" t="s">
        <v>259</v>
      </c>
      <c r="B3" s="69" t="s">
        <v>160</v>
      </c>
      <c r="C3" s="70">
        <v>2019</v>
      </c>
      <c r="D3" s="70" t="s">
        <v>257</v>
      </c>
      <c r="E3" s="66" t="s">
        <v>288</v>
      </c>
    </row>
    <row r="4" spans="1:5" ht="15" x14ac:dyDescent="0.25">
      <c r="A4" s="68" t="s">
        <v>251</v>
      </c>
      <c r="B4" s="69" t="s">
        <v>160</v>
      </c>
      <c r="C4" s="70">
        <v>2019</v>
      </c>
      <c r="D4" s="70" t="s">
        <v>258</v>
      </c>
      <c r="E4" s="66" t="s">
        <v>289</v>
      </c>
    </row>
    <row r="5" spans="1:5" ht="15" x14ac:dyDescent="0.25">
      <c r="A5" s="68" t="s">
        <v>252</v>
      </c>
      <c r="B5" s="69" t="s">
        <v>163</v>
      </c>
      <c r="C5" s="70">
        <v>2019</v>
      </c>
      <c r="D5" s="70" t="s">
        <v>258</v>
      </c>
      <c r="E5" s="66" t="s">
        <v>39</v>
      </c>
    </row>
    <row r="6" spans="1:5" ht="15" x14ac:dyDescent="0.25">
      <c r="A6" s="68" t="s">
        <v>253</v>
      </c>
      <c r="B6" s="69" t="s">
        <v>165</v>
      </c>
      <c r="C6" s="70">
        <v>2019</v>
      </c>
      <c r="D6" s="70" t="s">
        <v>257</v>
      </c>
      <c r="E6" s="66" t="s">
        <v>39</v>
      </c>
    </row>
    <row r="7" spans="1:5" ht="15" x14ac:dyDescent="0.25">
      <c r="A7" s="68" t="s">
        <v>254</v>
      </c>
      <c r="B7" s="69" t="s">
        <v>169</v>
      </c>
      <c r="C7" s="70">
        <v>2019</v>
      </c>
      <c r="D7" s="70" t="s">
        <v>258</v>
      </c>
      <c r="E7" s="66" t="s">
        <v>39</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0875-649B-4DC6-BBA5-FC130375E3E0}">
  <dimension ref="A1:S649"/>
  <sheetViews>
    <sheetView showGridLines="0" workbookViewId="0">
      <pane xSplit="1" ySplit="1" topLeftCell="P621" activePane="bottomRight" state="frozen"/>
      <selection pane="topRight" activeCell="B1" sqref="B1"/>
      <selection pane="bottomLeft" activeCell="A2" sqref="A2"/>
      <selection pane="bottomRight" activeCell="P634" sqref="P634"/>
    </sheetView>
  </sheetViews>
  <sheetFormatPr defaultRowHeight="13.8" x14ac:dyDescent="0.25"/>
  <cols>
    <col min="1" max="1" width="67.69921875" style="6" customWidth="1"/>
    <col min="2" max="2" width="9.09765625" style="6" bestFit="1" customWidth="1"/>
    <col min="3" max="3" width="24.59765625" style="6" customWidth="1"/>
    <col min="4" max="4" width="11.8984375" style="6" bestFit="1" customWidth="1"/>
    <col min="5" max="5" width="16.19921875" style="6" bestFit="1" customWidth="1"/>
    <col min="6" max="6" width="18.5" style="6" bestFit="1" customWidth="1"/>
    <col min="7" max="7" width="29.09765625" style="6" customWidth="1"/>
    <col min="8" max="8" width="32.5" style="36" customWidth="1"/>
    <col min="9" max="9" width="8.796875" style="6"/>
    <col min="10" max="10" width="29.19921875" style="58" bestFit="1" customWidth="1"/>
    <col min="11" max="11" width="23.09765625" style="58" customWidth="1"/>
    <col min="12" max="12" width="23.296875" style="6" customWidth="1"/>
    <col min="13" max="13" width="25.59765625" style="6" customWidth="1"/>
    <col min="14" max="14" width="12.5" bestFit="1" customWidth="1"/>
    <col min="15" max="15" width="36.3984375" customWidth="1"/>
    <col min="16" max="16" width="15.8984375" customWidth="1"/>
    <col min="17" max="17" width="41.19921875" customWidth="1"/>
    <col min="18" max="18" width="12.296875" style="6" customWidth="1"/>
    <col min="19" max="19" width="34" style="6" customWidth="1"/>
    <col min="20" max="16384" width="8.796875" style="6"/>
  </cols>
  <sheetData>
    <row r="1" spans="1:19" s="40" customFormat="1" ht="15.6" x14ac:dyDescent="0.3">
      <c r="A1" s="38" t="s">
        <v>0</v>
      </c>
      <c r="B1" s="38" t="s">
        <v>172</v>
      </c>
      <c r="C1" s="38" t="s">
        <v>1</v>
      </c>
      <c r="D1" s="39" t="s">
        <v>174</v>
      </c>
      <c r="E1" s="38" t="s">
        <v>4</v>
      </c>
      <c r="F1" s="39" t="s">
        <v>175</v>
      </c>
      <c r="G1" s="57" t="s">
        <v>241</v>
      </c>
      <c r="H1" s="57" t="s">
        <v>247</v>
      </c>
      <c r="I1" s="40" t="s">
        <v>249</v>
      </c>
      <c r="J1" s="59" t="s">
        <v>269</v>
      </c>
      <c r="K1" s="59" t="s">
        <v>266</v>
      </c>
      <c r="L1" s="57" t="s">
        <v>267</v>
      </c>
      <c r="M1" s="57" t="s">
        <v>268</v>
      </c>
      <c r="N1" s="1" t="s">
        <v>193</v>
      </c>
      <c r="O1" s="1" t="s">
        <v>194</v>
      </c>
      <c r="P1" s="1" t="s">
        <v>195</v>
      </c>
      <c r="Q1" s="1" t="s">
        <v>196</v>
      </c>
      <c r="R1" s="57" t="s">
        <v>273</v>
      </c>
      <c r="S1" s="57" t="s">
        <v>290</v>
      </c>
    </row>
    <row r="2" spans="1:19" x14ac:dyDescent="0.25">
      <c r="A2" s="37" t="s">
        <v>87</v>
      </c>
      <c r="B2" s="6" t="s">
        <v>158</v>
      </c>
      <c r="C2" s="67">
        <v>15000</v>
      </c>
      <c r="D2" s="6">
        <f>(C2/12)*1</f>
        <v>1250</v>
      </c>
      <c r="E2" s="67">
        <v>4050</v>
      </c>
      <c r="F2" s="6">
        <f>E2</f>
        <v>4050</v>
      </c>
      <c r="G2" s="36"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77">
        <v>14</v>
      </c>
      <c r="K2" s="77">
        <v>2</v>
      </c>
      <c r="L2" s="6">
        <f>J2/12</f>
        <v>1.1666666666666667</v>
      </c>
      <c r="M2" s="6">
        <f>K2</f>
        <v>2</v>
      </c>
      <c r="N2" s="78">
        <v>100</v>
      </c>
      <c r="O2">
        <f>P2/N2</f>
        <v>0.5</v>
      </c>
      <c r="P2" s="78">
        <v>50</v>
      </c>
      <c r="Q2">
        <f>R2/P2</f>
        <v>0.3</v>
      </c>
      <c r="R2" s="75">
        <v>15</v>
      </c>
      <c r="S2" s="6">
        <f>R2/N2</f>
        <v>0.15</v>
      </c>
    </row>
    <row r="3" spans="1:19" x14ac:dyDescent="0.25">
      <c r="A3" s="37" t="s">
        <v>87</v>
      </c>
      <c r="B3" s="6" t="s">
        <v>159</v>
      </c>
      <c r="C3" s="67">
        <v>15000</v>
      </c>
      <c r="D3" s="6">
        <f>(C3/12)*2</f>
        <v>2500</v>
      </c>
      <c r="E3" s="67">
        <v>400</v>
      </c>
      <c r="F3" s="6">
        <f>SUM(E2:E3)</f>
        <v>4450</v>
      </c>
      <c r="G3" s="36" t="str">
        <f t="shared" ref="G3:G66" si="2">_xlfn.IFS(F3&gt;D3,"Farol Verde",F3&gt;=D3*0.85,"Farol Amarelo",F3&lt;D3*0.85,"Farol Vermelho","Verdadeiro",0)</f>
        <v>Farol Verde</v>
      </c>
      <c r="H3">
        <f t="shared" si="0"/>
        <v>0</v>
      </c>
      <c r="I3" s="6">
        <f t="shared" si="1"/>
        <v>2</v>
      </c>
      <c r="J3" s="75">
        <v>14</v>
      </c>
      <c r="K3" s="75">
        <v>1</v>
      </c>
      <c r="L3" s="6">
        <f>$L$2+L2</f>
        <v>2.3333333333333335</v>
      </c>
      <c r="M3" s="6">
        <f>M2+K3</f>
        <v>3</v>
      </c>
      <c r="N3" s="78">
        <v>100</v>
      </c>
      <c r="O3">
        <f t="shared" ref="O3:O66" si="3">P3/N3</f>
        <v>0.5</v>
      </c>
      <c r="P3" s="78">
        <v>50</v>
      </c>
      <c r="Q3">
        <f t="shared" ref="Q3:Q66" si="4">R3/P3</f>
        <v>0.3</v>
      </c>
      <c r="R3" s="75">
        <v>15</v>
      </c>
      <c r="S3" s="6">
        <f t="shared" ref="S3:S66" si="5">R3/N3</f>
        <v>0.15</v>
      </c>
    </row>
    <row r="4" spans="1:19" x14ac:dyDescent="0.25">
      <c r="A4" s="37" t="s">
        <v>87</v>
      </c>
      <c r="B4" s="6" t="s">
        <v>160</v>
      </c>
      <c r="C4" s="67">
        <v>15000</v>
      </c>
      <c r="D4" s="6">
        <f>(C4/12)*3</f>
        <v>3750</v>
      </c>
      <c r="E4" s="67">
        <v>0</v>
      </c>
      <c r="F4" s="6">
        <f>SUM(E2:E4)</f>
        <v>4450</v>
      </c>
      <c r="G4" s="36" t="str">
        <f t="shared" si="2"/>
        <v>Farol Verde</v>
      </c>
      <c r="H4">
        <f t="shared" si="0"/>
        <v>0</v>
      </c>
      <c r="I4" s="6">
        <f t="shared" si="1"/>
        <v>3</v>
      </c>
      <c r="J4" s="77">
        <v>14</v>
      </c>
      <c r="K4" s="77">
        <v>0</v>
      </c>
      <c r="L4" s="6">
        <f t="shared" ref="L4:L13" si="6">$L$2+L3</f>
        <v>3.5</v>
      </c>
      <c r="M4" s="6">
        <f t="shared" ref="M4:M13" si="7">M3+K4</f>
        <v>3</v>
      </c>
      <c r="N4" s="78">
        <v>100</v>
      </c>
      <c r="O4">
        <f t="shared" si="3"/>
        <v>0.5</v>
      </c>
      <c r="P4" s="78">
        <v>50</v>
      </c>
      <c r="Q4">
        <f t="shared" si="4"/>
        <v>0.3</v>
      </c>
      <c r="R4" s="75">
        <v>15</v>
      </c>
      <c r="S4" s="6">
        <f t="shared" si="5"/>
        <v>0.15</v>
      </c>
    </row>
    <row r="5" spans="1:19" x14ac:dyDescent="0.25">
      <c r="A5" s="37" t="s">
        <v>87</v>
      </c>
      <c r="B5" s="6" t="s">
        <v>161</v>
      </c>
      <c r="C5" s="67">
        <v>15000</v>
      </c>
      <c r="D5" s="6">
        <f>(C5/12)*4</f>
        <v>5000</v>
      </c>
      <c r="E5" s="67">
        <v>180</v>
      </c>
      <c r="F5" s="6">
        <f>SUM(E2:E5)</f>
        <v>4630</v>
      </c>
      <c r="G5" s="36" t="str">
        <f t="shared" si="2"/>
        <v>Farol Amarelo</v>
      </c>
      <c r="H5">
        <f t="shared" si="0"/>
        <v>370</v>
      </c>
      <c r="I5" s="6">
        <f t="shared" si="1"/>
        <v>4</v>
      </c>
      <c r="J5" s="75">
        <v>14</v>
      </c>
      <c r="K5" s="75">
        <v>1</v>
      </c>
      <c r="L5" s="6">
        <f t="shared" si="6"/>
        <v>4.666666666666667</v>
      </c>
      <c r="M5" s="6">
        <f t="shared" si="7"/>
        <v>4</v>
      </c>
      <c r="N5" s="78">
        <v>100</v>
      </c>
      <c r="O5">
        <f t="shared" si="3"/>
        <v>0.5</v>
      </c>
      <c r="P5" s="78">
        <v>50</v>
      </c>
      <c r="Q5">
        <f t="shared" si="4"/>
        <v>0.3</v>
      </c>
      <c r="R5" s="75">
        <v>15</v>
      </c>
      <c r="S5" s="6">
        <f t="shared" si="5"/>
        <v>0.15</v>
      </c>
    </row>
    <row r="6" spans="1:19" x14ac:dyDescent="0.25">
      <c r="A6" s="37" t="s">
        <v>87</v>
      </c>
      <c r="B6" s="6" t="s">
        <v>162</v>
      </c>
      <c r="C6" s="67">
        <v>15000</v>
      </c>
      <c r="D6" s="6">
        <f>(C6/12)*5</f>
        <v>6250</v>
      </c>
      <c r="E6" s="67">
        <v>1890</v>
      </c>
      <c r="F6" s="6">
        <f>SUM(E2:E6)</f>
        <v>6520</v>
      </c>
      <c r="G6" s="36" t="str">
        <f t="shared" si="2"/>
        <v>Farol Verde</v>
      </c>
      <c r="H6">
        <f t="shared" si="0"/>
        <v>0</v>
      </c>
      <c r="I6" s="6">
        <f t="shared" si="1"/>
        <v>5</v>
      </c>
      <c r="J6" s="77">
        <v>14</v>
      </c>
      <c r="K6" s="77">
        <v>2</v>
      </c>
      <c r="L6" s="6">
        <f t="shared" si="6"/>
        <v>5.8333333333333339</v>
      </c>
      <c r="M6" s="6">
        <f t="shared" si="7"/>
        <v>6</v>
      </c>
      <c r="N6" s="78">
        <v>100</v>
      </c>
      <c r="O6">
        <f t="shared" si="3"/>
        <v>0.5</v>
      </c>
      <c r="P6" s="78">
        <v>50</v>
      </c>
      <c r="Q6">
        <f t="shared" si="4"/>
        <v>0.3</v>
      </c>
      <c r="R6" s="75">
        <v>15</v>
      </c>
      <c r="S6" s="6">
        <f t="shared" si="5"/>
        <v>0.15</v>
      </c>
    </row>
    <row r="7" spans="1:19" x14ac:dyDescent="0.25">
      <c r="A7" s="37" t="s">
        <v>87</v>
      </c>
      <c r="B7" s="6" t="s">
        <v>163</v>
      </c>
      <c r="C7" s="67">
        <v>15000</v>
      </c>
      <c r="D7" s="6">
        <f>(C7/12)*6</f>
        <v>7500</v>
      </c>
      <c r="E7" s="67">
        <v>1656</v>
      </c>
      <c r="F7" s="6">
        <f>SUM(E2:E7)</f>
        <v>8176</v>
      </c>
      <c r="G7" s="36" t="str">
        <f t="shared" si="2"/>
        <v>Farol Verde</v>
      </c>
      <c r="H7">
        <f t="shared" si="0"/>
        <v>0</v>
      </c>
      <c r="I7" s="6">
        <f t="shared" si="1"/>
        <v>6</v>
      </c>
      <c r="J7" s="75">
        <v>14</v>
      </c>
      <c r="K7" s="75">
        <v>2</v>
      </c>
      <c r="L7" s="6">
        <f t="shared" si="6"/>
        <v>7.0000000000000009</v>
      </c>
      <c r="M7" s="6">
        <f t="shared" si="7"/>
        <v>8</v>
      </c>
      <c r="N7" s="78">
        <v>100</v>
      </c>
      <c r="O7">
        <f t="shared" si="3"/>
        <v>0.5</v>
      </c>
      <c r="P7" s="78">
        <v>50</v>
      </c>
      <c r="Q7">
        <f t="shared" si="4"/>
        <v>0.3</v>
      </c>
      <c r="R7" s="75">
        <v>15</v>
      </c>
      <c r="S7" s="6">
        <f t="shared" si="5"/>
        <v>0.15</v>
      </c>
    </row>
    <row r="8" spans="1:19" x14ac:dyDescent="0.25">
      <c r="A8" s="37" t="s">
        <v>87</v>
      </c>
      <c r="B8" s="6" t="s">
        <v>164</v>
      </c>
      <c r="C8" s="67">
        <v>15000</v>
      </c>
      <c r="D8" s="6">
        <f>(C8/12)*7</f>
        <v>8750</v>
      </c>
      <c r="E8" s="67">
        <v>0</v>
      </c>
      <c r="F8" s="6">
        <f>SUM(E2:E8)</f>
        <v>8176</v>
      </c>
      <c r="G8" s="36" t="str">
        <f t="shared" si="2"/>
        <v>Farol Amarelo</v>
      </c>
      <c r="H8">
        <f t="shared" si="0"/>
        <v>574</v>
      </c>
      <c r="I8" s="6">
        <f t="shared" si="1"/>
        <v>7</v>
      </c>
      <c r="J8" s="77">
        <v>14</v>
      </c>
      <c r="K8" s="77">
        <v>0</v>
      </c>
      <c r="L8" s="6">
        <f t="shared" si="6"/>
        <v>8.1666666666666679</v>
      </c>
      <c r="M8" s="6">
        <f t="shared" si="7"/>
        <v>8</v>
      </c>
      <c r="N8" s="78">
        <v>100</v>
      </c>
      <c r="O8">
        <f t="shared" si="3"/>
        <v>0.5</v>
      </c>
      <c r="P8" s="78">
        <v>50</v>
      </c>
      <c r="Q8">
        <f t="shared" si="4"/>
        <v>0.3</v>
      </c>
      <c r="R8" s="75">
        <v>15</v>
      </c>
      <c r="S8" s="6">
        <f t="shared" si="5"/>
        <v>0.15</v>
      </c>
    </row>
    <row r="9" spans="1:19" x14ac:dyDescent="0.25">
      <c r="A9" s="37" t="s">
        <v>87</v>
      </c>
      <c r="B9" s="6" t="s">
        <v>165</v>
      </c>
      <c r="C9" s="67">
        <v>15000</v>
      </c>
      <c r="D9" s="6">
        <f>(C9/12)*8</f>
        <v>10000</v>
      </c>
      <c r="E9" s="67">
        <v>310</v>
      </c>
      <c r="F9" s="6">
        <f>SUM(E2:E9)</f>
        <v>8486</v>
      </c>
      <c r="G9" s="36" t="str">
        <f t="shared" si="2"/>
        <v>Farol Vermelho</v>
      </c>
      <c r="H9">
        <f t="shared" si="0"/>
        <v>1514</v>
      </c>
      <c r="I9" s="6">
        <f t="shared" si="1"/>
        <v>8</v>
      </c>
      <c r="J9" s="75">
        <v>14</v>
      </c>
      <c r="K9" s="75">
        <v>1</v>
      </c>
      <c r="L9" s="6">
        <f t="shared" si="6"/>
        <v>9.3333333333333339</v>
      </c>
      <c r="M9" s="6">
        <f t="shared" si="7"/>
        <v>9</v>
      </c>
      <c r="N9" s="78">
        <v>100</v>
      </c>
      <c r="O9">
        <f t="shared" si="3"/>
        <v>0.5</v>
      </c>
      <c r="P9" s="78">
        <v>50</v>
      </c>
      <c r="Q9">
        <f t="shared" si="4"/>
        <v>0.3</v>
      </c>
      <c r="R9" s="75">
        <v>15</v>
      </c>
      <c r="S9" s="6">
        <f t="shared" si="5"/>
        <v>0.15</v>
      </c>
    </row>
    <row r="10" spans="1:19" x14ac:dyDescent="0.25">
      <c r="A10" s="37" t="s">
        <v>87</v>
      </c>
      <c r="B10" s="6" t="s">
        <v>166</v>
      </c>
      <c r="C10" s="67">
        <v>15000</v>
      </c>
      <c r="D10" s="6">
        <f>(C10/12)*9</f>
        <v>11250</v>
      </c>
      <c r="E10" s="67">
        <v>1490</v>
      </c>
      <c r="F10" s="6">
        <f>SUM(E2:E10)</f>
        <v>9976</v>
      </c>
      <c r="G10" s="36" t="str">
        <f t="shared" si="2"/>
        <v>Farol Amarelo</v>
      </c>
      <c r="H10">
        <f t="shared" si="0"/>
        <v>1274</v>
      </c>
      <c r="I10" s="6">
        <f t="shared" si="1"/>
        <v>9</v>
      </c>
      <c r="J10" s="77">
        <v>14</v>
      </c>
      <c r="K10" s="77">
        <v>2</v>
      </c>
      <c r="L10" s="6">
        <f t="shared" si="6"/>
        <v>10.5</v>
      </c>
      <c r="M10" s="6">
        <f t="shared" si="7"/>
        <v>11</v>
      </c>
      <c r="N10" s="78">
        <v>100</v>
      </c>
      <c r="O10">
        <f t="shared" si="3"/>
        <v>0.5</v>
      </c>
      <c r="P10" s="78">
        <v>50</v>
      </c>
      <c r="Q10">
        <f t="shared" si="4"/>
        <v>0.3</v>
      </c>
      <c r="R10" s="75">
        <v>15</v>
      </c>
      <c r="S10" s="6">
        <f t="shared" si="5"/>
        <v>0.15</v>
      </c>
    </row>
    <row r="11" spans="1:19" x14ac:dyDescent="0.25">
      <c r="A11" s="37" t="s">
        <v>87</v>
      </c>
      <c r="B11" s="6" t="s">
        <v>167</v>
      </c>
      <c r="C11" s="67">
        <v>15000</v>
      </c>
      <c r="D11" s="6">
        <f>(C11/12)*10</f>
        <v>12500</v>
      </c>
      <c r="E11" s="67">
        <v>1180</v>
      </c>
      <c r="F11" s="6">
        <f>SUM(E2:E11)</f>
        <v>11156</v>
      </c>
      <c r="G11" s="36" t="str">
        <f t="shared" si="2"/>
        <v>Farol Amarelo</v>
      </c>
      <c r="H11">
        <f t="shared" si="0"/>
        <v>1344</v>
      </c>
      <c r="I11" s="6">
        <f t="shared" si="1"/>
        <v>10</v>
      </c>
      <c r="J11" s="75">
        <v>14</v>
      </c>
      <c r="K11" s="75">
        <v>2</v>
      </c>
      <c r="L11" s="6">
        <f t="shared" si="6"/>
        <v>11.666666666666666</v>
      </c>
      <c r="M11" s="6">
        <f t="shared" si="7"/>
        <v>13</v>
      </c>
      <c r="N11" s="78">
        <v>100</v>
      </c>
      <c r="O11">
        <f t="shared" si="3"/>
        <v>0.5</v>
      </c>
      <c r="P11" s="78">
        <v>50</v>
      </c>
      <c r="Q11">
        <f t="shared" si="4"/>
        <v>0.3</v>
      </c>
      <c r="R11" s="75">
        <v>15</v>
      </c>
      <c r="S11" s="6">
        <f t="shared" si="5"/>
        <v>0.15</v>
      </c>
    </row>
    <row r="12" spans="1:19" x14ac:dyDescent="0.25">
      <c r="A12" s="37" t="s">
        <v>87</v>
      </c>
      <c r="B12" s="6" t="s">
        <v>168</v>
      </c>
      <c r="C12" s="67">
        <v>15000</v>
      </c>
      <c r="D12" s="6">
        <f>(C12/12)*11</f>
        <v>13750</v>
      </c>
      <c r="E12" s="67">
        <v>2740</v>
      </c>
      <c r="F12" s="6">
        <f>SUM(E2:E12)</f>
        <v>13896</v>
      </c>
      <c r="G12" s="36" t="str">
        <f t="shared" si="2"/>
        <v>Farol Verde</v>
      </c>
      <c r="H12">
        <f t="shared" si="0"/>
        <v>0</v>
      </c>
      <c r="I12" s="6">
        <f t="shared" si="1"/>
        <v>11</v>
      </c>
      <c r="J12" s="77">
        <v>14</v>
      </c>
      <c r="K12" s="77">
        <v>3</v>
      </c>
      <c r="L12" s="6">
        <f t="shared" si="6"/>
        <v>12.833333333333332</v>
      </c>
      <c r="M12" s="6">
        <f t="shared" si="7"/>
        <v>16</v>
      </c>
      <c r="N12" s="78">
        <v>100</v>
      </c>
      <c r="O12">
        <f t="shared" si="3"/>
        <v>0.5</v>
      </c>
      <c r="P12" s="78">
        <v>50</v>
      </c>
      <c r="Q12">
        <f t="shared" si="4"/>
        <v>0.3</v>
      </c>
      <c r="R12" s="75">
        <v>15</v>
      </c>
      <c r="S12" s="6">
        <f t="shared" si="5"/>
        <v>0.15</v>
      </c>
    </row>
    <row r="13" spans="1:19" x14ac:dyDescent="0.25">
      <c r="A13" s="37" t="s">
        <v>87</v>
      </c>
      <c r="B13" s="6" t="s">
        <v>169</v>
      </c>
      <c r="C13" s="67">
        <v>15000</v>
      </c>
      <c r="D13" s="6">
        <f>(C13/12)*12</f>
        <v>15000</v>
      </c>
      <c r="E13" s="67">
        <v>1500</v>
      </c>
      <c r="F13" s="6">
        <f>SUM(E2:E13)</f>
        <v>15396</v>
      </c>
      <c r="G13" s="36" t="str">
        <f t="shared" si="2"/>
        <v>Farol Verde</v>
      </c>
      <c r="H13">
        <f t="shared" si="0"/>
        <v>0</v>
      </c>
      <c r="I13" s="6">
        <f t="shared" si="1"/>
        <v>12</v>
      </c>
      <c r="J13" s="75">
        <v>14</v>
      </c>
      <c r="K13" s="75">
        <v>1</v>
      </c>
      <c r="L13" s="6">
        <f t="shared" si="6"/>
        <v>13.999999999999998</v>
      </c>
      <c r="M13" s="6">
        <f t="shared" si="7"/>
        <v>17</v>
      </c>
      <c r="N13" s="78">
        <v>100</v>
      </c>
      <c r="O13">
        <f t="shared" si="3"/>
        <v>0.5</v>
      </c>
      <c r="P13" s="78">
        <v>50</v>
      </c>
      <c r="Q13">
        <f t="shared" si="4"/>
        <v>0.3</v>
      </c>
      <c r="R13" s="75">
        <v>15</v>
      </c>
      <c r="S13" s="6">
        <f t="shared" si="5"/>
        <v>0.15</v>
      </c>
    </row>
    <row r="14" spans="1:19" x14ac:dyDescent="0.25">
      <c r="A14" s="37" t="s">
        <v>98</v>
      </c>
      <c r="B14" s="6" t="s">
        <v>158</v>
      </c>
      <c r="C14" s="67">
        <v>0</v>
      </c>
      <c r="D14" s="6">
        <f>(C14/12)*1</f>
        <v>0</v>
      </c>
      <c r="E14" s="67">
        <v>0</v>
      </c>
      <c r="F14" s="6">
        <f>E14</f>
        <v>0</v>
      </c>
      <c r="G14" s="36" t="str">
        <f t="shared" si="2"/>
        <v>Farol Amarelo</v>
      </c>
      <c r="H14">
        <f t="shared" si="0"/>
        <v>0</v>
      </c>
      <c r="I14" s="6">
        <f t="shared" si="1"/>
        <v>1</v>
      </c>
      <c r="J14" s="77">
        <v>0</v>
      </c>
      <c r="K14" s="77">
        <v>0</v>
      </c>
      <c r="L14" s="6">
        <f>J14/12</f>
        <v>0</v>
      </c>
      <c r="M14" s="6">
        <f>K14</f>
        <v>0</v>
      </c>
      <c r="N14" s="78">
        <v>100</v>
      </c>
      <c r="O14">
        <f t="shared" si="3"/>
        <v>0.5</v>
      </c>
      <c r="P14" s="78">
        <v>50</v>
      </c>
      <c r="Q14">
        <f t="shared" si="4"/>
        <v>0.3</v>
      </c>
      <c r="R14" s="75">
        <v>15</v>
      </c>
      <c r="S14" s="6">
        <f t="shared" si="5"/>
        <v>0.15</v>
      </c>
    </row>
    <row r="15" spans="1:19" x14ac:dyDescent="0.25">
      <c r="A15" s="37" t="s">
        <v>98</v>
      </c>
      <c r="B15" s="6" t="s">
        <v>159</v>
      </c>
      <c r="C15" s="67">
        <v>0</v>
      </c>
      <c r="D15" s="6">
        <f>(C15/12)*2</f>
        <v>0</v>
      </c>
      <c r="E15" s="67">
        <v>0</v>
      </c>
      <c r="F15" s="6">
        <f>SUM(E14:E15)</f>
        <v>0</v>
      </c>
      <c r="G15" s="36" t="str">
        <f t="shared" si="2"/>
        <v>Farol Amarelo</v>
      </c>
      <c r="H15">
        <f t="shared" si="0"/>
        <v>0</v>
      </c>
      <c r="I15" s="6">
        <f t="shared" si="1"/>
        <v>2</v>
      </c>
      <c r="J15" s="75">
        <v>0</v>
      </c>
      <c r="K15" s="75">
        <v>0</v>
      </c>
      <c r="L15" s="6">
        <f>L14+L14</f>
        <v>0</v>
      </c>
      <c r="M15" s="6">
        <f>M14+K15</f>
        <v>0</v>
      </c>
      <c r="N15" s="78">
        <v>100</v>
      </c>
      <c r="O15">
        <f t="shared" si="3"/>
        <v>0.5</v>
      </c>
      <c r="P15" s="78">
        <v>50</v>
      </c>
      <c r="Q15">
        <f t="shared" si="4"/>
        <v>0.3</v>
      </c>
      <c r="R15" s="75">
        <v>15</v>
      </c>
      <c r="S15" s="6">
        <f t="shared" si="5"/>
        <v>0.15</v>
      </c>
    </row>
    <row r="16" spans="1:19" x14ac:dyDescent="0.25">
      <c r="A16" s="37" t="s">
        <v>98</v>
      </c>
      <c r="B16" s="6" t="s">
        <v>160</v>
      </c>
      <c r="C16" s="67">
        <v>0</v>
      </c>
      <c r="D16" s="6">
        <f>(C16/12)*3</f>
        <v>0</v>
      </c>
      <c r="E16" s="67">
        <v>0</v>
      </c>
      <c r="F16" s="6">
        <f>SUM(E14:E16)</f>
        <v>0</v>
      </c>
      <c r="G16" s="36" t="str">
        <f t="shared" si="2"/>
        <v>Farol Amarelo</v>
      </c>
      <c r="H16">
        <f t="shared" si="0"/>
        <v>0</v>
      </c>
      <c r="I16" s="6">
        <f t="shared" si="1"/>
        <v>3</v>
      </c>
      <c r="J16" s="77">
        <v>0</v>
      </c>
      <c r="K16" s="77">
        <v>0</v>
      </c>
      <c r="L16" s="6">
        <f>$L14+L15</f>
        <v>0</v>
      </c>
      <c r="M16" s="6">
        <f t="shared" ref="M16:M25" si="8">M15+K16</f>
        <v>0</v>
      </c>
      <c r="N16" s="78">
        <v>100</v>
      </c>
      <c r="O16">
        <f t="shared" si="3"/>
        <v>0.5</v>
      </c>
      <c r="P16" s="78">
        <v>50</v>
      </c>
      <c r="Q16">
        <f t="shared" si="4"/>
        <v>0.3</v>
      </c>
      <c r="R16" s="75">
        <v>15</v>
      </c>
      <c r="S16" s="6">
        <f t="shared" si="5"/>
        <v>0.15</v>
      </c>
    </row>
    <row r="17" spans="1:19" x14ac:dyDescent="0.25">
      <c r="A17" s="37" t="s">
        <v>98</v>
      </c>
      <c r="B17" s="6" t="s">
        <v>161</v>
      </c>
      <c r="C17" s="67">
        <v>0</v>
      </c>
      <c r="D17" s="6">
        <f>(C17/12)*4</f>
        <v>0</v>
      </c>
      <c r="E17" s="67">
        <v>0</v>
      </c>
      <c r="F17" s="6">
        <f>SUM(E14:E17)</f>
        <v>0</v>
      </c>
      <c r="G17" s="36" t="str">
        <f t="shared" si="2"/>
        <v>Farol Amarelo</v>
      </c>
      <c r="H17">
        <f t="shared" si="0"/>
        <v>0</v>
      </c>
      <c r="I17" s="6">
        <f t="shared" si="1"/>
        <v>4</v>
      </c>
      <c r="J17" s="75">
        <v>0</v>
      </c>
      <c r="K17" s="75">
        <v>0</v>
      </c>
      <c r="L17" s="6">
        <f>$L14+L16</f>
        <v>0</v>
      </c>
      <c r="M17" s="6">
        <f t="shared" si="8"/>
        <v>0</v>
      </c>
      <c r="N17" s="78">
        <v>100</v>
      </c>
      <c r="O17">
        <f t="shared" si="3"/>
        <v>0.5</v>
      </c>
      <c r="P17" s="78">
        <v>50</v>
      </c>
      <c r="Q17">
        <f t="shared" si="4"/>
        <v>0.3</v>
      </c>
      <c r="R17" s="75">
        <v>15</v>
      </c>
      <c r="S17" s="6">
        <f t="shared" si="5"/>
        <v>0.15</v>
      </c>
    </row>
    <row r="18" spans="1:19" x14ac:dyDescent="0.25">
      <c r="A18" s="37" t="s">
        <v>98</v>
      </c>
      <c r="B18" s="6" t="s">
        <v>162</v>
      </c>
      <c r="C18" s="67">
        <v>0</v>
      </c>
      <c r="D18" s="6">
        <f>(C18/12)*5</f>
        <v>0</v>
      </c>
      <c r="E18" s="67">
        <v>0</v>
      </c>
      <c r="F18" s="6">
        <f>SUM(E14:E18)</f>
        <v>0</v>
      </c>
      <c r="G18" s="36" t="str">
        <f t="shared" si="2"/>
        <v>Farol Amarelo</v>
      </c>
      <c r="H18">
        <f t="shared" si="0"/>
        <v>0</v>
      </c>
      <c r="I18" s="6">
        <f t="shared" si="1"/>
        <v>5</v>
      </c>
      <c r="J18" s="77">
        <v>0</v>
      </c>
      <c r="K18" s="77">
        <v>0</v>
      </c>
      <c r="L18" s="6">
        <f>L14+L17</f>
        <v>0</v>
      </c>
      <c r="M18" s="6">
        <f t="shared" si="8"/>
        <v>0</v>
      </c>
      <c r="N18" s="78">
        <v>100</v>
      </c>
      <c r="O18">
        <f t="shared" si="3"/>
        <v>0.5</v>
      </c>
      <c r="P18" s="78">
        <v>50</v>
      </c>
      <c r="Q18">
        <f t="shared" si="4"/>
        <v>0.3</v>
      </c>
      <c r="R18" s="75">
        <v>15</v>
      </c>
      <c r="S18" s="6">
        <f t="shared" si="5"/>
        <v>0.15</v>
      </c>
    </row>
    <row r="19" spans="1:19" x14ac:dyDescent="0.25">
      <c r="A19" s="37" t="s">
        <v>98</v>
      </c>
      <c r="B19" s="6" t="s">
        <v>163</v>
      </c>
      <c r="C19" s="67">
        <v>0</v>
      </c>
      <c r="D19" s="6">
        <f>(C19/12)*6</f>
        <v>0</v>
      </c>
      <c r="E19" s="67">
        <v>0</v>
      </c>
      <c r="F19" s="6">
        <f>SUM(E14:E19)</f>
        <v>0</v>
      </c>
      <c r="G19" s="36" t="str">
        <f t="shared" si="2"/>
        <v>Farol Amarelo</v>
      </c>
      <c r="H19">
        <f t="shared" si="0"/>
        <v>0</v>
      </c>
      <c r="I19" s="6">
        <f t="shared" si="1"/>
        <v>6</v>
      </c>
      <c r="J19" s="75">
        <v>0</v>
      </c>
      <c r="K19" s="75">
        <v>0</v>
      </c>
      <c r="L19" s="6">
        <f>$L14+L18</f>
        <v>0</v>
      </c>
      <c r="M19" s="6">
        <f t="shared" si="8"/>
        <v>0</v>
      </c>
      <c r="N19" s="78">
        <v>100</v>
      </c>
      <c r="O19">
        <f t="shared" si="3"/>
        <v>0.5</v>
      </c>
      <c r="P19" s="78">
        <v>50</v>
      </c>
      <c r="Q19">
        <f t="shared" si="4"/>
        <v>0.3</v>
      </c>
      <c r="R19" s="75">
        <v>15</v>
      </c>
      <c r="S19" s="6">
        <f t="shared" si="5"/>
        <v>0.15</v>
      </c>
    </row>
    <row r="20" spans="1:19" x14ac:dyDescent="0.25">
      <c r="A20" s="37" t="s">
        <v>98</v>
      </c>
      <c r="B20" s="6" t="s">
        <v>164</v>
      </c>
      <c r="C20" s="67">
        <v>0</v>
      </c>
      <c r="D20" s="6">
        <f>(C20/12)*7</f>
        <v>0</v>
      </c>
      <c r="E20" s="67">
        <v>0</v>
      </c>
      <c r="F20" s="6">
        <f>SUM(E14:E20)</f>
        <v>0</v>
      </c>
      <c r="G20" s="36" t="str">
        <f t="shared" si="2"/>
        <v>Farol Amarelo</v>
      </c>
      <c r="H20">
        <f t="shared" si="0"/>
        <v>0</v>
      </c>
      <c r="I20" s="6">
        <f t="shared" si="1"/>
        <v>7</v>
      </c>
      <c r="J20" s="77">
        <v>0</v>
      </c>
      <c r="K20" s="77">
        <v>0</v>
      </c>
      <c r="L20" s="6">
        <f>$L14+L19</f>
        <v>0</v>
      </c>
      <c r="M20" s="6">
        <f t="shared" si="8"/>
        <v>0</v>
      </c>
      <c r="N20" s="78">
        <v>100</v>
      </c>
      <c r="O20">
        <f t="shared" si="3"/>
        <v>0.5</v>
      </c>
      <c r="P20" s="78">
        <v>50</v>
      </c>
      <c r="Q20">
        <f t="shared" si="4"/>
        <v>0.3</v>
      </c>
      <c r="R20" s="75">
        <v>15</v>
      </c>
      <c r="S20" s="6">
        <f t="shared" si="5"/>
        <v>0.15</v>
      </c>
    </row>
    <row r="21" spans="1:19" x14ac:dyDescent="0.25">
      <c r="A21" s="37" t="s">
        <v>98</v>
      </c>
      <c r="B21" s="6" t="s">
        <v>165</v>
      </c>
      <c r="C21" s="67">
        <v>0</v>
      </c>
      <c r="D21" s="6">
        <f>(C21/12)*8</f>
        <v>0</v>
      </c>
      <c r="E21" s="67">
        <v>0</v>
      </c>
      <c r="F21" s="6">
        <f>SUM(E14:E21)</f>
        <v>0</v>
      </c>
      <c r="G21" s="36" t="str">
        <f t="shared" si="2"/>
        <v>Farol Amarelo</v>
      </c>
      <c r="H21">
        <f t="shared" si="0"/>
        <v>0</v>
      </c>
      <c r="I21" s="6">
        <f t="shared" si="1"/>
        <v>8</v>
      </c>
      <c r="J21" s="75">
        <v>0</v>
      </c>
      <c r="K21" s="75">
        <v>0</v>
      </c>
      <c r="L21" s="6">
        <f>L14+L20</f>
        <v>0</v>
      </c>
      <c r="M21" s="6">
        <f t="shared" si="8"/>
        <v>0</v>
      </c>
      <c r="N21" s="78">
        <v>100</v>
      </c>
      <c r="O21">
        <f t="shared" si="3"/>
        <v>0.5</v>
      </c>
      <c r="P21" s="78">
        <v>50</v>
      </c>
      <c r="Q21">
        <f t="shared" si="4"/>
        <v>0.3</v>
      </c>
      <c r="R21" s="75">
        <v>15</v>
      </c>
      <c r="S21" s="6">
        <f t="shared" si="5"/>
        <v>0.15</v>
      </c>
    </row>
    <row r="22" spans="1:19" x14ac:dyDescent="0.25">
      <c r="A22" s="37" t="s">
        <v>98</v>
      </c>
      <c r="B22" s="6" t="s">
        <v>166</v>
      </c>
      <c r="C22" s="67">
        <v>0</v>
      </c>
      <c r="D22" s="6">
        <f>(C22/12)*9</f>
        <v>0</v>
      </c>
      <c r="E22" s="67">
        <v>0</v>
      </c>
      <c r="F22" s="6">
        <f>SUM(E14:E22)</f>
        <v>0</v>
      </c>
      <c r="G22" s="36" t="str">
        <f t="shared" si="2"/>
        <v>Farol Amarelo</v>
      </c>
      <c r="H22">
        <f t="shared" si="0"/>
        <v>0</v>
      </c>
      <c r="I22" s="6">
        <f t="shared" si="1"/>
        <v>9</v>
      </c>
      <c r="J22" s="77">
        <v>0</v>
      </c>
      <c r="K22" s="77">
        <v>0</v>
      </c>
      <c r="L22" s="6">
        <f>$L14+L21</f>
        <v>0</v>
      </c>
      <c r="M22" s="6">
        <f t="shared" si="8"/>
        <v>0</v>
      </c>
      <c r="N22" s="78">
        <v>100</v>
      </c>
      <c r="O22">
        <f t="shared" si="3"/>
        <v>0.5</v>
      </c>
      <c r="P22" s="78">
        <v>50</v>
      </c>
      <c r="Q22">
        <f t="shared" si="4"/>
        <v>0.3</v>
      </c>
      <c r="R22" s="75">
        <v>15</v>
      </c>
      <c r="S22" s="6">
        <f t="shared" si="5"/>
        <v>0.15</v>
      </c>
    </row>
    <row r="23" spans="1:19" x14ac:dyDescent="0.25">
      <c r="A23" s="37" t="s">
        <v>98</v>
      </c>
      <c r="B23" s="6" t="s">
        <v>167</v>
      </c>
      <c r="C23" s="67">
        <v>0</v>
      </c>
      <c r="D23" s="6">
        <f>(C23/12)*10</f>
        <v>0</v>
      </c>
      <c r="E23" s="67">
        <v>0</v>
      </c>
      <c r="F23" s="6">
        <f>SUM(E14:E23)</f>
        <v>0</v>
      </c>
      <c r="G23" s="36" t="str">
        <f t="shared" si="2"/>
        <v>Farol Amarelo</v>
      </c>
      <c r="H23">
        <f t="shared" si="0"/>
        <v>0</v>
      </c>
      <c r="I23" s="6">
        <f t="shared" si="1"/>
        <v>10</v>
      </c>
      <c r="J23" s="75">
        <v>0</v>
      </c>
      <c r="K23" s="75">
        <v>0</v>
      </c>
      <c r="L23" s="6">
        <f>$L14+L22</f>
        <v>0</v>
      </c>
      <c r="M23" s="6">
        <f t="shared" si="8"/>
        <v>0</v>
      </c>
      <c r="N23" s="78">
        <v>100</v>
      </c>
      <c r="O23">
        <f t="shared" si="3"/>
        <v>0.5</v>
      </c>
      <c r="P23" s="78">
        <v>50</v>
      </c>
      <c r="Q23">
        <f t="shared" si="4"/>
        <v>0.3</v>
      </c>
      <c r="R23" s="75">
        <v>15</v>
      </c>
      <c r="S23" s="6">
        <f t="shared" si="5"/>
        <v>0.15</v>
      </c>
    </row>
    <row r="24" spans="1:19" x14ac:dyDescent="0.25">
      <c r="A24" s="37" t="s">
        <v>98</v>
      </c>
      <c r="B24" s="6" t="s">
        <v>168</v>
      </c>
      <c r="C24" s="67">
        <v>0</v>
      </c>
      <c r="D24" s="6">
        <f>(C24/12)*11</f>
        <v>0</v>
      </c>
      <c r="E24" s="67">
        <v>0</v>
      </c>
      <c r="F24" s="6">
        <f>SUM(E14:E24)</f>
        <v>0</v>
      </c>
      <c r="G24" s="36" t="str">
        <f t="shared" si="2"/>
        <v>Farol Amarelo</v>
      </c>
      <c r="H24">
        <f t="shared" si="0"/>
        <v>0</v>
      </c>
      <c r="I24" s="6">
        <f t="shared" si="1"/>
        <v>11</v>
      </c>
      <c r="J24" s="77">
        <v>0</v>
      </c>
      <c r="K24" s="77">
        <v>0</v>
      </c>
      <c r="L24" s="6">
        <f>L14+L23</f>
        <v>0</v>
      </c>
      <c r="M24" s="6">
        <f t="shared" si="8"/>
        <v>0</v>
      </c>
      <c r="N24" s="78">
        <v>100</v>
      </c>
      <c r="O24">
        <f t="shared" si="3"/>
        <v>0.5</v>
      </c>
      <c r="P24" s="78">
        <v>50</v>
      </c>
      <c r="Q24">
        <f t="shared" si="4"/>
        <v>0.3</v>
      </c>
      <c r="R24" s="75">
        <v>15</v>
      </c>
      <c r="S24" s="6">
        <f t="shared" si="5"/>
        <v>0.15</v>
      </c>
    </row>
    <row r="25" spans="1:19" x14ac:dyDescent="0.25">
      <c r="A25" s="37" t="s">
        <v>98</v>
      </c>
      <c r="B25" s="6" t="s">
        <v>169</v>
      </c>
      <c r="C25" s="67">
        <v>0</v>
      </c>
      <c r="D25" s="6">
        <f>(C25/12)*12</f>
        <v>0</v>
      </c>
      <c r="E25" s="67">
        <v>0</v>
      </c>
      <c r="F25" s="6">
        <f>SUM(E14:E25)</f>
        <v>0</v>
      </c>
      <c r="G25" s="36" t="str">
        <f t="shared" si="2"/>
        <v>Farol Amarelo</v>
      </c>
      <c r="H25">
        <f t="shared" si="0"/>
        <v>0</v>
      </c>
      <c r="I25" s="6">
        <f t="shared" si="1"/>
        <v>12</v>
      </c>
      <c r="J25" s="75">
        <v>0</v>
      </c>
      <c r="K25" s="75">
        <v>0</v>
      </c>
      <c r="L25" s="6">
        <f>$L14+L24</f>
        <v>0</v>
      </c>
      <c r="M25" s="6">
        <f t="shared" si="8"/>
        <v>0</v>
      </c>
      <c r="N25" s="78">
        <v>100</v>
      </c>
      <c r="O25">
        <f t="shared" si="3"/>
        <v>0.5</v>
      </c>
      <c r="P25" s="78">
        <v>50</v>
      </c>
      <c r="Q25">
        <f t="shared" si="4"/>
        <v>0.3</v>
      </c>
      <c r="R25" s="75">
        <v>15</v>
      </c>
      <c r="S25" s="6">
        <f t="shared" si="5"/>
        <v>0.15</v>
      </c>
    </row>
    <row r="26" spans="1:19" x14ac:dyDescent="0.25">
      <c r="A26" s="37" t="s">
        <v>56</v>
      </c>
      <c r="B26" s="6" t="s">
        <v>158</v>
      </c>
      <c r="C26" s="67">
        <v>28902.95</v>
      </c>
      <c r="D26" s="6">
        <f>(C26/12)*1</f>
        <v>2408.5791666666669</v>
      </c>
      <c r="E26" s="67">
        <v>0</v>
      </c>
      <c r="F26" s="6">
        <f>E26</f>
        <v>0</v>
      </c>
      <c r="G26" s="36" t="str">
        <f t="shared" si="2"/>
        <v>Farol Vermelho</v>
      </c>
      <c r="H26">
        <f t="shared" si="0"/>
        <v>2408.5791666666669</v>
      </c>
      <c r="I26" s="6">
        <f t="shared" si="1"/>
        <v>1</v>
      </c>
      <c r="J26" s="77">
        <v>12</v>
      </c>
      <c r="K26" s="77">
        <v>0</v>
      </c>
      <c r="L26" s="6">
        <f>J26/12</f>
        <v>1</v>
      </c>
      <c r="M26" s="6">
        <f>K26</f>
        <v>0</v>
      </c>
      <c r="N26" s="78">
        <v>100</v>
      </c>
      <c r="O26">
        <f t="shared" si="3"/>
        <v>0.5</v>
      </c>
      <c r="P26" s="78">
        <v>50</v>
      </c>
      <c r="Q26">
        <f t="shared" si="4"/>
        <v>0.3</v>
      </c>
      <c r="R26" s="75">
        <v>15</v>
      </c>
      <c r="S26" s="6">
        <f t="shared" si="5"/>
        <v>0.15</v>
      </c>
    </row>
    <row r="27" spans="1:19" x14ac:dyDescent="0.25">
      <c r="A27" s="37" t="s">
        <v>56</v>
      </c>
      <c r="B27" s="6" t="s">
        <v>159</v>
      </c>
      <c r="C27" s="67">
        <v>28902.95</v>
      </c>
      <c r="D27" s="6">
        <f>(C27/12)*2</f>
        <v>4817.1583333333338</v>
      </c>
      <c r="E27" s="67">
        <v>0</v>
      </c>
      <c r="F27" s="6">
        <f>SUM(E26:E27)</f>
        <v>0</v>
      </c>
      <c r="G27" s="36" t="str">
        <f t="shared" si="2"/>
        <v>Farol Vermelho</v>
      </c>
      <c r="H27">
        <f t="shared" si="0"/>
        <v>4817.1583333333338</v>
      </c>
      <c r="I27" s="6">
        <f t="shared" si="1"/>
        <v>2</v>
      </c>
      <c r="J27" s="75">
        <v>12</v>
      </c>
      <c r="K27" s="75">
        <v>0</v>
      </c>
      <c r="L27" s="6">
        <f>L26+L26</f>
        <v>2</v>
      </c>
      <c r="M27" s="6">
        <f>M26+K27</f>
        <v>0</v>
      </c>
      <c r="N27" s="78">
        <v>100</v>
      </c>
      <c r="O27">
        <f t="shared" si="3"/>
        <v>0.5</v>
      </c>
      <c r="P27" s="78">
        <v>50</v>
      </c>
      <c r="Q27">
        <f t="shared" si="4"/>
        <v>0.3</v>
      </c>
      <c r="R27" s="75">
        <v>15</v>
      </c>
      <c r="S27" s="6">
        <f t="shared" si="5"/>
        <v>0.15</v>
      </c>
    </row>
    <row r="28" spans="1:19" x14ac:dyDescent="0.25">
      <c r="A28" s="37" t="s">
        <v>56</v>
      </c>
      <c r="B28" s="6" t="s">
        <v>160</v>
      </c>
      <c r="C28" s="67">
        <v>28902.95</v>
      </c>
      <c r="D28" s="6">
        <f>(C28/12)*3</f>
        <v>7225.7375000000011</v>
      </c>
      <c r="E28" s="67">
        <v>0</v>
      </c>
      <c r="F28" s="6">
        <f>SUM(E26:E28)</f>
        <v>0</v>
      </c>
      <c r="G28" s="36" t="str">
        <f t="shared" si="2"/>
        <v>Farol Vermelho</v>
      </c>
      <c r="H28">
        <f t="shared" si="0"/>
        <v>7225.7375000000011</v>
      </c>
      <c r="I28" s="6">
        <f t="shared" si="1"/>
        <v>3</v>
      </c>
      <c r="J28" s="77">
        <v>12</v>
      </c>
      <c r="K28" s="77">
        <v>0</v>
      </c>
      <c r="L28" s="6">
        <f>$L26+L27</f>
        <v>3</v>
      </c>
      <c r="M28" s="6">
        <f t="shared" ref="M28:M37" si="9">M27+K28</f>
        <v>0</v>
      </c>
      <c r="N28" s="78">
        <v>100</v>
      </c>
      <c r="O28">
        <f t="shared" si="3"/>
        <v>0.5</v>
      </c>
      <c r="P28" s="78">
        <v>50</v>
      </c>
      <c r="Q28">
        <f t="shared" si="4"/>
        <v>0.3</v>
      </c>
      <c r="R28" s="75">
        <v>15</v>
      </c>
      <c r="S28" s="6">
        <f t="shared" si="5"/>
        <v>0.15</v>
      </c>
    </row>
    <row r="29" spans="1:19" x14ac:dyDescent="0.25">
      <c r="A29" s="37" t="s">
        <v>56</v>
      </c>
      <c r="B29" s="6" t="s">
        <v>161</v>
      </c>
      <c r="C29" s="67">
        <v>28902.95</v>
      </c>
      <c r="D29" s="6">
        <f>(C29/12)*4</f>
        <v>9634.3166666666675</v>
      </c>
      <c r="E29" s="67">
        <v>0</v>
      </c>
      <c r="F29" s="6">
        <f>SUM(E26:E29)</f>
        <v>0</v>
      </c>
      <c r="G29" s="36" t="str">
        <f t="shared" si="2"/>
        <v>Farol Vermelho</v>
      </c>
      <c r="H29">
        <f t="shared" si="0"/>
        <v>9634.3166666666675</v>
      </c>
      <c r="I29" s="6">
        <f t="shared" si="1"/>
        <v>4</v>
      </c>
      <c r="J29" s="75">
        <v>12</v>
      </c>
      <c r="K29" s="75">
        <v>0</v>
      </c>
      <c r="L29" s="6">
        <f>$L26+L28</f>
        <v>4</v>
      </c>
      <c r="M29" s="6">
        <f t="shared" si="9"/>
        <v>0</v>
      </c>
      <c r="N29" s="78">
        <v>100</v>
      </c>
      <c r="O29">
        <f t="shared" si="3"/>
        <v>0.5</v>
      </c>
      <c r="P29" s="78">
        <v>50</v>
      </c>
      <c r="Q29">
        <f t="shared" si="4"/>
        <v>0.3</v>
      </c>
      <c r="R29" s="75">
        <v>15</v>
      </c>
      <c r="S29" s="6">
        <f t="shared" si="5"/>
        <v>0.15</v>
      </c>
    </row>
    <row r="30" spans="1:19" x14ac:dyDescent="0.25">
      <c r="A30" s="37" t="s">
        <v>56</v>
      </c>
      <c r="B30" s="6" t="s">
        <v>162</v>
      </c>
      <c r="C30" s="67">
        <v>28902.95</v>
      </c>
      <c r="D30" s="6">
        <f>(C30/12)*5</f>
        <v>12042.895833333334</v>
      </c>
      <c r="E30" s="67">
        <v>4641.3999999999996</v>
      </c>
      <c r="F30" s="6">
        <f>SUM(E26:E30)</f>
        <v>4641.3999999999996</v>
      </c>
      <c r="G30" s="36" t="str">
        <f t="shared" si="2"/>
        <v>Farol Vermelho</v>
      </c>
      <c r="H30">
        <f t="shared" si="0"/>
        <v>7401.4958333333343</v>
      </c>
      <c r="I30" s="6">
        <f t="shared" si="1"/>
        <v>5</v>
      </c>
      <c r="J30" s="77">
        <v>12</v>
      </c>
      <c r="K30" s="77">
        <v>5</v>
      </c>
      <c r="L30" s="6">
        <f>L26+L29</f>
        <v>5</v>
      </c>
      <c r="M30" s="6">
        <f t="shared" si="9"/>
        <v>5</v>
      </c>
      <c r="N30" s="78">
        <v>100</v>
      </c>
      <c r="O30">
        <f t="shared" si="3"/>
        <v>0.5</v>
      </c>
      <c r="P30" s="78">
        <v>50</v>
      </c>
      <c r="Q30">
        <f t="shared" si="4"/>
        <v>0.3</v>
      </c>
      <c r="R30" s="75">
        <v>15</v>
      </c>
      <c r="S30" s="6">
        <f t="shared" si="5"/>
        <v>0.15</v>
      </c>
    </row>
    <row r="31" spans="1:19" x14ac:dyDescent="0.25">
      <c r="A31" s="37" t="s">
        <v>56</v>
      </c>
      <c r="B31" s="6" t="s">
        <v>163</v>
      </c>
      <c r="C31" s="67">
        <v>28902.95</v>
      </c>
      <c r="D31" s="6">
        <f>(C31/12)*6</f>
        <v>14451.475000000002</v>
      </c>
      <c r="E31" s="67">
        <v>0</v>
      </c>
      <c r="F31" s="6">
        <f>SUM(E26:E31)</f>
        <v>4641.3999999999996</v>
      </c>
      <c r="G31" s="36" t="str">
        <f t="shared" si="2"/>
        <v>Farol Vermelho</v>
      </c>
      <c r="H31">
        <f t="shared" si="0"/>
        <v>9810.0750000000025</v>
      </c>
      <c r="I31" s="6">
        <f t="shared" si="1"/>
        <v>6</v>
      </c>
      <c r="J31" s="75">
        <v>12</v>
      </c>
      <c r="K31" s="75">
        <v>0</v>
      </c>
      <c r="L31" s="6">
        <f>$L26+L30</f>
        <v>6</v>
      </c>
      <c r="M31" s="6">
        <f t="shared" si="9"/>
        <v>5</v>
      </c>
      <c r="N31" s="78">
        <v>100</v>
      </c>
      <c r="O31">
        <f t="shared" si="3"/>
        <v>0.5</v>
      </c>
      <c r="P31" s="78">
        <v>50</v>
      </c>
      <c r="Q31">
        <f t="shared" si="4"/>
        <v>0.3</v>
      </c>
      <c r="R31" s="75">
        <v>15</v>
      </c>
      <c r="S31" s="6">
        <f t="shared" si="5"/>
        <v>0.15</v>
      </c>
    </row>
    <row r="32" spans="1:19" x14ac:dyDescent="0.25">
      <c r="A32" s="37" t="s">
        <v>56</v>
      </c>
      <c r="B32" s="6" t="s">
        <v>164</v>
      </c>
      <c r="C32" s="67">
        <v>28902.95</v>
      </c>
      <c r="D32" s="6">
        <f>(C32/12)*7</f>
        <v>16860.054166666669</v>
      </c>
      <c r="E32" s="67">
        <v>0</v>
      </c>
      <c r="F32" s="6">
        <f>SUM(E26:E32)</f>
        <v>4641.3999999999996</v>
      </c>
      <c r="G32" s="36" t="str">
        <f t="shared" si="2"/>
        <v>Farol Vermelho</v>
      </c>
      <c r="H32">
        <f t="shared" si="0"/>
        <v>12218.654166666669</v>
      </c>
      <c r="I32" s="6">
        <f t="shared" si="1"/>
        <v>7</v>
      </c>
      <c r="J32" s="77">
        <v>12</v>
      </c>
      <c r="K32" s="77">
        <v>0</v>
      </c>
      <c r="L32" s="6">
        <f>$L26+L31</f>
        <v>7</v>
      </c>
      <c r="M32" s="6">
        <f t="shared" si="9"/>
        <v>5</v>
      </c>
      <c r="N32" s="78">
        <v>100</v>
      </c>
      <c r="O32">
        <f t="shared" si="3"/>
        <v>0.5</v>
      </c>
      <c r="P32" s="78">
        <v>50</v>
      </c>
      <c r="Q32">
        <f t="shared" si="4"/>
        <v>0.3</v>
      </c>
      <c r="R32" s="75">
        <v>15</v>
      </c>
      <c r="S32" s="6">
        <f t="shared" si="5"/>
        <v>0.15</v>
      </c>
    </row>
    <row r="33" spans="1:19" x14ac:dyDescent="0.25">
      <c r="A33" s="37" t="s">
        <v>56</v>
      </c>
      <c r="B33" s="6" t="s">
        <v>165</v>
      </c>
      <c r="C33" s="67">
        <v>28902.95</v>
      </c>
      <c r="D33" s="6">
        <f>(C33/12)*8</f>
        <v>19268.633333333335</v>
      </c>
      <c r="E33" s="67">
        <v>0</v>
      </c>
      <c r="F33" s="6">
        <f>SUM(E26:E33)</f>
        <v>4641.3999999999996</v>
      </c>
      <c r="G33" s="36" t="str">
        <f t="shared" si="2"/>
        <v>Farol Vermelho</v>
      </c>
      <c r="H33">
        <f t="shared" si="0"/>
        <v>14627.233333333335</v>
      </c>
      <c r="I33" s="6">
        <f t="shared" si="1"/>
        <v>8</v>
      </c>
      <c r="J33" s="75">
        <v>12</v>
      </c>
      <c r="K33" s="75">
        <v>0</v>
      </c>
      <c r="L33" s="6">
        <f>L26+L32</f>
        <v>8</v>
      </c>
      <c r="M33" s="6">
        <f t="shared" si="9"/>
        <v>5</v>
      </c>
      <c r="N33" s="78">
        <v>100</v>
      </c>
      <c r="O33">
        <f t="shared" si="3"/>
        <v>0.5</v>
      </c>
      <c r="P33" s="78">
        <v>50</v>
      </c>
      <c r="Q33">
        <f t="shared" si="4"/>
        <v>0.3</v>
      </c>
      <c r="R33" s="75">
        <v>15</v>
      </c>
      <c r="S33" s="6">
        <f t="shared" si="5"/>
        <v>0.15</v>
      </c>
    </row>
    <row r="34" spans="1:19" x14ac:dyDescent="0.25">
      <c r="A34" s="37" t="s">
        <v>56</v>
      </c>
      <c r="B34" s="6" t="s">
        <v>166</v>
      </c>
      <c r="C34" s="67">
        <v>28902.95</v>
      </c>
      <c r="D34" s="6">
        <f>(C34/12)*9</f>
        <v>21677.212500000001</v>
      </c>
      <c r="E34" s="67">
        <v>0</v>
      </c>
      <c r="F34" s="6">
        <f>SUM(E26:E34)</f>
        <v>4641.3999999999996</v>
      </c>
      <c r="G34" s="36" t="str">
        <f t="shared" si="2"/>
        <v>Farol Vermelho</v>
      </c>
      <c r="H34">
        <f t="shared" si="0"/>
        <v>17035.8125</v>
      </c>
      <c r="I34" s="6">
        <f t="shared" si="1"/>
        <v>9</v>
      </c>
      <c r="J34" s="77">
        <v>12</v>
      </c>
      <c r="K34" s="77">
        <v>0</v>
      </c>
      <c r="L34" s="6">
        <f>$L26+L33</f>
        <v>9</v>
      </c>
      <c r="M34" s="6">
        <f t="shared" si="9"/>
        <v>5</v>
      </c>
      <c r="N34" s="78">
        <v>100</v>
      </c>
      <c r="O34">
        <f t="shared" si="3"/>
        <v>0.5</v>
      </c>
      <c r="P34" s="78">
        <v>50</v>
      </c>
      <c r="Q34">
        <f t="shared" si="4"/>
        <v>0.3</v>
      </c>
      <c r="R34" s="75">
        <v>15</v>
      </c>
      <c r="S34" s="6">
        <f t="shared" si="5"/>
        <v>0.15</v>
      </c>
    </row>
    <row r="35" spans="1:19" x14ac:dyDescent="0.25">
      <c r="A35" s="37" t="s">
        <v>56</v>
      </c>
      <c r="B35" s="6" t="s">
        <v>167</v>
      </c>
      <c r="C35" s="67">
        <v>28902.95</v>
      </c>
      <c r="D35" s="6">
        <f>(C35/12)*10</f>
        <v>24085.791666666668</v>
      </c>
      <c r="E35" s="67">
        <v>2764</v>
      </c>
      <c r="F35" s="6">
        <f>SUM(E26:E35)</f>
        <v>7405.4</v>
      </c>
      <c r="G35" s="36" t="str">
        <f t="shared" si="2"/>
        <v>Farol Vermelho</v>
      </c>
      <c r="H35">
        <f t="shared" si="0"/>
        <v>16680.39166666667</v>
      </c>
      <c r="I35" s="6">
        <f t="shared" si="1"/>
        <v>10</v>
      </c>
      <c r="J35" s="75">
        <v>12</v>
      </c>
      <c r="K35" s="75">
        <v>3</v>
      </c>
      <c r="L35" s="6">
        <f>$L26+L34</f>
        <v>10</v>
      </c>
      <c r="M35" s="6">
        <f t="shared" si="9"/>
        <v>8</v>
      </c>
      <c r="N35" s="78">
        <v>100</v>
      </c>
      <c r="O35">
        <f t="shared" si="3"/>
        <v>0.5</v>
      </c>
      <c r="P35" s="78">
        <v>50</v>
      </c>
      <c r="Q35">
        <f t="shared" si="4"/>
        <v>0.3</v>
      </c>
      <c r="R35" s="75">
        <v>15</v>
      </c>
      <c r="S35" s="6">
        <f t="shared" si="5"/>
        <v>0.15</v>
      </c>
    </row>
    <row r="36" spans="1:19" x14ac:dyDescent="0.25">
      <c r="A36" s="37" t="s">
        <v>56</v>
      </c>
      <c r="B36" s="6" t="s">
        <v>168</v>
      </c>
      <c r="C36" s="67">
        <v>28902.95</v>
      </c>
      <c r="D36" s="6">
        <f>(C36/12)*11</f>
        <v>26494.370833333334</v>
      </c>
      <c r="E36" s="67">
        <v>4679</v>
      </c>
      <c r="F36" s="6">
        <f>SUM(E26:E36)</f>
        <v>12084.4</v>
      </c>
      <c r="G36" s="36" t="str">
        <f t="shared" si="2"/>
        <v>Farol Vermelho</v>
      </c>
      <c r="H36">
        <f t="shared" si="0"/>
        <v>14409.970833333335</v>
      </c>
      <c r="I36" s="6">
        <f t="shared" si="1"/>
        <v>11</v>
      </c>
      <c r="J36" s="77">
        <v>12</v>
      </c>
      <c r="K36" s="77">
        <v>5</v>
      </c>
      <c r="L36" s="6">
        <f>L26+L35</f>
        <v>11</v>
      </c>
      <c r="M36" s="6">
        <f t="shared" si="9"/>
        <v>13</v>
      </c>
      <c r="N36" s="78">
        <v>100</v>
      </c>
      <c r="O36">
        <f t="shared" si="3"/>
        <v>0.5</v>
      </c>
      <c r="P36" s="78">
        <v>50</v>
      </c>
      <c r="Q36">
        <f t="shared" si="4"/>
        <v>0.3</v>
      </c>
      <c r="R36" s="75">
        <v>15</v>
      </c>
      <c r="S36" s="6">
        <f t="shared" si="5"/>
        <v>0.15</v>
      </c>
    </row>
    <row r="37" spans="1:19" x14ac:dyDescent="0.25">
      <c r="A37" s="37" t="s">
        <v>56</v>
      </c>
      <c r="B37" s="6" t="s">
        <v>169</v>
      </c>
      <c r="C37" s="67">
        <v>28902.95</v>
      </c>
      <c r="D37" s="6">
        <f>(C37/12)*12</f>
        <v>28902.950000000004</v>
      </c>
      <c r="E37" s="67">
        <v>17274.490000000002</v>
      </c>
      <c r="F37" s="6">
        <f>SUM(E26:E37)</f>
        <v>29358.89</v>
      </c>
      <c r="G37" s="36" t="str">
        <f t="shared" si="2"/>
        <v>Farol Verde</v>
      </c>
      <c r="H37">
        <f t="shared" si="0"/>
        <v>0</v>
      </c>
      <c r="I37" s="6">
        <f t="shared" si="1"/>
        <v>12</v>
      </c>
      <c r="J37" s="75">
        <v>12</v>
      </c>
      <c r="K37" s="75">
        <v>7</v>
      </c>
      <c r="L37" s="6">
        <f>$L26+L36</f>
        <v>12</v>
      </c>
      <c r="M37" s="6">
        <f t="shared" si="9"/>
        <v>20</v>
      </c>
      <c r="N37" s="78">
        <v>100</v>
      </c>
      <c r="O37">
        <f t="shared" si="3"/>
        <v>0.5</v>
      </c>
      <c r="P37" s="78">
        <v>50</v>
      </c>
      <c r="Q37">
        <f t="shared" si="4"/>
        <v>0.3</v>
      </c>
      <c r="R37" s="75">
        <v>15</v>
      </c>
      <c r="S37" s="6">
        <f t="shared" si="5"/>
        <v>0.15</v>
      </c>
    </row>
    <row r="38" spans="1:19" x14ac:dyDescent="0.25">
      <c r="A38" s="37" t="s">
        <v>149</v>
      </c>
      <c r="B38" s="6" t="s">
        <v>158</v>
      </c>
      <c r="C38" s="67">
        <v>125000</v>
      </c>
      <c r="D38" s="6">
        <f>(C38/12)*1</f>
        <v>10416.666666666666</v>
      </c>
      <c r="E38" s="67">
        <v>0</v>
      </c>
      <c r="F38" s="6">
        <f>E38</f>
        <v>0</v>
      </c>
      <c r="G38" s="36" t="str">
        <f t="shared" si="2"/>
        <v>Farol Vermelho</v>
      </c>
      <c r="H38">
        <f t="shared" si="0"/>
        <v>10416.666666666666</v>
      </c>
      <c r="I38" s="6">
        <f t="shared" si="1"/>
        <v>1</v>
      </c>
      <c r="J38" s="77">
        <v>30</v>
      </c>
      <c r="K38" s="77">
        <v>0</v>
      </c>
      <c r="L38" s="6">
        <f>J38/12</f>
        <v>2.5</v>
      </c>
      <c r="M38" s="6">
        <f>K38</f>
        <v>0</v>
      </c>
      <c r="N38" s="78">
        <v>100</v>
      </c>
      <c r="O38">
        <f t="shared" si="3"/>
        <v>0.5</v>
      </c>
      <c r="P38" s="78">
        <v>50</v>
      </c>
      <c r="Q38">
        <f t="shared" si="4"/>
        <v>0.3</v>
      </c>
      <c r="R38" s="75">
        <v>15</v>
      </c>
      <c r="S38" s="6">
        <f t="shared" si="5"/>
        <v>0.15</v>
      </c>
    </row>
    <row r="39" spans="1:19" x14ac:dyDescent="0.25">
      <c r="A39" s="37" t="s">
        <v>149</v>
      </c>
      <c r="B39" s="6" t="s">
        <v>159</v>
      </c>
      <c r="C39" s="67">
        <v>125000</v>
      </c>
      <c r="D39" s="6">
        <f>(C39/12)*2</f>
        <v>20833.333333333332</v>
      </c>
      <c r="E39" s="67">
        <v>1700</v>
      </c>
      <c r="F39" s="6">
        <f>SUM(E38:E39)</f>
        <v>1700</v>
      </c>
      <c r="G39" s="36" t="str">
        <f t="shared" si="2"/>
        <v>Farol Vermelho</v>
      </c>
      <c r="H39">
        <f t="shared" si="0"/>
        <v>19133.333333333332</v>
      </c>
      <c r="I39" s="6">
        <f t="shared" si="1"/>
        <v>2</v>
      </c>
      <c r="J39" s="75">
        <v>30</v>
      </c>
      <c r="K39" s="75">
        <v>2</v>
      </c>
      <c r="L39" s="6">
        <f>L38+L38</f>
        <v>5</v>
      </c>
      <c r="M39" s="6">
        <f>M38+K39</f>
        <v>2</v>
      </c>
      <c r="N39" s="78">
        <v>100</v>
      </c>
      <c r="O39">
        <f t="shared" si="3"/>
        <v>0.5</v>
      </c>
      <c r="P39" s="78">
        <v>50</v>
      </c>
      <c r="Q39">
        <f t="shared" si="4"/>
        <v>0.3</v>
      </c>
      <c r="R39" s="75">
        <v>15</v>
      </c>
      <c r="S39" s="6">
        <f t="shared" si="5"/>
        <v>0.15</v>
      </c>
    </row>
    <row r="40" spans="1:19" x14ac:dyDescent="0.25">
      <c r="A40" s="37" t="s">
        <v>149</v>
      </c>
      <c r="B40" s="6" t="s">
        <v>160</v>
      </c>
      <c r="C40" s="67">
        <v>125000</v>
      </c>
      <c r="D40" s="6">
        <f>(C40/12)*3</f>
        <v>31250</v>
      </c>
      <c r="E40" s="67">
        <v>4846</v>
      </c>
      <c r="F40" s="6">
        <f>SUM(E38:E40)</f>
        <v>6546</v>
      </c>
      <c r="G40" s="36" t="str">
        <f t="shared" si="2"/>
        <v>Farol Vermelho</v>
      </c>
      <c r="H40">
        <f t="shared" si="0"/>
        <v>24704</v>
      </c>
      <c r="I40" s="6">
        <f t="shared" si="1"/>
        <v>3</v>
      </c>
      <c r="J40" s="77">
        <v>30</v>
      </c>
      <c r="K40" s="77">
        <v>2</v>
      </c>
      <c r="L40" s="6">
        <f>$L38+L39</f>
        <v>7.5</v>
      </c>
      <c r="M40" s="6">
        <f t="shared" ref="M40:M49" si="10">M39+K40</f>
        <v>4</v>
      </c>
      <c r="N40" s="78">
        <v>100</v>
      </c>
      <c r="O40">
        <f t="shared" si="3"/>
        <v>0.5</v>
      </c>
      <c r="P40" s="78">
        <v>50</v>
      </c>
      <c r="Q40">
        <f t="shared" si="4"/>
        <v>0.3</v>
      </c>
      <c r="R40" s="75">
        <v>15</v>
      </c>
      <c r="S40" s="6">
        <f t="shared" si="5"/>
        <v>0.15</v>
      </c>
    </row>
    <row r="41" spans="1:19" x14ac:dyDescent="0.25">
      <c r="A41" s="37" t="s">
        <v>149</v>
      </c>
      <c r="B41" s="6" t="s">
        <v>161</v>
      </c>
      <c r="C41" s="67">
        <v>125000</v>
      </c>
      <c r="D41" s="6">
        <f>(C41/12)*4</f>
        <v>41666.666666666664</v>
      </c>
      <c r="E41" s="67">
        <v>900</v>
      </c>
      <c r="F41" s="6">
        <f>SUM(E38:E41)</f>
        <v>7446</v>
      </c>
      <c r="G41" s="36" t="str">
        <f t="shared" si="2"/>
        <v>Farol Vermelho</v>
      </c>
      <c r="H41">
        <f t="shared" si="0"/>
        <v>34220.666666666664</v>
      </c>
      <c r="I41" s="6">
        <f t="shared" si="1"/>
        <v>4</v>
      </c>
      <c r="J41" s="75">
        <v>30</v>
      </c>
      <c r="K41" s="75">
        <v>1</v>
      </c>
      <c r="L41" s="6">
        <f>$L38+L40</f>
        <v>10</v>
      </c>
      <c r="M41" s="6">
        <f t="shared" si="10"/>
        <v>5</v>
      </c>
      <c r="N41" s="78">
        <v>100</v>
      </c>
      <c r="O41">
        <f t="shared" si="3"/>
        <v>0.5</v>
      </c>
      <c r="P41" s="78">
        <v>50</v>
      </c>
      <c r="Q41">
        <f t="shared" si="4"/>
        <v>0.3</v>
      </c>
      <c r="R41" s="75">
        <v>15</v>
      </c>
      <c r="S41" s="6">
        <f t="shared" si="5"/>
        <v>0.15</v>
      </c>
    </row>
    <row r="42" spans="1:19" x14ac:dyDescent="0.25">
      <c r="A42" s="37" t="s">
        <v>149</v>
      </c>
      <c r="B42" s="6" t="s">
        <v>162</v>
      </c>
      <c r="C42" s="67">
        <v>125000</v>
      </c>
      <c r="D42" s="6">
        <f>(C42/12)*5</f>
        <v>52083.333333333328</v>
      </c>
      <c r="E42" s="67">
        <v>7610</v>
      </c>
      <c r="F42" s="6">
        <f>SUM(E38:E42)</f>
        <v>15056</v>
      </c>
      <c r="G42" s="36" t="str">
        <f t="shared" si="2"/>
        <v>Farol Vermelho</v>
      </c>
      <c r="H42">
        <f t="shared" si="0"/>
        <v>37027.333333333328</v>
      </c>
      <c r="I42" s="6">
        <f t="shared" si="1"/>
        <v>5</v>
      </c>
      <c r="J42" s="77">
        <v>30</v>
      </c>
      <c r="K42" s="77">
        <v>2</v>
      </c>
      <c r="L42" s="6">
        <f>L38+L41</f>
        <v>12.5</v>
      </c>
      <c r="M42" s="6">
        <f t="shared" si="10"/>
        <v>7</v>
      </c>
      <c r="N42" s="78">
        <v>100</v>
      </c>
      <c r="O42">
        <f t="shared" si="3"/>
        <v>0.5</v>
      </c>
      <c r="P42" s="78">
        <v>50</v>
      </c>
      <c r="Q42">
        <f t="shared" si="4"/>
        <v>0.3</v>
      </c>
      <c r="R42" s="75">
        <v>15</v>
      </c>
      <c r="S42" s="6">
        <f t="shared" si="5"/>
        <v>0.15</v>
      </c>
    </row>
    <row r="43" spans="1:19" x14ac:dyDescent="0.25">
      <c r="A43" s="37" t="s">
        <v>149</v>
      </c>
      <c r="B43" s="6" t="s">
        <v>163</v>
      </c>
      <c r="C43" s="67">
        <v>125000</v>
      </c>
      <c r="D43" s="6">
        <f>(C43/12)*6</f>
        <v>62500</v>
      </c>
      <c r="E43" s="67">
        <v>0</v>
      </c>
      <c r="F43" s="6">
        <f>SUM(E38:E43)</f>
        <v>15056</v>
      </c>
      <c r="G43" s="36" t="str">
        <f t="shared" si="2"/>
        <v>Farol Vermelho</v>
      </c>
      <c r="H43">
        <f t="shared" si="0"/>
        <v>47444</v>
      </c>
      <c r="I43" s="6">
        <f t="shared" si="1"/>
        <v>6</v>
      </c>
      <c r="J43" s="75">
        <v>30</v>
      </c>
      <c r="K43" s="75">
        <v>0</v>
      </c>
      <c r="L43" s="6">
        <f>$L38+L42</f>
        <v>15</v>
      </c>
      <c r="M43" s="6">
        <f t="shared" si="10"/>
        <v>7</v>
      </c>
      <c r="N43" s="78">
        <v>100</v>
      </c>
      <c r="O43">
        <f t="shared" si="3"/>
        <v>0.5</v>
      </c>
      <c r="P43" s="78">
        <v>50</v>
      </c>
      <c r="Q43">
        <f t="shared" si="4"/>
        <v>0.3</v>
      </c>
      <c r="R43" s="75">
        <v>15</v>
      </c>
      <c r="S43" s="6">
        <f t="shared" si="5"/>
        <v>0.15</v>
      </c>
    </row>
    <row r="44" spans="1:19" x14ac:dyDescent="0.25">
      <c r="A44" s="37" t="s">
        <v>149</v>
      </c>
      <c r="B44" s="6" t="s">
        <v>164</v>
      </c>
      <c r="C44" s="67">
        <v>125000</v>
      </c>
      <c r="D44" s="6">
        <f>(C44/12)*7</f>
        <v>72916.666666666657</v>
      </c>
      <c r="E44" s="67">
        <v>5750</v>
      </c>
      <c r="F44" s="6">
        <f>SUM(E38:E44)</f>
        <v>20806</v>
      </c>
      <c r="G44" s="36" t="str">
        <f t="shared" si="2"/>
        <v>Farol Vermelho</v>
      </c>
      <c r="H44">
        <f t="shared" si="0"/>
        <v>52110.666666666657</v>
      </c>
      <c r="I44" s="6">
        <f t="shared" si="1"/>
        <v>7</v>
      </c>
      <c r="J44" s="77">
        <v>30</v>
      </c>
      <c r="K44" s="77">
        <v>3</v>
      </c>
      <c r="L44" s="6">
        <f>$L38+L43</f>
        <v>17.5</v>
      </c>
      <c r="M44" s="6">
        <f t="shared" si="10"/>
        <v>10</v>
      </c>
      <c r="N44" s="78">
        <v>100</v>
      </c>
      <c r="O44">
        <f t="shared" si="3"/>
        <v>0.5</v>
      </c>
      <c r="P44" s="78">
        <v>50</v>
      </c>
      <c r="Q44">
        <f t="shared" si="4"/>
        <v>0.3</v>
      </c>
      <c r="R44" s="75">
        <v>15</v>
      </c>
      <c r="S44" s="6">
        <f t="shared" si="5"/>
        <v>0.15</v>
      </c>
    </row>
    <row r="45" spans="1:19" x14ac:dyDescent="0.25">
      <c r="A45" s="37" t="s">
        <v>149</v>
      </c>
      <c r="B45" s="6" t="s">
        <v>165</v>
      </c>
      <c r="C45" s="67">
        <v>125000</v>
      </c>
      <c r="D45" s="6">
        <f>(C45/12)*8</f>
        <v>83333.333333333328</v>
      </c>
      <c r="E45" s="67">
        <v>9190</v>
      </c>
      <c r="F45" s="6">
        <f>SUM(E38:E45)</f>
        <v>29996</v>
      </c>
      <c r="G45" s="36" t="str">
        <f t="shared" si="2"/>
        <v>Farol Vermelho</v>
      </c>
      <c r="H45">
        <f t="shared" si="0"/>
        <v>53337.333333333328</v>
      </c>
      <c r="I45" s="6">
        <f t="shared" si="1"/>
        <v>8</v>
      </c>
      <c r="J45" s="75">
        <v>30</v>
      </c>
      <c r="K45" s="75">
        <v>4</v>
      </c>
      <c r="L45" s="6">
        <f>L38+L44</f>
        <v>20</v>
      </c>
      <c r="M45" s="6">
        <f t="shared" si="10"/>
        <v>14</v>
      </c>
      <c r="N45" s="78">
        <v>100</v>
      </c>
      <c r="O45">
        <f t="shared" si="3"/>
        <v>0.5</v>
      </c>
      <c r="P45" s="78">
        <v>50</v>
      </c>
      <c r="Q45">
        <f t="shared" si="4"/>
        <v>0.3</v>
      </c>
      <c r="R45" s="75">
        <v>15</v>
      </c>
      <c r="S45" s="6">
        <f t="shared" si="5"/>
        <v>0.15</v>
      </c>
    </row>
    <row r="46" spans="1:19" x14ac:dyDescent="0.25">
      <c r="A46" s="37" t="s">
        <v>149</v>
      </c>
      <c r="B46" s="6" t="s">
        <v>166</v>
      </c>
      <c r="C46" s="67">
        <v>125000</v>
      </c>
      <c r="D46" s="6">
        <f>(C46/12)*9</f>
        <v>93750</v>
      </c>
      <c r="E46" s="67">
        <v>15310</v>
      </c>
      <c r="F46" s="6">
        <f>SUM(E38:E46)</f>
        <v>45306</v>
      </c>
      <c r="G46" s="36" t="str">
        <f t="shared" si="2"/>
        <v>Farol Vermelho</v>
      </c>
      <c r="H46">
        <f t="shared" si="0"/>
        <v>48444</v>
      </c>
      <c r="I46" s="6">
        <f t="shared" si="1"/>
        <v>9</v>
      </c>
      <c r="J46" s="77">
        <v>30</v>
      </c>
      <c r="K46" s="77">
        <v>6</v>
      </c>
      <c r="L46" s="6">
        <f>$L38+L45</f>
        <v>22.5</v>
      </c>
      <c r="M46" s="6">
        <f t="shared" si="10"/>
        <v>20</v>
      </c>
      <c r="N46" s="78">
        <v>100</v>
      </c>
      <c r="O46">
        <f t="shared" si="3"/>
        <v>0.5</v>
      </c>
      <c r="P46" s="78">
        <v>50</v>
      </c>
      <c r="Q46">
        <f t="shared" si="4"/>
        <v>0.3</v>
      </c>
      <c r="R46" s="75">
        <v>15</v>
      </c>
      <c r="S46" s="6">
        <f t="shared" si="5"/>
        <v>0.15</v>
      </c>
    </row>
    <row r="47" spans="1:19" x14ac:dyDescent="0.25">
      <c r="A47" s="37" t="s">
        <v>149</v>
      </c>
      <c r="B47" s="6" t="s">
        <v>167</v>
      </c>
      <c r="C47" s="67">
        <v>125000</v>
      </c>
      <c r="D47" s="6">
        <f>(C47/12)*10</f>
        <v>104166.66666666666</v>
      </c>
      <c r="E47" s="67">
        <v>9790</v>
      </c>
      <c r="F47" s="6">
        <f>SUM(E38:E47)</f>
        <v>55096</v>
      </c>
      <c r="G47" s="36" t="str">
        <f t="shared" si="2"/>
        <v>Farol Vermelho</v>
      </c>
      <c r="H47">
        <f t="shared" si="0"/>
        <v>49070.666666666657</v>
      </c>
      <c r="I47" s="6">
        <f t="shared" si="1"/>
        <v>10</v>
      </c>
      <c r="J47" s="75">
        <v>30</v>
      </c>
      <c r="K47" s="75">
        <v>3</v>
      </c>
      <c r="L47" s="6">
        <f>$L38+L46</f>
        <v>25</v>
      </c>
      <c r="M47" s="6">
        <f t="shared" si="10"/>
        <v>23</v>
      </c>
      <c r="N47" s="78">
        <v>100</v>
      </c>
      <c r="O47">
        <f t="shared" si="3"/>
        <v>0.5</v>
      </c>
      <c r="P47" s="78">
        <v>50</v>
      </c>
      <c r="Q47">
        <f t="shared" si="4"/>
        <v>0.3</v>
      </c>
      <c r="R47" s="75">
        <v>15</v>
      </c>
      <c r="S47" s="6">
        <f t="shared" si="5"/>
        <v>0.15</v>
      </c>
    </row>
    <row r="48" spans="1:19" x14ac:dyDescent="0.25">
      <c r="A48" s="37" t="s">
        <v>149</v>
      </c>
      <c r="B48" s="6" t="s">
        <v>168</v>
      </c>
      <c r="C48" s="67">
        <v>125000</v>
      </c>
      <c r="D48" s="6">
        <f>(C48/12)*11</f>
        <v>114583.33333333333</v>
      </c>
      <c r="E48" s="67">
        <v>11800</v>
      </c>
      <c r="F48" s="6">
        <f>SUM(E38:E48)</f>
        <v>66896</v>
      </c>
      <c r="G48" s="36" t="str">
        <f t="shared" si="2"/>
        <v>Farol Vermelho</v>
      </c>
      <c r="H48">
        <f t="shared" si="0"/>
        <v>47687.333333333328</v>
      </c>
      <c r="I48" s="6">
        <f t="shared" si="1"/>
        <v>11</v>
      </c>
      <c r="J48" s="77">
        <v>30</v>
      </c>
      <c r="K48" s="77">
        <v>5</v>
      </c>
      <c r="L48" s="6">
        <f>L38+L47</f>
        <v>27.5</v>
      </c>
      <c r="M48" s="6">
        <f t="shared" si="10"/>
        <v>28</v>
      </c>
      <c r="N48" s="78">
        <v>100</v>
      </c>
      <c r="O48">
        <f t="shared" si="3"/>
        <v>0.5</v>
      </c>
      <c r="P48" s="78">
        <v>50</v>
      </c>
      <c r="Q48">
        <f t="shared" si="4"/>
        <v>0.3</v>
      </c>
      <c r="R48" s="75">
        <v>15</v>
      </c>
      <c r="S48" s="6">
        <f t="shared" si="5"/>
        <v>0.15</v>
      </c>
    </row>
    <row r="49" spans="1:19" x14ac:dyDescent="0.25">
      <c r="A49" s="37" t="s">
        <v>149</v>
      </c>
      <c r="B49" s="6" t="s">
        <v>169</v>
      </c>
      <c r="C49" s="67">
        <v>125000</v>
      </c>
      <c r="D49" s="6">
        <f>(C49/12)*12</f>
        <v>125000</v>
      </c>
      <c r="E49" s="67">
        <v>0</v>
      </c>
      <c r="F49" s="6">
        <f>SUM(E38:E49)</f>
        <v>66896</v>
      </c>
      <c r="G49" s="36" t="str">
        <f t="shared" si="2"/>
        <v>Farol Vermelho</v>
      </c>
      <c r="H49">
        <f t="shared" si="0"/>
        <v>58104</v>
      </c>
      <c r="I49" s="6">
        <f t="shared" si="1"/>
        <v>12</v>
      </c>
      <c r="J49" s="75">
        <v>30</v>
      </c>
      <c r="K49" s="75">
        <v>0</v>
      </c>
      <c r="L49" s="6">
        <f>$L38+L48</f>
        <v>30</v>
      </c>
      <c r="M49" s="6">
        <f t="shared" si="10"/>
        <v>28</v>
      </c>
      <c r="N49" s="78">
        <v>100</v>
      </c>
      <c r="O49">
        <f t="shared" si="3"/>
        <v>0.5</v>
      </c>
      <c r="P49" s="78">
        <v>50</v>
      </c>
      <c r="Q49">
        <f t="shared" si="4"/>
        <v>0.3</v>
      </c>
      <c r="R49" s="75">
        <v>15</v>
      </c>
      <c r="S49" s="6">
        <f t="shared" si="5"/>
        <v>0.15</v>
      </c>
    </row>
    <row r="50" spans="1:19" x14ac:dyDescent="0.25">
      <c r="A50" s="37" t="s">
        <v>66</v>
      </c>
      <c r="B50" s="6" t="s">
        <v>158</v>
      </c>
      <c r="C50" s="67">
        <v>0</v>
      </c>
      <c r="D50" s="6">
        <f>(C50/12)*1</f>
        <v>0</v>
      </c>
      <c r="E50" s="67">
        <v>0</v>
      </c>
      <c r="F50" s="6">
        <f>E50</f>
        <v>0</v>
      </c>
      <c r="G50" s="36" t="str">
        <f t="shared" si="2"/>
        <v>Farol Amarelo</v>
      </c>
      <c r="H50">
        <f t="shared" si="0"/>
        <v>0</v>
      </c>
      <c r="I50" s="6">
        <f t="shared" si="1"/>
        <v>1</v>
      </c>
      <c r="J50" s="77">
        <v>0</v>
      </c>
      <c r="K50" s="77">
        <v>0</v>
      </c>
      <c r="L50" s="6">
        <f>J50/12</f>
        <v>0</v>
      </c>
      <c r="M50" s="6">
        <f>K50</f>
        <v>0</v>
      </c>
      <c r="N50" s="78">
        <v>100</v>
      </c>
      <c r="O50">
        <f t="shared" si="3"/>
        <v>0.5</v>
      </c>
      <c r="P50" s="78">
        <v>50</v>
      </c>
      <c r="Q50">
        <f t="shared" si="4"/>
        <v>0.3</v>
      </c>
      <c r="R50" s="75">
        <v>15</v>
      </c>
      <c r="S50" s="6">
        <f t="shared" si="5"/>
        <v>0.15</v>
      </c>
    </row>
    <row r="51" spans="1:19" x14ac:dyDescent="0.25">
      <c r="A51" s="37" t="s">
        <v>66</v>
      </c>
      <c r="B51" s="6" t="s">
        <v>159</v>
      </c>
      <c r="C51" s="67">
        <v>0</v>
      </c>
      <c r="D51" s="6">
        <f>(C51/12)*2</f>
        <v>0</v>
      </c>
      <c r="E51" s="67">
        <v>0</v>
      </c>
      <c r="F51" s="6">
        <f>SUM(E50:E51)</f>
        <v>0</v>
      </c>
      <c r="G51" s="36" t="str">
        <f t="shared" si="2"/>
        <v>Farol Amarelo</v>
      </c>
      <c r="H51">
        <f t="shared" si="0"/>
        <v>0</v>
      </c>
      <c r="I51" s="6">
        <f t="shared" si="1"/>
        <v>2</v>
      </c>
      <c r="J51" s="75">
        <v>0</v>
      </c>
      <c r="K51" s="75">
        <v>0</v>
      </c>
      <c r="L51" s="6">
        <f>L50+L50</f>
        <v>0</v>
      </c>
      <c r="M51" s="6">
        <f>M50+K51</f>
        <v>0</v>
      </c>
      <c r="N51" s="78">
        <v>100</v>
      </c>
      <c r="O51">
        <f t="shared" si="3"/>
        <v>0.5</v>
      </c>
      <c r="P51" s="78">
        <v>50</v>
      </c>
      <c r="Q51">
        <f t="shared" si="4"/>
        <v>0.3</v>
      </c>
      <c r="R51" s="75">
        <v>15</v>
      </c>
      <c r="S51" s="6">
        <f t="shared" si="5"/>
        <v>0.15</v>
      </c>
    </row>
    <row r="52" spans="1:19" x14ac:dyDescent="0.25">
      <c r="A52" s="37" t="s">
        <v>66</v>
      </c>
      <c r="B52" s="6" t="s">
        <v>160</v>
      </c>
      <c r="C52" s="67">
        <v>0</v>
      </c>
      <c r="D52" s="6">
        <f>(C52/12)*3</f>
        <v>0</v>
      </c>
      <c r="E52" s="67">
        <v>0</v>
      </c>
      <c r="F52" s="6">
        <f>SUM(E50:E52)</f>
        <v>0</v>
      </c>
      <c r="G52" s="36" t="str">
        <f t="shared" si="2"/>
        <v>Farol Amarelo</v>
      </c>
      <c r="H52">
        <f t="shared" si="0"/>
        <v>0</v>
      </c>
      <c r="I52" s="6">
        <f t="shared" si="1"/>
        <v>3</v>
      </c>
      <c r="J52" s="77">
        <v>0</v>
      </c>
      <c r="K52" s="77">
        <v>0</v>
      </c>
      <c r="L52" s="6">
        <f>$L50+L51</f>
        <v>0</v>
      </c>
      <c r="M52" s="6">
        <f t="shared" ref="M52:M61" si="11">M51+K52</f>
        <v>0</v>
      </c>
      <c r="N52" s="78">
        <v>100</v>
      </c>
      <c r="O52">
        <f t="shared" si="3"/>
        <v>0.5</v>
      </c>
      <c r="P52" s="78">
        <v>50</v>
      </c>
      <c r="Q52">
        <f t="shared" si="4"/>
        <v>0.3</v>
      </c>
      <c r="R52" s="75">
        <v>15</v>
      </c>
      <c r="S52" s="6">
        <f t="shared" si="5"/>
        <v>0.15</v>
      </c>
    </row>
    <row r="53" spans="1:19" x14ac:dyDescent="0.25">
      <c r="A53" s="37" t="s">
        <v>66</v>
      </c>
      <c r="B53" s="6" t="s">
        <v>161</v>
      </c>
      <c r="C53" s="67">
        <v>0</v>
      </c>
      <c r="D53" s="6">
        <f>(C53/12)*4</f>
        <v>0</v>
      </c>
      <c r="E53" s="67">
        <v>0</v>
      </c>
      <c r="F53" s="6">
        <f>SUM(E50:E53)</f>
        <v>0</v>
      </c>
      <c r="G53" s="36" t="str">
        <f t="shared" si="2"/>
        <v>Farol Amarelo</v>
      </c>
      <c r="H53">
        <f t="shared" si="0"/>
        <v>0</v>
      </c>
      <c r="I53" s="6">
        <f t="shared" si="1"/>
        <v>4</v>
      </c>
      <c r="J53" s="75">
        <v>0</v>
      </c>
      <c r="K53" s="75">
        <v>0</v>
      </c>
      <c r="L53" s="6">
        <f>$L50+L52</f>
        <v>0</v>
      </c>
      <c r="M53" s="6">
        <f t="shared" si="11"/>
        <v>0</v>
      </c>
      <c r="N53" s="78">
        <v>100</v>
      </c>
      <c r="O53">
        <f t="shared" si="3"/>
        <v>0.5</v>
      </c>
      <c r="P53" s="78">
        <v>50</v>
      </c>
      <c r="Q53">
        <f t="shared" si="4"/>
        <v>0.3</v>
      </c>
      <c r="R53" s="75">
        <v>15</v>
      </c>
      <c r="S53" s="6">
        <f t="shared" si="5"/>
        <v>0.15</v>
      </c>
    </row>
    <row r="54" spans="1:19" x14ac:dyDescent="0.25">
      <c r="A54" s="37" t="s">
        <v>66</v>
      </c>
      <c r="B54" s="6" t="s">
        <v>162</v>
      </c>
      <c r="C54" s="67">
        <v>0</v>
      </c>
      <c r="D54" s="6">
        <f>(C54/12)*5</f>
        <v>0</v>
      </c>
      <c r="E54" s="67">
        <v>300</v>
      </c>
      <c r="F54" s="6">
        <f>SUM(E50:E54)</f>
        <v>300</v>
      </c>
      <c r="G54" s="36" t="str">
        <f t="shared" si="2"/>
        <v>Farol Verde</v>
      </c>
      <c r="H54">
        <f t="shared" si="0"/>
        <v>0</v>
      </c>
      <c r="I54" s="6">
        <f t="shared" si="1"/>
        <v>5</v>
      </c>
      <c r="J54" s="77">
        <v>0</v>
      </c>
      <c r="K54" s="77">
        <v>1</v>
      </c>
      <c r="L54" s="6">
        <f>L50+L53</f>
        <v>0</v>
      </c>
      <c r="M54" s="6">
        <f t="shared" si="11"/>
        <v>1</v>
      </c>
      <c r="N54" s="78">
        <v>100</v>
      </c>
      <c r="O54">
        <f t="shared" si="3"/>
        <v>0.5</v>
      </c>
      <c r="P54" s="78">
        <v>50</v>
      </c>
      <c r="Q54">
        <f t="shared" si="4"/>
        <v>0.3</v>
      </c>
      <c r="R54" s="75">
        <v>15</v>
      </c>
      <c r="S54" s="6">
        <f t="shared" si="5"/>
        <v>0.15</v>
      </c>
    </row>
    <row r="55" spans="1:19" x14ac:dyDescent="0.25">
      <c r="A55" s="37" t="s">
        <v>66</v>
      </c>
      <c r="B55" s="6" t="s">
        <v>163</v>
      </c>
      <c r="C55" s="67">
        <v>0</v>
      </c>
      <c r="D55" s="6">
        <f>(C55/12)*6</f>
        <v>0</v>
      </c>
      <c r="E55" s="67">
        <v>0</v>
      </c>
      <c r="F55" s="6">
        <f>SUM(E50:E55)</f>
        <v>300</v>
      </c>
      <c r="G55" s="36" t="str">
        <f t="shared" si="2"/>
        <v>Farol Verde</v>
      </c>
      <c r="H55">
        <f t="shared" si="0"/>
        <v>0</v>
      </c>
      <c r="I55" s="6">
        <f t="shared" si="1"/>
        <v>6</v>
      </c>
      <c r="J55" s="75">
        <v>0</v>
      </c>
      <c r="K55" s="75">
        <v>0</v>
      </c>
      <c r="L55" s="6">
        <f>$L50+L54</f>
        <v>0</v>
      </c>
      <c r="M55" s="6">
        <f t="shared" si="11"/>
        <v>1</v>
      </c>
      <c r="N55" s="78">
        <v>100</v>
      </c>
      <c r="O55">
        <f t="shared" si="3"/>
        <v>0.5</v>
      </c>
      <c r="P55" s="78">
        <v>50</v>
      </c>
      <c r="Q55">
        <f t="shared" si="4"/>
        <v>0.3</v>
      </c>
      <c r="R55" s="75">
        <v>15</v>
      </c>
      <c r="S55" s="6">
        <f t="shared" si="5"/>
        <v>0.15</v>
      </c>
    </row>
    <row r="56" spans="1:19" x14ac:dyDescent="0.25">
      <c r="A56" s="37" t="s">
        <v>66</v>
      </c>
      <c r="B56" s="6" t="s">
        <v>164</v>
      </c>
      <c r="C56" s="67">
        <v>0</v>
      </c>
      <c r="D56" s="6">
        <f>(C56/12)*7</f>
        <v>0</v>
      </c>
      <c r="E56" s="67">
        <v>3900</v>
      </c>
      <c r="F56" s="6">
        <f>SUM(E50:E56)</f>
        <v>4200</v>
      </c>
      <c r="G56" s="36" t="str">
        <f t="shared" si="2"/>
        <v>Farol Verde</v>
      </c>
      <c r="H56">
        <f t="shared" si="0"/>
        <v>0</v>
      </c>
      <c r="I56" s="6">
        <f t="shared" si="1"/>
        <v>7</v>
      </c>
      <c r="J56" s="77">
        <v>0</v>
      </c>
      <c r="K56" s="77">
        <v>2</v>
      </c>
      <c r="L56" s="6">
        <f>$L50+L55</f>
        <v>0</v>
      </c>
      <c r="M56" s="6">
        <f t="shared" si="11"/>
        <v>3</v>
      </c>
      <c r="N56" s="78">
        <v>100</v>
      </c>
      <c r="O56">
        <f t="shared" si="3"/>
        <v>0.5</v>
      </c>
      <c r="P56" s="78">
        <v>50</v>
      </c>
      <c r="Q56">
        <f t="shared" si="4"/>
        <v>0.3</v>
      </c>
      <c r="R56" s="75">
        <v>15</v>
      </c>
      <c r="S56" s="6">
        <f t="shared" si="5"/>
        <v>0.15</v>
      </c>
    </row>
    <row r="57" spans="1:19" x14ac:dyDescent="0.25">
      <c r="A57" s="37" t="s">
        <v>66</v>
      </c>
      <c r="B57" s="6" t="s">
        <v>165</v>
      </c>
      <c r="C57" s="67">
        <v>0</v>
      </c>
      <c r="D57" s="6">
        <f>(C57/12)*8</f>
        <v>0</v>
      </c>
      <c r="E57" s="67">
        <v>700</v>
      </c>
      <c r="F57" s="6">
        <f>SUM(E50:E57)</f>
        <v>4900</v>
      </c>
      <c r="G57" s="36" t="str">
        <f t="shared" si="2"/>
        <v>Farol Verde</v>
      </c>
      <c r="H57">
        <f t="shared" si="0"/>
        <v>0</v>
      </c>
      <c r="I57" s="6">
        <f t="shared" si="1"/>
        <v>8</v>
      </c>
      <c r="J57" s="75">
        <v>0</v>
      </c>
      <c r="K57" s="75">
        <v>1</v>
      </c>
      <c r="L57" s="6">
        <f>L50+L56</f>
        <v>0</v>
      </c>
      <c r="M57" s="6">
        <f t="shared" si="11"/>
        <v>4</v>
      </c>
      <c r="N57" s="78">
        <v>100</v>
      </c>
      <c r="O57">
        <f t="shared" si="3"/>
        <v>0.5</v>
      </c>
      <c r="P57" s="78">
        <v>50</v>
      </c>
      <c r="Q57">
        <f t="shared" si="4"/>
        <v>0.3</v>
      </c>
      <c r="R57" s="75">
        <v>15</v>
      </c>
      <c r="S57" s="6">
        <f t="shared" si="5"/>
        <v>0.15</v>
      </c>
    </row>
    <row r="58" spans="1:19" x14ac:dyDescent="0.25">
      <c r="A58" s="37" t="s">
        <v>66</v>
      </c>
      <c r="B58" s="6" t="s">
        <v>166</v>
      </c>
      <c r="C58" s="67">
        <v>0</v>
      </c>
      <c r="D58" s="6">
        <f>(C58/12)*9</f>
        <v>0</v>
      </c>
      <c r="E58" s="67">
        <v>0</v>
      </c>
      <c r="F58" s="6">
        <f>SUM(E50:E58)</f>
        <v>4900</v>
      </c>
      <c r="G58" s="36" t="str">
        <f t="shared" si="2"/>
        <v>Farol Verde</v>
      </c>
      <c r="H58">
        <f t="shared" si="0"/>
        <v>0</v>
      </c>
      <c r="I58" s="6">
        <f t="shared" si="1"/>
        <v>9</v>
      </c>
      <c r="J58" s="77">
        <v>0</v>
      </c>
      <c r="K58" s="77">
        <v>0</v>
      </c>
      <c r="L58" s="6">
        <f>$L50+L57</f>
        <v>0</v>
      </c>
      <c r="M58" s="6">
        <f t="shared" si="11"/>
        <v>4</v>
      </c>
      <c r="N58" s="78">
        <v>100</v>
      </c>
      <c r="O58">
        <f t="shared" si="3"/>
        <v>0.5</v>
      </c>
      <c r="P58" s="78">
        <v>50</v>
      </c>
      <c r="Q58">
        <f t="shared" si="4"/>
        <v>0.3</v>
      </c>
      <c r="R58" s="75">
        <v>15</v>
      </c>
      <c r="S58" s="6">
        <f t="shared" si="5"/>
        <v>0.15</v>
      </c>
    </row>
    <row r="59" spans="1:19" x14ac:dyDescent="0.25">
      <c r="A59" s="37" t="s">
        <v>66</v>
      </c>
      <c r="B59" s="6" t="s">
        <v>167</v>
      </c>
      <c r="C59" s="67">
        <v>0</v>
      </c>
      <c r="D59" s="6">
        <f>(C59/12)*10</f>
        <v>0</v>
      </c>
      <c r="E59" s="67">
        <v>0</v>
      </c>
      <c r="F59" s="6">
        <f>SUM(E50:E59)</f>
        <v>4900</v>
      </c>
      <c r="G59" s="36" t="str">
        <f t="shared" si="2"/>
        <v>Farol Verde</v>
      </c>
      <c r="H59">
        <f t="shared" si="0"/>
        <v>0</v>
      </c>
      <c r="I59" s="6">
        <f t="shared" si="1"/>
        <v>10</v>
      </c>
      <c r="J59" s="75">
        <v>0</v>
      </c>
      <c r="K59" s="75">
        <v>0</v>
      </c>
      <c r="L59" s="6">
        <f>$L50+L58</f>
        <v>0</v>
      </c>
      <c r="M59" s="6">
        <f t="shared" si="11"/>
        <v>4</v>
      </c>
      <c r="N59" s="78">
        <v>100</v>
      </c>
      <c r="O59">
        <f t="shared" si="3"/>
        <v>0.5</v>
      </c>
      <c r="P59" s="78">
        <v>50</v>
      </c>
      <c r="Q59">
        <f t="shared" si="4"/>
        <v>0.3</v>
      </c>
      <c r="R59" s="75">
        <v>15</v>
      </c>
      <c r="S59" s="6">
        <f t="shared" si="5"/>
        <v>0.15</v>
      </c>
    </row>
    <row r="60" spans="1:19" x14ac:dyDescent="0.25">
      <c r="A60" s="37" t="s">
        <v>66</v>
      </c>
      <c r="B60" s="6" t="s">
        <v>168</v>
      </c>
      <c r="C60" s="67">
        <v>0</v>
      </c>
      <c r="D60" s="6">
        <f>(C60/12)*11</f>
        <v>0</v>
      </c>
      <c r="E60" s="67">
        <v>0</v>
      </c>
      <c r="F60" s="6">
        <f>SUM(E50:E60)</f>
        <v>4900</v>
      </c>
      <c r="G60" s="36" t="str">
        <f t="shared" si="2"/>
        <v>Farol Verde</v>
      </c>
      <c r="H60">
        <f t="shared" si="0"/>
        <v>0</v>
      </c>
      <c r="I60" s="6">
        <f t="shared" si="1"/>
        <v>11</v>
      </c>
      <c r="J60" s="77">
        <v>0</v>
      </c>
      <c r="K60" s="77">
        <v>0</v>
      </c>
      <c r="L60" s="6">
        <f>L50+L59</f>
        <v>0</v>
      </c>
      <c r="M60" s="6">
        <f t="shared" si="11"/>
        <v>4</v>
      </c>
      <c r="N60" s="78">
        <v>100</v>
      </c>
      <c r="O60">
        <f t="shared" si="3"/>
        <v>0.5</v>
      </c>
      <c r="P60" s="78">
        <v>50</v>
      </c>
      <c r="Q60">
        <f t="shared" si="4"/>
        <v>0.3</v>
      </c>
      <c r="R60" s="75">
        <v>15</v>
      </c>
      <c r="S60" s="6">
        <f t="shared" si="5"/>
        <v>0.15</v>
      </c>
    </row>
    <row r="61" spans="1:19" x14ac:dyDescent="0.25">
      <c r="A61" s="37" t="s">
        <v>66</v>
      </c>
      <c r="B61" s="6" t="s">
        <v>169</v>
      </c>
      <c r="C61" s="67">
        <v>0</v>
      </c>
      <c r="D61" s="6">
        <f>(C61/12)*12</f>
        <v>0</v>
      </c>
      <c r="E61" s="67">
        <v>3900</v>
      </c>
      <c r="F61" s="6">
        <f>SUM(E50:E61)</f>
        <v>8800</v>
      </c>
      <c r="G61" s="36" t="str">
        <f t="shared" si="2"/>
        <v>Farol Verde</v>
      </c>
      <c r="H61">
        <f t="shared" si="0"/>
        <v>0</v>
      </c>
      <c r="I61" s="6">
        <f t="shared" si="1"/>
        <v>12</v>
      </c>
      <c r="J61" s="75">
        <v>0</v>
      </c>
      <c r="K61" s="75">
        <v>2</v>
      </c>
      <c r="L61" s="6">
        <f>$L50+L60</f>
        <v>0</v>
      </c>
      <c r="M61" s="6">
        <f t="shared" si="11"/>
        <v>6</v>
      </c>
      <c r="N61" s="78">
        <v>100</v>
      </c>
      <c r="O61">
        <f t="shared" si="3"/>
        <v>0.5</v>
      </c>
      <c r="P61" s="78">
        <v>50</v>
      </c>
      <c r="Q61">
        <f t="shared" si="4"/>
        <v>0.3</v>
      </c>
      <c r="R61" s="75">
        <v>15</v>
      </c>
      <c r="S61" s="6">
        <f t="shared" si="5"/>
        <v>0.15</v>
      </c>
    </row>
    <row r="62" spans="1:19" x14ac:dyDescent="0.25">
      <c r="A62" s="37" t="s">
        <v>42</v>
      </c>
      <c r="B62" s="6" t="s">
        <v>158</v>
      </c>
      <c r="C62" s="67">
        <v>70000</v>
      </c>
      <c r="D62" s="6">
        <f>(C62/12)*1</f>
        <v>5833.333333333333</v>
      </c>
      <c r="E62" s="67">
        <v>9430</v>
      </c>
      <c r="F62" s="6">
        <f>E62</f>
        <v>9430</v>
      </c>
      <c r="G62" s="36" t="str">
        <f t="shared" si="2"/>
        <v>Farol Verde</v>
      </c>
      <c r="H62">
        <f t="shared" si="0"/>
        <v>0</v>
      </c>
      <c r="I62" s="6">
        <f t="shared" si="1"/>
        <v>1</v>
      </c>
      <c r="J62" s="77">
        <v>629</v>
      </c>
      <c r="K62" s="77">
        <v>426</v>
      </c>
      <c r="L62" s="6">
        <f>J62/12</f>
        <v>52.416666666666664</v>
      </c>
      <c r="M62" s="6">
        <f>K62</f>
        <v>426</v>
      </c>
      <c r="N62" s="78">
        <v>100</v>
      </c>
      <c r="O62">
        <f t="shared" si="3"/>
        <v>0.5</v>
      </c>
      <c r="P62" s="78">
        <v>50</v>
      </c>
      <c r="Q62">
        <f t="shared" si="4"/>
        <v>0.3</v>
      </c>
      <c r="R62" s="75">
        <v>15</v>
      </c>
      <c r="S62" s="6">
        <f t="shared" si="5"/>
        <v>0.15</v>
      </c>
    </row>
    <row r="63" spans="1:19" x14ac:dyDescent="0.25">
      <c r="A63" s="37" t="s">
        <v>42</v>
      </c>
      <c r="B63" s="6" t="s">
        <v>159</v>
      </c>
      <c r="C63" s="67">
        <v>70000</v>
      </c>
      <c r="D63" s="6">
        <f>(C63/12)*2</f>
        <v>11666.666666666666</v>
      </c>
      <c r="E63" s="67">
        <v>11085</v>
      </c>
      <c r="F63" s="6">
        <f>SUM(E62:E63)</f>
        <v>20515</v>
      </c>
      <c r="G63" s="36" t="str">
        <f t="shared" si="2"/>
        <v>Farol Verde</v>
      </c>
      <c r="H63">
        <f t="shared" si="0"/>
        <v>0</v>
      </c>
      <c r="I63" s="6">
        <f t="shared" si="1"/>
        <v>2</v>
      </c>
      <c r="J63" s="75">
        <v>629</v>
      </c>
      <c r="K63" s="75">
        <v>341</v>
      </c>
      <c r="L63" s="6">
        <f>L62+L62</f>
        <v>104.83333333333333</v>
      </c>
      <c r="M63" s="6">
        <f>M62+K63</f>
        <v>767</v>
      </c>
      <c r="N63" s="78">
        <v>100</v>
      </c>
      <c r="O63">
        <f t="shared" si="3"/>
        <v>0.5</v>
      </c>
      <c r="P63" s="78">
        <v>50</v>
      </c>
      <c r="Q63">
        <f t="shared" si="4"/>
        <v>0.3</v>
      </c>
      <c r="R63" s="75">
        <v>15</v>
      </c>
      <c r="S63" s="6">
        <f t="shared" si="5"/>
        <v>0.15</v>
      </c>
    </row>
    <row r="64" spans="1:19" x14ac:dyDescent="0.25">
      <c r="A64" s="37" t="s">
        <v>42</v>
      </c>
      <c r="B64" s="6" t="s">
        <v>160</v>
      </c>
      <c r="C64" s="67">
        <v>70000</v>
      </c>
      <c r="D64" s="6">
        <f>(C64/12)*3</f>
        <v>17500</v>
      </c>
      <c r="E64" s="67">
        <v>3415</v>
      </c>
      <c r="F64" s="6">
        <f>SUM(E62:E64)</f>
        <v>23930</v>
      </c>
      <c r="G64" s="36" t="str">
        <f t="shared" si="2"/>
        <v>Farol Verde</v>
      </c>
      <c r="H64">
        <f t="shared" si="0"/>
        <v>0</v>
      </c>
      <c r="I64" s="6">
        <f t="shared" si="1"/>
        <v>3</v>
      </c>
      <c r="J64" s="77">
        <v>629</v>
      </c>
      <c r="K64" s="77">
        <v>105</v>
      </c>
      <c r="L64" s="6">
        <f>$L62+L63</f>
        <v>157.25</v>
      </c>
      <c r="M64" s="6">
        <f t="shared" ref="M64:M73" si="12">M63+K64</f>
        <v>872</v>
      </c>
      <c r="N64" s="78">
        <v>100</v>
      </c>
      <c r="O64">
        <f t="shared" si="3"/>
        <v>0.5</v>
      </c>
      <c r="P64" s="78">
        <v>50</v>
      </c>
      <c r="Q64">
        <f t="shared" si="4"/>
        <v>0.3</v>
      </c>
      <c r="R64" s="75">
        <v>15</v>
      </c>
      <c r="S64" s="6">
        <f t="shared" si="5"/>
        <v>0.15</v>
      </c>
    </row>
    <row r="65" spans="1:19" x14ac:dyDescent="0.25">
      <c r="A65" s="37" t="s">
        <v>42</v>
      </c>
      <c r="B65" s="6" t="s">
        <v>161</v>
      </c>
      <c r="C65" s="67">
        <v>70000</v>
      </c>
      <c r="D65" s="6">
        <f>(C65/12)*4</f>
        <v>23333.333333333332</v>
      </c>
      <c r="E65" s="67">
        <v>6285</v>
      </c>
      <c r="F65" s="6">
        <f>SUM(E62:E65)</f>
        <v>30215</v>
      </c>
      <c r="G65" s="36" t="str">
        <f t="shared" si="2"/>
        <v>Farol Verde</v>
      </c>
      <c r="H65">
        <f t="shared" si="0"/>
        <v>0</v>
      </c>
      <c r="I65" s="6">
        <f t="shared" si="1"/>
        <v>4</v>
      </c>
      <c r="J65" s="75">
        <v>629</v>
      </c>
      <c r="K65" s="75">
        <v>132</v>
      </c>
      <c r="L65" s="6">
        <f>$L62+L64</f>
        <v>209.66666666666666</v>
      </c>
      <c r="M65" s="6">
        <f t="shared" si="12"/>
        <v>1004</v>
      </c>
      <c r="N65" s="78">
        <v>100</v>
      </c>
      <c r="O65">
        <f t="shared" si="3"/>
        <v>0.5</v>
      </c>
      <c r="P65" s="78">
        <v>50</v>
      </c>
      <c r="Q65">
        <f t="shared" si="4"/>
        <v>0.3</v>
      </c>
      <c r="R65" s="75">
        <v>15</v>
      </c>
      <c r="S65" s="6">
        <f t="shared" si="5"/>
        <v>0.15</v>
      </c>
    </row>
    <row r="66" spans="1:19" x14ac:dyDescent="0.25">
      <c r="A66" s="37" t="s">
        <v>42</v>
      </c>
      <c r="B66" s="6" t="s">
        <v>162</v>
      </c>
      <c r="C66" s="67">
        <v>70000</v>
      </c>
      <c r="D66" s="6">
        <f>(C66/12)*5</f>
        <v>29166.666666666664</v>
      </c>
      <c r="E66" s="67">
        <v>7095</v>
      </c>
      <c r="F66" s="6">
        <f>SUM(E62:E66)</f>
        <v>37310</v>
      </c>
      <c r="G66" s="36" t="str">
        <f t="shared" si="2"/>
        <v>Farol Verde</v>
      </c>
      <c r="H66">
        <f t="shared" ref="H66:H129" si="13">IF(D66-F66&lt;0,0,D66-F66)</f>
        <v>0</v>
      </c>
      <c r="I66" s="6">
        <f t="shared" ref="I66:I129" si="14">_xlfn.IFS(B66="Janeiro",1,B66="Fevereiro",2,B66="Março",3,B66="Abril",4,B66="Maio",5,B66="Junho",6,B66="Julho",7,B66="Agosto",8,B66="Setembro",9,B66="Outubro",10,B66="Novembro",11,B66="Dezembro",12,TRUE,0)</f>
        <v>5</v>
      </c>
      <c r="J66" s="77">
        <v>629</v>
      </c>
      <c r="K66" s="77">
        <v>38</v>
      </c>
      <c r="L66" s="6">
        <f>L62+L65</f>
        <v>262.08333333333331</v>
      </c>
      <c r="M66" s="6">
        <f t="shared" si="12"/>
        <v>1042</v>
      </c>
      <c r="N66" s="78">
        <v>100</v>
      </c>
      <c r="O66">
        <f t="shared" si="3"/>
        <v>0.5</v>
      </c>
      <c r="P66" s="78">
        <v>50</v>
      </c>
      <c r="Q66">
        <f t="shared" si="4"/>
        <v>0.3</v>
      </c>
      <c r="R66" s="75">
        <v>15</v>
      </c>
      <c r="S66" s="6">
        <f t="shared" si="5"/>
        <v>0.15</v>
      </c>
    </row>
    <row r="67" spans="1:19" x14ac:dyDescent="0.25">
      <c r="A67" s="37" t="s">
        <v>42</v>
      </c>
      <c r="B67" s="6" t="s">
        <v>163</v>
      </c>
      <c r="C67" s="67">
        <v>70000</v>
      </c>
      <c r="D67" s="6">
        <f>(C67/12)*6</f>
        <v>35000</v>
      </c>
      <c r="E67" s="67">
        <v>715</v>
      </c>
      <c r="F67" s="6">
        <f>SUM(E62:E67)</f>
        <v>38025</v>
      </c>
      <c r="G67" s="36" t="str">
        <f t="shared" ref="G67:G130" si="15">_xlfn.IFS(F67&gt;D67,"Farol Verde",F67&gt;=D67*0.85,"Farol Amarelo",F67&lt;D67*0.85,"Farol Vermelho","Verdadeiro",0)</f>
        <v>Farol Verde</v>
      </c>
      <c r="H67">
        <f t="shared" si="13"/>
        <v>0</v>
      </c>
      <c r="I67" s="6">
        <f t="shared" si="14"/>
        <v>6</v>
      </c>
      <c r="J67" s="75">
        <v>629</v>
      </c>
      <c r="K67" s="75">
        <v>22</v>
      </c>
      <c r="L67" s="6">
        <f>$L62+L66</f>
        <v>314.5</v>
      </c>
      <c r="M67" s="6">
        <f t="shared" si="12"/>
        <v>1064</v>
      </c>
      <c r="N67" s="78">
        <v>100</v>
      </c>
      <c r="O67">
        <f t="shared" ref="O67:O130" si="16">P67/N67</f>
        <v>0.5</v>
      </c>
      <c r="P67" s="78">
        <v>50</v>
      </c>
      <c r="Q67">
        <f t="shared" ref="Q67:Q130" si="17">R67/P67</f>
        <v>0.3</v>
      </c>
      <c r="R67" s="75">
        <v>15</v>
      </c>
      <c r="S67" s="6">
        <f t="shared" ref="S67:S130" si="18">R67/N67</f>
        <v>0.15</v>
      </c>
    </row>
    <row r="68" spans="1:19" x14ac:dyDescent="0.25">
      <c r="A68" s="37" t="s">
        <v>42</v>
      </c>
      <c r="B68" s="6" t="s">
        <v>164</v>
      </c>
      <c r="C68" s="67">
        <v>70000</v>
      </c>
      <c r="D68" s="6">
        <f>(C68/12)*7</f>
        <v>40833.333333333328</v>
      </c>
      <c r="E68" s="67">
        <v>3950</v>
      </c>
      <c r="F68" s="6">
        <f>SUM(E62:E68)</f>
        <v>41975</v>
      </c>
      <c r="G68" s="36" t="str">
        <f t="shared" si="15"/>
        <v>Farol Verde</v>
      </c>
      <c r="H68">
        <f t="shared" si="13"/>
        <v>0</v>
      </c>
      <c r="I68" s="6">
        <f t="shared" si="14"/>
        <v>7</v>
      </c>
      <c r="J68" s="77">
        <v>629</v>
      </c>
      <c r="K68" s="77">
        <v>29</v>
      </c>
      <c r="L68" s="6">
        <f>$L62+L67</f>
        <v>366.91666666666669</v>
      </c>
      <c r="M68" s="6">
        <f t="shared" si="12"/>
        <v>1093</v>
      </c>
      <c r="N68" s="78">
        <v>100</v>
      </c>
      <c r="O68">
        <f t="shared" si="16"/>
        <v>0.5</v>
      </c>
      <c r="P68" s="78">
        <v>50</v>
      </c>
      <c r="Q68">
        <f t="shared" si="17"/>
        <v>0.3</v>
      </c>
      <c r="R68" s="75">
        <v>15</v>
      </c>
      <c r="S68" s="6">
        <f t="shared" si="18"/>
        <v>0.15</v>
      </c>
    </row>
    <row r="69" spans="1:19" x14ac:dyDescent="0.25">
      <c r="A69" s="37" t="s">
        <v>42</v>
      </c>
      <c r="B69" s="6" t="s">
        <v>165</v>
      </c>
      <c r="C69" s="67">
        <v>70000</v>
      </c>
      <c r="D69" s="6">
        <f>(C69/12)*8</f>
        <v>46666.666666666664</v>
      </c>
      <c r="E69" s="67">
        <v>5589</v>
      </c>
      <c r="F69" s="6">
        <f>SUM(E62:E69)</f>
        <v>47564</v>
      </c>
      <c r="G69" s="36" t="str">
        <f t="shared" si="15"/>
        <v>Farol Verde</v>
      </c>
      <c r="H69">
        <f t="shared" si="13"/>
        <v>0</v>
      </c>
      <c r="I69" s="6">
        <f t="shared" si="14"/>
        <v>8</v>
      </c>
      <c r="J69" s="75">
        <v>629</v>
      </c>
      <c r="K69" s="75">
        <v>33</v>
      </c>
      <c r="L69" s="6">
        <f>L62+L68</f>
        <v>419.33333333333337</v>
      </c>
      <c r="M69" s="6">
        <f t="shared" si="12"/>
        <v>1126</v>
      </c>
      <c r="N69" s="78">
        <v>100</v>
      </c>
      <c r="O69">
        <f t="shared" si="16"/>
        <v>0.5</v>
      </c>
      <c r="P69" s="78">
        <v>50</v>
      </c>
      <c r="Q69">
        <f t="shared" si="17"/>
        <v>0.3</v>
      </c>
      <c r="R69" s="75">
        <v>15</v>
      </c>
      <c r="S69" s="6">
        <f t="shared" si="18"/>
        <v>0.15</v>
      </c>
    </row>
    <row r="70" spans="1:19" x14ac:dyDescent="0.25">
      <c r="A70" s="37" t="s">
        <v>42</v>
      </c>
      <c r="B70" s="6" t="s">
        <v>166</v>
      </c>
      <c r="C70" s="67">
        <v>70000</v>
      </c>
      <c r="D70" s="6">
        <f>(C70/12)*9</f>
        <v>52500</v>
      </c>
      <c r="E70" s="67">
        <v>2105</v>
      </c>
      <c r="F70" s="6">
        <f>SUM(E62:E70)</f>
        <v>49669</v>
      </c>
      <c r="G70" s="36" t="str">
        <f t="shared" si="15"/>
        <v>Farol Amarelo</v>
      </c>
      <c r="H70">
        <f t="shared" si="13"/>
        <v>2831</v>
      </c>
      <c r="I70" s="6">
        <f t="shared" si="14"/>
        <v>9</v>
      </c>
      <c r="J70" s="77">
        <v>629</v>
      </c>
      <c r="K70" s="77">
        <v>46</v>
      </c>
      <c r="L70" s="6">
        <f>$L62+L69</f>
        <v>471.75000000000006</v>
      </c>
      <c r="M70" s="6">
        <f t="shared" si="12"/>
        <v>1172</v>
      </c>
      <c r="N70" s="78">
        <v>100</v>
      </c>
      <c r="O70">
        <f t="shared" si="16"/>
        <v>0.5</v>
      </c>
      <c r="P70" s="78">
        <v>50</v>
      </c>
      <c r="Q70">
        <f t="shared" si="17"/>
        <v>0.3</v>
      </c>
      <c r="R70" s="75">
        <v>15</v>
      </c>
      <c r="S70" s="6">
        <f t="shared" si="18"/>
        <v>0.15</v>
      </c>
    </row>
    <row r="71" spans="1:19" x14ac:dyDescent="0.25">
      <c r="A71" s="37" t="s">
        <v>42</v>
      </c>
      <c r="B71" s="6" t="s">
        <v>167</v>
      </c>
      <c r="C71" s="67">
        <v>70000</v>
      </c>
      <c r="D71" s="6">
        <f>(C71/12)*10</f>
        <v>58333.333333333328</v>
      </c>
      <c r="E71" s="67">
        <v>785</v>
      </c>
      <c r="F71" s="6">
        <f>SUM(E62:E71)</f>
        <v>50454</v>
      </c>
      <c r="G71" s="36" t="str">
        <f t="shared" si="15"/>
        <v>Farol Amarelo</v>
      </c>
      <c r="H71">
        <f t="shared" si="13"/>
        <v>7879.3333333333285</v>
      </c>
      <c r="I71" s="6">
        <f t="shared" si="14"/>
        <v>10</v>
      </c>
      <c r="J71" s="75">
        <v>629</v>
      </c>
      <c r="K71" s="75">
        <v>21</v>
      </c>
      <c r="L71" s="6">
        <f>$L62+L70</f>
        <v>524.16666666666674</v>
      </c>
      <c r="M71" s="6">
        <f t="shared" si="12"/>
        <v>1193</v>
      </c>
      <c r="N71" s="78">
        <v>100</v>
      </c>
      <c r="O71">
        <f t="shared" si="16"/>
        <v>0.5</v>
      </c>
      <c r="P71" s="78">
        <v>50</v>
      </c>
      <c r="Q71">
        <f t="shared" si="17"/>
        <v>0.3</v>
      </c>
      <c r="R71" s="75">
        <v>15</v>
      </c>
      <c r="S71" s="6">
        <f t="shared" si="18"/>
        <v>0.15</v>
      </c>
    </row>
    <row r="72" spans="1:19" x14ac:dyDescent="0.25">
      <c r="A72" s="37" t="s">
        <v>42</v>
      </c>
      <c r="B72" s="6" t="s">
        <v>168</v>
      </c>
      <c r="C72" s="67">
        <v>70000</v>
      </c>
      <c r="D72" s="6">
        <f>(C72/12)*11</f>
        <v>64166.666666666664</v>
      </c>
      <c r="E72" s="67">
        <v>8390</v>
      </c>
      <c r="F72" s="6">
        <f>SUM(E62:E72)</f>
        <v>58844</v>
      </c>
      <c r="G72" s="36" t="str">
        <f t="shared" si="15"/>
        <v>Farol Amarelo</v>
      </c>
      <c r="H72">
        <f t="shared" si="13"/>
        <v>5322.6666666666642</v>
      </c>
      <c r="I72" s="6">
        <f t="shared" si="14"/>
        <v>11</v>
      </c>
      <c r="J72" s="77">
        <v>629</v>
      </c>
      <c r="K72" s="77">
        <v>19</v>
      </c>
      <c r="L72" s="6">
        <f>L62+L71</f>
        <v>576.58333333333337</v>
      </c>
      <c r="M72" s="6">
        <f t="shared" si="12"/>
        <v>1212</v>
      </c>
      <c r="N72" s="78">
        <v>100</v>
      </c>
      <c r="O72">
        <f t="shared" si="16"/>
        <v>0.5</v>
      </c>
      <c r="P72" s="78">
        <v>50</v>
      </c>
      <c r="Q72">
        <f t="shared" si="17"/>
        <v>0.3</v>
      </c>
      <c r="R72" s="75">
        <v>15</v>
      </c>
      <c r="S72" s="6">
        <f t="shared" si="18"/>
        <v>0.15</v>
      </c>
    </row>
    <row r="73" spans="1:19" x14ac:dyDescent="0.25">
      <c r="A73" s="37" t="s">
        <v>42</v>
      </c>
      <c r="B73" s="6" t="s">
        <v>169</v>
      </c>
      <c r="C73" s="67">
        <v>70000</v>
      </c>
      <c r="D73" s="6">
        <f>(C73/12)*12</f>
        <v>70000</v>
      </c>
      <c r="E73" s="67">
        <v>11295</v>
      </c>
      <c r="F73" s="6">
        <f>SUM(E62:E73)</f>
        <v>70139</v>
      </c>
      <c r="G73" s="36" t="str">
        <f t="shared" si="15"/>
        <v>Farol Verde</v>
      </c>
      <c r="H73">
        <f t="shared" si="13"/>
        <v>0</v>
      </c>
      <c r="I73" s="6">
        <f t="shared" si="14"/>
        <v>12</v>
      </c>
      <c r="J73" s="75">
        <v>629</v>
      </c>
      <c r="K73" s="75">
        <v>17</v>
      </c>
      <c r="L73" s="6">
        <f>$L62+L72</f>
        <v>629</v>
      </c>
      <c r="M73" s="6">
        <f t="shared" si="12"/>
        <v>1229</v>
      </c>
      <c r="N73" s="78">
        <v>100</v>
      </c>
      <c r="O73">
        <f t="shared" si="16"/>
        <v>0.5</v>
      </c>
      <c r="P73" s="78">
        <v>50</v>
      </c>
      <c r="Q73">
        <f t="shared" si="17"/>
        <v>0.3</v>
      </c>
      <c r="R73" s="75">
        <v>15</v>
      </c>
      <c r="S73" s="6">
        <f t="shared" si="18"/>
        <v>0.15</v>
      </c>
    </row>
    <row r="74" spans="1:19" x14ac:dyDescent="0.25">
      <c r="A74" s="37" t="s">
        <v>63</v>
      </c>
      <c r="B74" s="6" t="s">
        <v>158</v>
      </c>
      <c r="C74" s="67">
        <v>0</v>
      </c>
      <c r="D74" s="6">
        <f>(C74/12)*1</f>
        <v>0</v>
      </c>
      <c r="E74" s="67">
        <v>0</v>
      </c>
      <c r="F74" s="6">
        <f>E74</f>
        <v>0</v>
      </c>
      <c r="G74" s="36" t="str">
        <f t="shared" si="15"/>
        <v>Farol Amarelo</v>
      </c>
      <c r="H74">
        <f t="shared" si="13"/>
        <v>0</v>
      </c>
      <c r="I74" s="6">
        <f t="shared" si="14"/>
        <v>1</v>
      </c>
      <c r="J74" s="77">
        <v>0</v>
      </c>
      <c r="K74" s="77">
        <v>0</v>
      </c>
      <c r="L74" s="6">
        <f>J74/12</f>
        <v>0</v>
      </c>
      <c r="M74" s="6">
        <f>K74</f>
        <v>0</v>
      </c>
      <c r="N74" s="78">
        <v>100</v>
      </c>
      <c r="O74">
        <f t="shared" si="16"/>
        <v>0.5</v>
      </c>
      <c r="P74" s="78">
        <v>50</v>
      </c>
      <c r="Q74">
        <f t="shared" si="17"/>
        <v>0.3</v>
      </c>
      <c r="R74" s="75">
        <v>15</v>
      </c>
      <c r="S74" s="6">
        <f t="shared" si="18"/>
        <v>0.15</v>
      </c>
    </row>
    <row r="75" spans="1:19" x14ac:dyDescent="0.25">
      <c r="A75" s="37" t="s">
        <v>63</v>
      </c>
      <c r="B75" s="6" t="s">
        <v>159</v>
      </c>
      <c r="C75" s="67">
        <v>0</v>
      </c>
      <c r="D75" s="6">
        <f>(C75/12)*2</f>
        <v>0</v>
      </c>
      <c r="E75" s="67">
        <v>0</v>
      </c>
      <c r="F75" s="6">
        <f>SUM(E74:E75)</f>
        <v>0</v>
      </c>
      <c r="G75" s="36" t="str">
        <f t="shared" si="15"/>
        <v>Farol Amarelo</v>
      </c>
      <c r="H75">
        <f t="shared" si="13"/>
        <v>0</v>
      </c>
      <c r="I75" s="6">
        <f t="shared" si="14"/>
        <v>2</v>
      </c>
      <c r="J75" s="75">
        <v>0</v>
      </c>
      <c r="K75" s="75">
        <v>0</v>
      </c>
      <c r="L75" s="6">
        <f>L74+L74</f>
        <v>0</v>
      </c>
      <c r="M75" s="6">
        <f>M74+K75</f>
        <v>0</v>
      </c>
      <c r="N75" s="78">
        <v>100</v>
      </c>
      <c r="O75">
        <f t="shared" si="16"/>
        <v>0.5</v>
      </c>
      <c r="P75" s="78">
        <v>50</v>
      </c>
      <c r="Q75">
        <f t="shared" si="17"/>
        <v>0.3</v>
      </c>
      <c r="R75" s="75">
        <v>15</v>
      </c>
      <c r="S75" s="6">
        <f t="shared" si="18"/>
        <v>0.15</v>
      </c>
    </row>
    <row r="76" spans="1:19" x14ac:dyDescent="0.25">
      <c r="A76" s="37" t="s">
        <v>63</v>
      </c>
      <c r="B76" s="6" t="s">
        <v>160</v>
      </c>
      <c r="C76" s="67">
        <v>0</v>
      </c>
      <c r="D76" s="6">
        <f>(C76/12)*3</f>
        <v>0</v>
      </c>
      <c r="E76" s="67">
        <v>0</v>
      </c>
      <c r="F76" s="6">
        <f>SUM(E74:E76)</f>
        <v>0</v>
      </c>
      <c r="G76" s="36" t="str">
        <f t="shared" si="15"/>
        <v>Farol Amarelo</v>
      </c>
      <c r="H76">
        <f t="shared" si="13"/>
        <v>0</v>
      </c>
      <c r="I76" s="6">
        <f t="shared" si="14"/>
        <v>3</v>
      </c>
      <c r="J76" s="77">
        <v>0</v>
      </c>
      <c r="K76" s="77">
        <v>0</v>
      </c>
      <c r="L76" s="6">
        <f>$L74+L75</f>
        <v>0</v>
      </c>
      <c r="M76" s="6">
        <f t="shared" ref="M76:M85" si="19">M75+K76</f>
        <v>0</v>
      </c>
      <c r="N76" s="78">
        <v>100</v>
      </c>
      <c r="O76">
        <f t="shared" si="16"/>
        <v>0.5</v>
      </c>
      <c r="P76" s="78">
        <v>50</v>
      </c>
      <c r="Q76">
        <f t="shared" si="17"/>
        <v>0.3</v>
      </c>
      <c r="R76" s="75">
        <v>15</v>
      </c>
      <c r="S76" s="6">
        <f t="shared" si="18"/>
        <v>0.15</v>
      </c>
    </row>
    <row r="77" spans="1:19" x14ac:dyDescent="0.25">
      <c r="A77" s="37" t="s">
        <v>63</v>
      </c>
      <c r="B77" s="6" t="s">
        <v>161</v>
      </c>
      <c r="C77" s="67">
        <v>0</v>
      </c>
      <c r="D77" s="6">
        <f>(C77/12)*4</f>
        <v>0</v>
      </c>
      <c r="E77" s="67">
        <v>0</v>
      </c>
      <c r="F77" s="6">
        <f>SUM(E74:E77)</f>
        <v>0</v>
      </c>
      <c r="G77" s="36" t="str">
        <f t="shared" si="15"/>
        <v>Farol Amarelo</v>
      </c>
      <c r="H77">
        <f t="shared" si="13"/>
        <v>0</v>
      </c>
      <c r="I77" s="6">
        <f t="shared" si="14"/>
        <v>4</v>
      </c>
      <c r="J77" s="75">
        <v>0</v>
      </c>
      <c r="K77" s="75">
        <v>0</v>
      </c>
      <c r="L77" s="6">
        <f>$L74+L76</f>
        <v>0</v>
      </c>
      <c r="M77" s="6">
        <f t="shared" si="19"/>
        <v>0</v>
      </c>
      <c r="N77" s="78">
        <v>100</v>
      </c>
      <c r="O77">
        <f t="shared" si="16"/>
        <v>0.5</v>
      </c>
      <c r="P77" s="78">
        <v>50</v>
      </c>
      <c r="Q77">
        <f t="shared" si="17"/>
        <v>0.3</v>
      </c>
      <c r="R77" s="75">
        <v>15</v>
      </c>
      <c r="S77" s="6">
        <f t="shared" si="18"/>
        <v>0.15</v>
      </c>
    </row>
    <row r="78" spans="1:19" x14ac:dyDescent="0.25">
      <c r="A78" s="37" t="s">
        <v>63</v>
      </c>
      <c r="B78" s="6" t="s">
        <v>162</v>
      </c>
      <c r="C78" s="67">
        <v>0</v>
      </c>
      <c r="D78" s="6">
        <f>(C78/12)*5</f>
        <v>0</v>
      </c>
      <c r="E78" s="67">
        <v>0</v>
      </c>
      <c r="F78" s="6">
        <f>SUM(E74:E78)</f>
        <v>0</v>
      </c>
      <c r="G78" s="36" t="str">
        <f t="shared" si="15"/>
        <v>Farol Amarelo</v>
      </c>
      <c r="H78">
        <f t="shared" si="13"/>
        <v>0</v>
      </c>
      <c r="I78" s="6">
        <f t="shared" si="14"/>
        <v>5</v>
      </c>
      <c r="J78" s="77">
        <v>0</v>
      </c>
      <c r="K78" s="77">
        <v>0</v>
      </c>
      <c r="L78" s="6">
        <f>L74+L77</f>
        <v>0</v>
      </c>
      <c r="M78" s="6">
        <f t="shared" si="19"/>
        <v>0</v>
      </c>
      <c r="N78" s="78">
        <v>100</v>
      </c>
      <c r="O78">
        <f t="shared" si="16"/>
        <v>0.5</v>
      </c>
      <c r="P78" s="78">
        <v>50</v>
      </c>
      <c r="Q78">
        <f t="shared" si="17"/>
        <v>0.3</v>
      </c>
      <c r="R78" s="75">
        <v>15</v>
      </c>
      <c r="S78" s="6">
        <f t="shared" si="18"/>
        <v>0.15</v>
      </c>
    </row>
    <row r="79" spans="1:19" x14ac:dyDescent="0.25">
      <c r="A79" s="37" t="s">
        <v>63</v>
      </c>
      <c r="B79" s="6" t="s">
        <v>163</v>
      </c>
      <c r="C79" s="67">
        <v>0</v>
      </c>
      <c r="D79" s="6">
        <f>(C79/12)*6</f>
        <v>0</v>
      </c>
      <c r="E79" s="67">
        <v>1578.8</v>
      </c>
      <c r="F79" s="6">
        <f>SUM(E74:E79)</f>
        <v>1578.8</v>
      </c>
      <c r="G79" s="36" t="str">
        <f t="shared" si="15"/>
        <v>Farol Verde</v>
      </c>
      <c r="H79">
        <f t="shared" si="13"/>
        <v>0</v>
      </c>
      <c r="I79" s="6">
        <f t="shared" si="14"/>
        <v>6</v>
      </c>
      <c r="J79" s="75">
        <v>0</v>
      </c>
      <c r="K79" s="75">
        <v>1</v>
      </c>
      <c r="L79" s="6">
        <f>$L74+L78</f>
        <v>0</v>
      </c>
      <c r="M79" s="6">
        <f t="shared" si="19"/>
        <v>1</v>
      </c>
      <c r="N79" s="78">
        <v>100</v>
      </c>
      <c r="O79">
        <f t="shared" si="16"/>
        <v>0.5</v>
      </c>
      <c r="P79" s="78">
        <v>50</v>
      </c>
      <c r="Q79">
        <f t="shared" si="17"/>
        <v>0.3</v>
      </c>
      <c r="R79" s="75">
        <v>15</v>
      </c>
      <c r="S79" s="6">
        <f t="shared" si="18"/>
        <v>0.15</v>
      </c>
    </row>
    <row r="80" spans="1:19" x14ac:dyDescent="0.25">
      <c r="A80" s="37" t="s">
        <v>63</v>
      </c>
      <c r="B80" s="6" t="s">
        <v>164</v>
      </c>
      <c r="C80" s="67">
        <v>0</v>
      </c>
      <c r="D80" s="6">
        <f>(C80/12)*7</f>
        <v>0</v>
      </c>
      <c r="E80" s="67">
        <v>0</v>
      </c>
      <c r="F80" s="6">
        <f>SUM(E74:E80)</f>
        <v>1578.8</v>
      </c>
      <c r="G80" s="36" t="str">
        <f t="shared" si="15"/>
        <v>Farol Verde</v>
      </c>
      <c r="H80">
        <f t="shared" si="13"/>
        <v>0</v>
      </c>
      <c r="I80" s="6">
        <f t="shared" si="14"/>
        <v>7</v>
      </c>
      <c r="J80" s="77">
        <v>0</v>
      </c>
      <c r="K80" s="77">
        <v>0</v>
      </c>
      <c r="L80" s="6">
        <f>$L74+L79</f>
        <v>0</v>
      </c>
      <c r="M80" s="6">
        <f t="shared" si="19"/>
        <v>1</v>
      </c>
      <c r="N80" s="78">
        <v>100</v>
      </c>
      <c r="O80">
        <f t="shared" si="16"/>
        <v>0.5</v>
      </c>
      <c r="P80" s="78">
        <v>50</v>
      </c>
      <c r="Q80">
        <f t="shared" si="17"/>
        <v>0.3</v>
      </c>
      <c r="R80" s="75">
        <v>15</v>
      </c>
      <c r="S80" s="6">
        <f t="shared" si="18"/>
        <v>0.15</v>
      </c>
    </row>
    <row r="81" spans="1:19" x14ac:dyDescent="0.25">
      <c r="A81" s="37" t="s">
        <v>63</v>
      </c>
      <c r="B81" s="6" t="s">
        <v>165</v>
      </c>
      <c r="C81" s="67">
        <v>0</v>
      </c>
      <c r="D81" s="6">
        <f>(C81/12)*8</f>
        <v>0</v>
      </c>
      <c r="E81" s="67">
        <v>0</v>
      </c>
      <c r="F81" s="6">
        <f>SUM(E74:E81)</f>
        <v>1578.8</v>
      </c>
      <c r="G81" s="36" t="str">
        <f t="shared" si="15"/>
        <v>Farol Verde</v>
      </c>
      <c r="H81">
        <f t="shared" si="13"/>
        <v>0</v>
      </c>
      <c r="I81" s="6">
        <f t="shared" si="14"/>
        <v>8</v>
      </c>
      <c r="J81" s="75">
        <v>0</v>
      </c>
      <c r="K81" s="75">
        <v>0</v>
      </c>
      <c r="L81" s="6">
        <f>L74+L80</f>
        <v>0</v>
      </c>
      <c r="M81" s="6">
        <f t="shared" si="19"/>
        <v>1</v>
      </c>
      <c r="N81" s="78">
        <v>100</v>
      </c>
      <c r="O81">
        <f t="shared" si="16"/>
        <v>0.5</v>
      </c>
      <c r="P81" s="78">
        <v>50</v>
      </c>
      <c r="Q81">
        <f t="shared" si="17"/>
        <v>0.3</v>
      </c>
      <c r="R81" s="75">
        <v>15</v>
      </c>
      <c r="S81" s="6">
        <f t="shared" si="18"/>
        <v>0.15</v>
      </c>
    </row>
    <row r="82" spans="1:19" x14ac:dyDescent="0.25">
      <c r="A82" s="37" t="s">
        <v>63</v>
      </c>
      <c r="B82" s="6" t="s">
        <v>166</v>
      </c>
      <c r="C82" s="67">
        <v>0</v>
      </c>
      <c r="D82" s="6">
        <f>(C82/12)*9</f>
        <v>0</v>
      </c>
      <c r="E82" s="67">
        <v>0</v>
      </c>
      <c r="F82" s="6">
        <f>SUM(E74:E82)</f>
        <v>1578.8</v>
      </c>
      <c r="G82" s="36" t="str">
        <f t="shared" si="15"/>
        <v>Farol Verde</v>
      </c>
      <c r="H82">
        <f t="shared" si="13"/>
        <v>0</v>
      </c>
      <c r="I82" s="6">
        <f t="shared" si="14"/>
        <v>9</v>
      </c>
      <c r="J82" s="77">
        <v>0</v>
      </c>
      <c r="K82" s="77">
        <v>0</v>
      </c>
      <c r="L82" s="6">
        <f>$L74+L81</f>
        <v>0</v>
      </c>
      <c r="M82" s="6">
        <f t="shared" si="19"/>
        <v>1</v>
      </c>
      <c r="N82" s="78">
        <v>100</v>
      </c>
      <c r="O82">
        <f t="shared" si="16"/>
        <v>0.5</v>
      </c>
      <c r="P82" s="78">
        <v>50</v>
      </c>
      <c r="Q82">
        <f t="shared" si="17"/>
        <v>0.3</v>
      </c>
      <c r="R82" s="75">
        <v>15</v>
      </c>
      <c r="S82" s="6">
        <f t="shared" si="18"/>
        <v>0.15</v>
      </c>
    </row>
    <row r="83" spans="1:19" x14ac:dyDescent="0.25">
      <c r="A83" s="37" t="s">
        <v>63</v>
      </c>
      <c r="B83" s="6" t="s">
        <v>167</v>
      </c>
      <c r="C83" s="67">
        <v>0</v>
      </c>
      <c r="D83" s="6">
        <f>(C83/12)*10</f>
        <v>0</v>
      </c>
      <c r="E83" s="67">
        <v>0</v>
      </c>
      <c r="F83" s="6">
        <f>SUM(E74:E83)</f>
        <v>1578.8</v>
      </c>
      <c r="G83" s="36" t="str">
        <f t="shared" si="15"/>
        <v>Farol Verde</v>
      </c>
      <c r="H83">
        <f t="shared" si="13"/>
        <v>0</v>
      </c>
      <c r="I83" s="6">
        <f t="shared" si="14"/>
        <v>10</v>
      </c>
      <c r="J83" s="75">
        <v>0</v>
      </c>
      <c r="K83" s="75">
        <v>0</v>
      </c>
      <c r="L83" s="6">
        <f>$L74+L82</f>
        <v>0</v>
      </c>
      <c r="M83" s="6">
        <f t="shared" si="19"/>
        <v>1</v>
      </c>
      <c r="N83" s="78">
        <v>100</v>
      </c>
      <c r="O83">
        <f t="shared" si="16"/>
        <v>0.5</v>
      </c>
      <c r="P83" s="78">
        <v>50</v>
      </c>
      <c r="Q83">
        <f t="shared" si="17"/>
        <v>0.3</v>
      </c>
      <c r="R83" s="75">
        <v>15</v>
      </c>
      <c r="S83" s="6">
        <f t="shared" si="18"/>
        <v>0.15</v>
      </c>
    </row>
    <row r="84" spans="1:19" x14ac:dyDescent="0.25">
      <c r="A84" s="37" t="s">
        <v>63</v>
      </c>
      <c r="B84" s="6" t="s">
        <v>168</v>
      </c>
      <c r="C84" s="67">
        <v>0</v>
      </c>
      <c r="D84" s="6">
        <f>(C84/12)*11</f>
        <v>0</v>
      </c>
      <c r="E84" s="67">
        <v>0</v>
      </c>
      <c r="F84" s="6">
        <f>SUM(E74:E84)</f>
        <v>1578.8</v>
      </c>
      <c r="G84" s="36" t="str">
        <f t="shared" si="15"/>
        <v>Farol Verde</v>
      </c>
      <c r="H84">
        <f t="shared" si="13"/>
        <v>0</v>
      </c>
      <c r="I84" s="6">
        <f t="shared" si="14"/>
        <v>11</v>
      </c>
      <c r="J84" s="77">
        <v>0</v>
      </c>
      <c r="K84" s="77">
        <v>0</v>
      </c>
      <c r="L84" s="6">
        <f>L74+L83</f>
        <v>0</v>
      </c>
      <c r="M84" s="6">
        <f t="shared" si="19"/>
        <v>1</v>
      </c>
      <c r="N84" s="78">
        <v>100</v>
      </c>
      <c r="O84">
        <f t="shared" si="16"/>
        <v>0.5</v>
      </c>
      <c r="P84" s="78">
        <v>50</v>
      </c>
      <c r="Q84">
        <f t="shared" si="17"/>
        <v>0.3</v>
      </c>
      <c r="R84" s="75">
        <v>15</v>
      </c>
      <c r="S84" s="6">
        <f t="shared" si="18"/>
        <v>0.15</v>
      </c>
    </row>
    <row r="85" spans="1:19" x14ac:dyDescent="0.25">
      <c r="A85" s="37" t="s">
        <v>63</v>
      </c>
      <c r="B85" s="6" t="s">
        <v>169</v>
      </c>
      <c r="C85" s="67">
        <v>0</v>
      </c>
      <c r="D85" s="6">
        <f>(C85/12)*12</f>
        <v>0</v>
      </c>
      <c r="E85" s="67">
        <v>0</v>
      </c>
      <c r="F85" s="6">
        <f>SUM(E74:E85)</f>
        <v>1578.8</v>
      </c>
      <c r="G85" s="36" t="str">
        <f t="shared" si="15"/>
        <v>Farol Verde</v>
      </c>
      <c r="H85">
        <f t="shared" si="13"/>
        <v>0</v>
      </c>
      <c r="I85" s="6">
        <f t="shared" si="14"/>
        <v>12</v>
      </c>
      <c r="J85" s="75">
        <v>0</v>
      </c>
      <c r="K85" s="75">
        <v>0</v>
      </c>
      <c r="L85" s="6">
        <f>$L74+L84</f>
        <v>0</v>
      </c>
      <c r="M85" s="6">
        <f t="shared" si="19"/>
        <v>1</v>
      </c>
      <c r="N85" s="78">
        <v>100</v>
      </c>
      <c r="O85">
        <f t="shared" si="16"/>
        <v>0.5</v>
      </c>
      <c r="P85" s="78">
        <v>50</v>
      </c>
      <c r="Q85">
        <f t="shared" si="17"/>
        <v>0.3</v>
      </c>
      <c r="R85" s="75">
        <v>15</v>
      </c>
      <c r="S85" s="6">
        <f t="shared" si="18"/>
        <v>0.15</v>
      </c>
    </row>
    <row r="86" spans="1:19" x14ac:dyDescent="0.25">
      <c r="A86" s="37" t="s">
        <v>120</v>
      </c>
      <c r="B86" s="6" t="s">
        <v>158</v>
      </c>
      <c r="C86" s="67">
        <v>83119.850000000006</v>
      </c>
      <c r="D86" s="6">
        <f>(C86/12)*1</f>
        <v>6926.6541666666672</v>
      </c>
      <c r="E86" s="67">
        <v>5349.9</v>
      </c>
      <c r="F86" s="6">
        <f>E86</f>
        <v>5349.9</v>
      </c>
      <c r="G86" s="36" t="str">
        <f t="shared" si="15"/>
        <v>Farol Vermelho</v>
      </c>
      <c r="H86">
        <f t="shared" si="13"/>
        <v>1576.7541666666675</v>
      </c>
      <c r="I86" s="6">
        <f t="shared" si="14"/>
        <v>1</v>
      </c>
      <c r="J86" s="77">
        <v>17</v>
      </c>
      <c r="K86" s="77">
        <v>2</v>
      </c>
      <c r="L86" s="6">
        <f>J86/12</f>
        <v>1.4166666666666667</v>
      </c>
      <c r="M86" s="6">
        <f>K86</f>
        <v>2</v>
      </c>
      <c r="N86" s="78">
        <v>100</v>
      </c>
      <c r="O86">
        <f t="shared" si="16"/>
        <v>0.5</v>
      </c>
      <c r="P86" s="78">
        <v>50</v>
      </c>
      <c r="Q86">
        <f t="shared" si="17"/>
        <v>0.3</v>
      </c>
      <c r="R86" s="75">
        <v>15</v>
      </c>
      <c r="S86" s="6">
        <f t="shared" si="18"/>
        <v>0.15</v>
      </c>
    </row>
    <row r="87" spans="1:19" x14ac:dyDescent="0.25">
      <c r="A87" s="37" t="s">
        <v>120</v>
      </c>
      <c r="B87" s="6" t="s">
        <v>159</v>
      </c>
      <c r="C87" s="67">
        <v>83119.850000000006</v>
      </c>
      <c r="D87" s="6">
        <f>(C87/12)*2</f>
        <v>13853.308333333334</v>
      </c>
      <c r="E87" s="67">
        <v>0</v>
      </c>
      <c r="F87" s="6">
        <f>SUM(E86:E87)</f>
        <v>5349.9</v>
      </c>
      <c r="G87" s="36" t="str">
        <f t="shared" si="15"/>
        <v>Farol Vermelho</v>
      </c>
      <c r="H87">
        <f t="shared" si="13"/>
        <v>8503.4083333333347</v>
      </c>
      <c r="I87" s="6">
        <f t="shared" si="14"/>
        <v>2</v>
      </c>
      <c r="J87" s="75">
        <v>17</v>
      </c>
      <c r="K87" s="75">
        <v>0</v>
      </c>
      <c r="L87" s="6">
        <f>L86+L86</f>
        <v>2.8333333333333335</v>
      </c>
      <c r="M87" s="6">
        <f>M86+K87</f>
        <v>2</v>
      </c>
      <c r="N87" s="78">
        <v>100</v>
      </c>
      <c r="O87">
        <f t="shared" si="16"/>
        <v>0.5</v>
      </c>
      <c r="P87" s="78">
        <v>50</v>
      </c>
      <c r="Q87">
        <f t="shared" si="17"/>
        <v>0.3</v>
      </c>
      <c r="R87" s="75">
        <v>15</v>
      </c>
      <c r="S87" s="6">
        <f t="shared" si="18"/>
        <v>0.15</v>
      </c>
    </row>
    <row r="88" spans="1:19" x14ac:dyDescent="0.25">
      <c r="A88" s="37" t="s">
        <v>120</v>
      </c>
      <c r="B88" s="6" t="s">
        <v>160</v>
      </c>
      <c r="C88" s="67">
        <v>83119.850000000006</v>
      </c>
      <c r="D88" s="6">
        <f>(C88/12)*3</f>
        <v>20779.962500000001</v>
      </c>
      <c r="E88" s="67">
        <v>4662.68</v>
      </c>
      <c r="F88" s="6">
        <f>SUM(E86:E88)</f>
        <v>10012.58</v>
      </c>
      <c r="G88" s="36" t="str">
        <f t="shared" si="15"/>
        <v>Farol Vermelho</v>
      </c>
      <c r="H88">
        <f t="shared" si="13"/>
        <v>10767.382500000002</v>
      </c>
      <c r="I88" s="6">
        <f t="shared" si="14"/>
        <v>3</v>
      </c>
      <c r="J88" s="77">
        <v>17</v>
      </c>
      <c r="K88" s="77">
        <v>2</v>
      </c>
      <c r="L88" s="6">
        <f>$L86+L87</f>
        <v>4.25</v>
      </c>
      <c r="M88" s="6">
        <f t="shared" ref="M88:M97" si="20">M87+K88</f>
        <v>4</v>
      </c>
      <c r="N88" s="78">
        <v>100</v>
      </c>
      <c r="O88">
        <f t="shared" si="16"/>
        <v>0.5</v>
      </c>
      <c r="P88" s="78">
        <v>50</v>
      </c>
      <c r="Q88">
        <f t="shared" si="17"/>
        <v>0.3</v>
      </c>
      <c r="R88" s="75">
        <v>15</v>
      </c>
      <c r="S88" s="6">
        <f t="shared" si="18"/>
        <v>0.15</v>
      </c>
    </row>
    <row r="89" spans="1:19" x14ac:dyDescent="0.25">
      <c r="A89" s="37" t="s">
        <v>120</v>
      </c>
      <c r="B89" s="6" t="s">
        <v>161</v>
      </c>
      <c r="C89" s="67">
        <v>83119.850000000006</v>
      </c>
      <c r="D89" s="6">
        <f>(C89/12)*4</f>
        <v>27706.616666666669</v>
      </c>
      <c r="E89" s="67">
        <v>9979.84</v>
      </c>
      <c r="F89" s="6">
        <f>SUM(E86:E89)</f>
        <v>19992.419999999998</v>
      </c>
      <c r="G89" s="36" t="str">
        <f t="shared" si="15"/>
        <v>Farol Vermelho</v>
      </c>
      <c r="H89">
        <f t="shared" si="13"/>
        <v>7714.1966666666704</v>
      </c>
      <c r="I89" s="6">
        <f t="shared" si="14"/>
        <v>4</v>
      </c>
      <c r="J89" s="75">
        <v>17</v>
      </c>
      <c r="K89" s="75">
        <v>4</v>
      </c>
      <c r="L89" s="6">
        <f>$L86+L88</f>
        <v>5.666666666666667</v>
      </c>
      <c r="M89" s="6">
        <f t="shared" si="20"/>
        <v>8</v>
      </c>
      <c r="N89" s="78">
        <v>100</v>
      </c>
      <c r="O89">
        <f t="shared" si="16"/>
        <v>0.5</v>
      </c>
      <c r="P89" s="78">
        <v>50</v>
      </c>
      <c r="Q89">
        <f t="shared" si="17"/>
        <v>0.3</v>
      </c>
      <c r="R89" s="75">
        <v>15</v>
      </c>
      <c r="S89" s="6">
        <f t="shared" si="18"/>
        <v>0.15</v>
      </c>
    </row>
    <row r="90" spans="1:19" x14ac:dyDescent="0.25">
      <c r="A90" s="37" t="s">
        <v>120</v>
      </c>
      <c r="B90" s="6" t="s">
        <v>162</v>
      </c>
      <c r="C90" s="67">
        <v>83119.850000000006</v>
      </c>
      <c r="D90" s="6">
        <f>(C90/12)*5</f>
        <v>34633.270833333336</v>
      </c>
      <c r="E90" s="67">
        <v>0</v>
      </c>
      <c r="F90" s="6">
        <f>SUM(E86:E90)</f>
        <v>19992.419999999998</v>
      </c>
      <c r="G90" s="36" t="str">
        <f t="shared" si="15"/>
        <v>Farol Vermelho</v>
      </c>
      <c r="H90">
        <f t="shared" si="13"/>
        <v>14640.850833333338</v>
      </c>
      <c r="I90" s="6">
        <f t="shared" si="14"/>
        <v>5</v>
      </c>
      <c r="J90" s="77">
        <v>17</v>
      </c>
      <c r="K90" s="77">
        <v>0</v>
      </c>
      <c r="L90" s="6">
        <f>L86+L89</f>
        <v>7.0833333333333339</v>
      </c>
      <c r="M90" s="6">
        <f t="shared" si="20"/>
        <v>8</v>
      </c>
      <c r="N90" s="78">
        <v>100</v>
      </c>
      <c r="O90">
        <f t="shared" si="16"/>
        <v>0.5</v>
      </c>
      <c r="P90" s="78">
        <v>50</v>
      </c>
      <c r="Q90">
        <f t="shared" si="17"/>
        <v>0.3</v>
      </c>
      <c r="R90" s="75">
        <v>15</v>
      </c>
      <c r="S90" s="6">
        <f t="shared" si="18"/>
        <v>0.15</v>
      </c>
    </row>
    <row r="91" spans="1:19" x14ac:dyDescent="0.25">
      <c r="A91" s="37" t="s">
        <v>120</v>
      </c>
      <c r="B91" s="6" t="s">
        <v>163</v>
      </c>
      <c r="C91" s="67">
        <v>83119.850000000006</v>
      </c>
      <c r="D91" s="6">
        <f>(C91/12)*6</f>
        <v>41559.925000000003</v>
      </c>
      <c r="E91" s="67">
        <v>2280</v>
      </c>
      <c r="F91" s="6">
        <f>SUM(E86:E91)</f>
        <v>22272.42</v>
      </c>
      <c r="G91" s="36" t="str">
        <f t="shared" si="15"/>
        <v>Farol Vermelho</v>
      </c>
      <c r="H91">
        <f t="shared" si="13"/>
        <v>19287.505000000005</v>
      </c>
      <c r="I91" s="6">
        <f t="shared" si="14"/>
        <v>6</v>
      </c>
      <c r="J91" s="75">
        <v>17</v>
      </c>
      <c r="K91" s="75">
        <v>2</v>
      </c>
      <c r="L91" s="6">
        <f>$L86+L90</f>
        <v>8.5</v>
      </c>
      <c r="M91" s="6">
        <f t="shared" si="20"/>
        <v>10</v>
      </c>
      <c r="N91" s="78">
        <v>100</v>
      </c>
      <c r="O91">
        <f t="shared" si="16"/>
        <v>0.5</v>
      </c>
      <c r="P91" s="78">
        <v>50</v>
      </c>
      <c r="Q91">
        <f t="shared" si="17"/>
        <v>0.3</v>
      </c>
      <c r="R91" s="75">
        <v>15</v>
      </c>
      <c r="S91" s="6">
        <f t="shared" si="18"/>
        <v>0.15</v>
      </c>
    </row>
    <row r="92" spans="1:19" x14ac:dyDescent="0.25">
      <c r="A92" s="37" t="s">
        <v>120</v>
      </c>
      <c r="B92" s="6" t="s">
        <v>164</v>
      </c>
      <c r="C92" s="67">
        <v>83119.850000000006</v>
      </c>
      <c r="D92" s="6">
        <f>(C92/12)*7</f>
        <v>48486.57916666667</v>
      </c>
      <c r="E92" s="67">
        <v>0</v>
      </c>
      <c r="F92" s="6">
        <f>SUM(E86:E92)</f>
        <v>22272.42</v>
      </c>
      <c r="G92" s="36" t="str">
        <f t="shared" si="15"/>
        <v>Farol Vermelho</v>
      </c>
      <c r="H92">
        <f t="shared" si="13"/>
        <v>26214.159166666672</v>
      </c>
      <c r="I92" s="6">
        <f t="shared" si="14"/>
        <v>7</v>
      </c>
      <c r="J92" s="77">
        <v>17</v>
      </c>
      <c r="K92" s="77">
        <v>0</v>
      </c>
      <c r="L92" s="6">
        <f>$L86+L91</f>
        <v>9.9166666666666661</v>
      </c>
      <c r="M92" s="6">
        <f t="shared" si="20"/>
        <v>10</v>
      </c>
      <c r="N92" s="78">
        <v>100</v>
      </c>
      <c r="O92">
        <f t="shared" si="16"/>
        <v>0.5</v>
      </c>
      <c r="P92" s="78">
        <v>50</v>
      </c>
      <c r="Q92">
        <f t="shared" si="17"/>
        <v>0.3</v>
      </c>
      <c r="R92" s="75">
        <v>15</v>
      </c>
      <c r="S92" s="6">
        <f t="shared" si="18"/>
        <v>0.15</v>
      </c>
    </row>
    <row r="93" spans="1:19" x14ac:dyDescent="0.25">
      <c r="A93" s="37" t="s">
        <v>120</v>
      </c>
      <c r="B93" s="6" t="s">
        <v>165</v>
      </c>
      <c r="C93" s="67">
        <v>83119.850000000006</v>
      </c>
      <c r="D93" s="6">
        <f>(C93/12)*8</f>
        <v>55413.233333333337</v>
      </c>
      <c r="E93" s="67">
        <v>975</v>
      </c>
      <c r="F93" s="6">
        <f>SUM(E86:E93)</f>
        <v>23247.42</v>
      </c>
      <c r="G93" s="36" t="str">
        <f t="shared" si="15"/>
        <v>Farol Vermelho</v>
      </c>
      <c r="H93">
        <f t="shared" si="13"/>
        <v>32165.813333333339</v>
      </c>
      <c r="I93" s="6">
        <f t="shared" si="14"/>
        <v>8</v>
      </c>
      <c r="J93" s="75">
        <v>17</v>
      </c>
      <c r="K93" s="75">
        <v>1</v>
      </c>
      <c r="L93" s="6">
        <f>L86+L92</f>
        <v>11.333333333333332</v>
      </c>
      <c r="M93" s="6">
        <f t="shared" si="20"/>
        <v>11</v>
      </c>
      <c r="N93" s="78">
        <v>100</v>
      </c>
      <c r="O93">
        <f t="shared" si="16"/>
        <v>0.5</v>
      </c>
      <c r="P93" s="78">
        <v>50</v>
      </c>
      <c r="Q93">
        <f t="shared" si="17"/>
        <v>0.3</v>
      </c>
      <c r="R93" s="75">
        <v>15</v>
      </c>
      <c r="S93" s="6">
        <f t="shared" si="18"/>
        <v>0.15</v>
      </c>
    </row>
    <row r="94" spans="1:19" x14ac:dyDescent="0.25">
      <c r="A94" s="37" t="s">
        <v>120</v>
      </c>
      <c r="B94" s="6" t="s">
        <v>166</v>
      </c>
      <c r="C94" s="67">
        <v>83119.850000000006</v>
      </c>
      <c r="D94" s="6">
        <f>(C94/12)*9</f>
        <v>62339.887500000004</v>
      </c>
      <c r="E94" s="67">
        <v>8291</v>
      </c>
      <c r="F94" s="6">
        <f>SUM(E86:E94)</f>
        <v>31538.42</v>
      </c>
      <c r="G94" s="36" t="str">
        <f t="shared" si="15"/>
        <v>Farol Vermelho</v>
      </c>
      <c r="H94">
        <f t="shared" si="13"/>
        <v>30801.467500000006</v>
      </c>
      <c r="I94" s="6">
        <f t="shared" si="14"/>
        <v>9</v>
      </c>
      <c r="J94" s="77">
        <v>17</v>
      </c>
      <c r="K94" s="77">
        <v>2</v>
      </c>
      <c r="L94" s="6">
        <f>$L86+L93</f>
        <v>12.749999999999998</v>
      </c>
      <c r="M94" s="6">
        <f t="shared" si="20"/>
        <v>13</v>
      </c>
      <c r="N94" s="78">
        <v>100</v>
      </c>
      <c r="O94">
        <f t="shared" si="16"/>
        <v>0.5</v>
      </c>
      <c r="P94" s="78">
        <v>50</v>
      </c>
      <c r="Q94">
        <f t="shared" si="17"/>
        <v>0.3</v>
      </c>
      <c r="R94" s="75">
        <v>15</v>
      </c>
      <c r="S94" s="6">
        <f t="shared" si="18"/>
        <v>0.15</v>
      </c>
    </row>
    <row r="95" spans="1:19" x14ac:dyDescent="0.25">
      <c r="A95" s="37" t="s">
        <v>120</v>
      </c>
      <c r="B95" s="6" t="s">
        <v>167</v>
      </c>
      <c r="C95" s="67">
        <v>83119.850000000006</v>
      </c>
      <c r="D95" s="6">
        <f>(C95/12)*10</f>
        <v>69266.541666666672</v>
      </c>
      <c r="E95" s="67">
        <v>45760.18</v>
      </c>
      <c r="F95" s="6">
        <f>SUM(E86:E95)</f>
        <v>77298.600000000006</v>
      </c>
      <c r="G95" s="36" t="str">
        <f t="shared" si="15"/>
        <v>Farol Verde</v>
      </c>
      <c r="H95">
        <f t="shared" si="13"/>
        <v>0</v>
      </c>
      <c r="I95" s="6">
        <f t="shared" si="14"/>
        <v>10</v>
      </c>
      <c r="J95" s="75">
        <v>17</v>
      </c>
      <c r="K95" s="75">
        <v>6</v>
      </c>
      <c r="L95" s="6">
        <f>$L86+L94</f>
        <v>14.166666666666664</v>
      </c>
      <c r="M95" s="6">
        <f t="shared" si="20"/>
        <v>19</v>
      </c>
      <c r="N95" s="78">
        <v>100</v>
      </c>
      <c r="O95">
        <f t="shared" si="16"/>
        <v>0.5</v>
      </c>
      <c r="P95" s="78">
        <v>50</v>
      </c>
      <c r="Q95">
        <f t="shared" si="17"/>
        <v>0.3</v>
      </c>
      <c r="R95" s="75">
        <v>15</v>
      </c>
      <c r="S95" s="6">
        <f t="shared" si="18"/>
        <v>0.15</v>
      </c>
    </row>
    <row r="96" spans="1:19" x14ac:dyDescent="0.25">
      <c r="A96" s="37" t="s">
        <v>120</v>
      </c>
      <c r="B96" s="6" t="s">
        <v>168</v>
      </c>
      <c r="C96" s="67">
        <v>83119.850000000006</v>
      </c>
      <c r="D96" s="6">
        <f>(C96/12)*11</f>
        <v>76193.195833333331</v>
      </c>
      <c r="E96" s="67">
        <v>13026</v>
      </c>
      <c r="F96" s="6">
        <f>SUM(E86:E96)</f>
        <v>90324.6</v>
      </c>
      <c r="G96" s="36" t="str">
        <f t="shared" si="15"/>
        <v>Farol Verde</v>
      </c>
      <c r="H96">
        <f t="shared" si="13"/>
        <v>0</v>
      </c>
      <c r="I96" s="6">
        <f t="shared" si="14"/>
        <v>11</v>
      </c>
      <c r="J96" s="77">
        <v>17</v>
      </c>
      <c r="K96" s="77">
        <v>2</v>
      </c>
      <c r="L96" s="6">
        <f>L86+L95</f>
        <v>15.58333333333333</v>
      </c>
      <c r="M96" s="6">
        <f t="shared" si="20"/>
        <v>21</v>
      </c>
      <c r="N96" s="78">
        <v>100</v>
      </c>
      <c r="O96">
        <f t="shared" si="16"/>
        <v>0.5</v>
      </c>
      <c r="P96" s="78">
        <v>50</v>
      </c>
      <c r="Q96">
        <f t="shared" si="17"/>
        <v>0.3</v>
      </c>
      <c r="R96" s="75">
        <v>15</v>
      </c>
      <c r="S96" s="6">
        <f t="shared" si="18"/>
        <v>0.15</v>
      </c>
    </row>
    <row r="97" spans="1:19" x14ac:dyDescent="0.25">
      <c r="A97" s="37" t="s">
        <v>120</v>
      </c>
      <c r="B97" s="6" t="s">
        <v>169</v>
      </c>
      <c r="C97" s="67">
        <v>83119.850000000006</v>
      </c>
      <c r="D97" s="6">
        <f>(C97/12)*12</f>
        <v>83119.850000000006</v>
      </c>
      <c r="E97" s="67">
        <v>0</v>
      </c>
      <c r="F97" s="6">
        <f>SUM(E86:E97)</f>
        <v>90324.6</v>
      </c>
      <c r="G97" s="36" t="str">
        <f t="shared" si="15"/>
        <v>Farol Verde</v>
      </c>
      <c r="H97">
        <f t="shared" si="13"/>
        <v>0</v>
      </c>
      <c r="I97" s="6">
        <f t="shared" si="14"/>
        <v>12</v>
      </c>
      <c r="J97" s="75">
        <v>17</v>
      </c>
      <c r="K97" s="75">
        <v>0</v>
      </c>
      <c r="L97" s="6">
        <f>$L86+L96</f>
        <v>16.999999999999996</v>
      </c>
      <c r="M97" s="6">
        <f t="shared" si="20"/>
        <v>21</v>
      </c>
      <c r="N97" s="78">
        <v>100</v>
      </c>
      <c r="O97">
        <f t="shared" si="16"/>
        <v>0.5</v>
      </c>
      <c r="P97" s="78">
        <v>50</v>
      </c>
      <c r="Q97">
        <f t="shared" si="17"/>
        <v>0.3</v>
      </c>
      <c r="R97" s="75">
        <v>15</v>
      </c>
      <c r="S97" s="6">
        <f t="shared" si="18"/>
        <v>0.15</v>
      </c>
    </row>
    <row r="98" spans="1:19" x14ac:dyDescent="0.25">
      <c r="A98" s="37" t="s">
        <v>48</v>
      </c>
      <c r="B98" s="6" t="s">
        <v>158</v>
      </c>
      <c r="C98" s="67">
        <v>39127.86</v>
      </c>
      <c r="D98" s="6">
        <f>(C98/12)*1</f>
        <v>3260.6550000000002</v>
      </c>
      <c r="E98" s="67">
        <v>7080</v>
      </c>
      <c r="F98" s="6">
        <f>E98</f>
        <v>7080</v>
      </c>
      <c r="G98" s="36" t="str">
        <f t="shared" si="15"/>
        <v>Farol Verde</v>
      </c>
      <c r="H98">
        <f t="shared" si="13"/>
        <v>0</v>
      </c>
      <c r="I98" s="6">
        <f t="shared" si="14"/>
        <v>1</v>
      </c>
      <c r="J98" s="77">
        <v>85</v>
      </c>
      <c r="K98" s="77">
        <v>37</v>
      </c>
      <c r="L98" s="6">
        <f>J98/12</f>
        <v>7.083333333333333</v>
      </c>
      <c r="M98" s="6">
        <f>K98</f>
        <v>37</v>
      </c>
      <c r="N98" s="78">
        <v>100</v>
      </c>
      <c r="O98">
        <f t="shared" si="16"/>
        <v>0.5</v>
      </c>
      <c r="P98" s="78">
        <v>50</v>
      </c>
      <c r="Q98">
        <f t="shared" si="17"/>
        <v>0.3</v>
      </c>
      <c r="R98" s="75">
        <v>15</v>
      </c>
      <c r="S98" s="6">
        <f t="shared" si="18"/>
        <v>0.15</v>
      </c>
    </row>
    <row r="99" spans="1:19" x14ac:dyDescent="0.25">
      <c r="A99" s="37" t="s">
        <v>48</v>
      </c>
      <c r="B99" s="6" t="s">
        <v>159</v>
      </c>
      <c r="C99" s="67">
        <v>39127.86</v>
      </c>
      <c r="D99" s="6">
        <f>(C99/12)*2</f>
        <v>6521.31</v>
      </c>
      <c r="E99" s="67">
        <v>680</v>
      </c>
      <c r="F99" s="6">
        <f>SUM(E98:E99)</f>
        <v>7760</v>
      </c>
      <c r="G99" s="36" t="str">
        <f t="shared" si="15"/>
        <v>Farol Verde</v>
      </c>
      <c r="H99">
        <f t="shared" si="13"/>
        <v>0</v>
      </c>
      <c r="I99" s="6">
        <f t="shared" si="14"/>
        <v>2</v>
      </c>
      <c r="J99" s="75">
        <v>85</v>
      </c>
      <c r="K99" s="75">
        <v>6</v>
      </c>
      <c r="L99" s="6">
        <f>L98+L98</f>
        <v>14.166666666666666</v>
      </c>
      <c r="M99" s="6">
        <f>M98+K99</f>
        <v>43</v>
      </c>
      <c r="N99" s="78">
        <v>100</v>
      </c>
      <c r="O99">
        <f t="shared" si="16"/>
        <v>0.5</v>
      </c>
      <c r="P99" s="78">
        <v>50</v>
      </c>
      <c r="Q99">
        <f t="shared" si="17"/>
        <v>0.3</v>
      </c>
      <c r="R99" s="75">
        <v>15</v>
      </c>
      <c r="S99" s="6">
        <f t="shared" si="18"/>
        <v>0.15</v>
      </c>
    </row>
    <row r="100" spans="1:19" x14ac:dyDescent="0.25">
      <c r="A100" s="37" t="s">
        <v>48</v>
      </c>
      <c r="B100" s="6" t="s">
        <v>160</v>
      </c>
      <c r="C100" s="67">
        <v>39127.86</v>
      </c>
      <c r="D100" s="6">
        <f>(C100/12)*3</f>
        <v>9781.9650000000001</v>
      </c>
      <c r="E100" s="67">
        <v>3370</v>
      </c>
      <c r="F100" s="6">
        <f>SUM(E98:E100)</f>
        <v>11130</v>
      </c>
      <c r="G100" s="36" t="str">
        <f t="shared" si="15"/>
        <v>Farol Verde</v>
      </c>
      <c r="H100">
        <f t="shared" si="13"/>
        <v>0</v>
      </c>
      <c r="I100" s="6">
        <f t="shared" si="14"/>
        <v>3</v>
      </c>
      <c r="J100" s="77">
        <v>85</v>
      </c>
      <c r="K100" s="77">
        <v>2</v>
      </c>
      <c r="L100" s="6">
        <f>$L98+L99</f>
        <v>21.25</v>
      </c>
      <c r="M100" s="6">
        <f t="shared" ref="M100:M109" si="21">M99+K100</f>
        <v>45</v>
      </c>
      <c r="N100" s="78">
        <v>100</v>
      </c>
      <c r="O100">
        <f t="shared" si="16"/>
        <v>0.5</v>
      </c>
      <c r="P100" s="78">
        <v>50</v>
      </c>
      <c r="Q100">
        <f t="shared" si="17"/>
        <v>0.3</v>
      </c>
      <c r="R100" s="75">
        <v>15</v>
      </c>
      <c r="S100" s="6">
        <f t="shared" si="18"/>
        <v>0.15</v>
      </c>
    </row>
    <row r="101" spans="1:19" x14ac:dyDescent="0.25">
      <c r="A101" s="37" t="s">
        <v>48</v>
      </c>
      <c r="B101" s="6" t="s">
        <v>161</v>
      </c>
      <c r="C101" s="67">
        <v>39127.86</v>
      </c>
      <c r="D101" s="6">
        <f>(C101/12)*4</f>
        <v>13042.62</v>
      </c>
      <c r="E101" s="67">
        <v>1303</v>
      </c>
      <c r="F101" s="6">
        <f>SUM(E98:E101)</f>
        <v>12433</v>
      </c>
      <c r="G101" s="36" t="str">
        <f t="shared" si="15"/>
        <v>Farol Amarelo</v>
      </c>
      <c r="H101">
        <f t="shared" si="13"/>
        <v>609.6200000000008</v>
      </c>
      <c r="I101" s="6">
        <f t="shared" si="14"/>
        <v>4</v>
      </c>
      <c r="J101" s="75">
        <v>85</v>
      </c>
      <c r="K101" s="75">
        <v>11</v>
      </c>
      <c r="L101" s="6">
        <f>$L98+L100</f>
        <v>28.333333333333332</v>
      </c>
      <c r="M101" s="6">
        <f t="shared" si="21"/>
        <v>56</v>
      </c>
      <c r="N101" s="78">
        <v>100</v>
      </c>
      <c r="O101">
        <f t="shared" si="16"/>
        <v>0.5</v>
      </c>
      <c r="P101" s="78">
        <v>50</v>
      </c>
      <c r="Q101">
        <f t="shared" si="17"/>
        <v>0.3</v>
      </c>
      <c r="R101" s="75">
        <v>15</v>
      </c>
      <c r="S101" s="6">
        <f t="shared" si="18"/>
        <v>0.15</v>
      </c>
    </row>
    <row r="102" spans="1:19" x14ac:dyDescent="0.25">
      <c r="A102" s="37" t="s">
        <v>48</v>
      </c>
      <c r="B102" s="6" t="s">
        <v>162</v>
      </c>
      <c r="C102" s="67">
        <v>39127.86</v>
      </c>
      <c r="D102" s="6">
        <f>(C102/12)*5</f>
        <v>16303.275000000001</v>
      </c>
      <c r="E102" s="67">
        <v>390</v>
      </c>
      <c r="F102" s="6">
        <f>SUM(E98:E102)</f>
        <v>12823</v>
      </c>
      <c r="G102" s="36" t="str">
        <f t="shared" si="15"/>
        <v>Farol Vermelho</v>
      </c>
      <c r="H102">
        <f t="shared" si="13"/>
        <v>3480.2750000000015</v>
      </c>
      <c r="I102" s="6">
        <f t="shared" si="14"/>
        <v>5</v>
      </c>
      <c r="J102" s="77">
        <v>85</v>
      </c>
      <c r="K102" s="77">
        <v>4</v>
      </c>
      <c r="L102" s="6">
        <f>L98+L101</f>
        <v>35.416666666666664</v>
      </c>
      <c r="M102" s="6">
        <f t="shared" si="21"/>
        <v>60</v>
      </c>
      <c r="N102" s="78">
        <v>100</v>
      </c>
      <c r="O102">
        <f t="shared" si="16"/>
        <v>0.5</v>
      </c>
      <c r="P102" s="78">
        <v>50</v>
      </c>
      <c r="Q102">
        <f t="shared" si="17"/>
        <v>0.3</v>
      </c>
      <c r="R102" s="75">
        <v>15</v>
      </c>
      <c r="S102" s="6">
        <f t="shared" si="18"/>
        <v>0.15</v>
      </c>
    </row>
    <row r="103" spans="1:19" x14ac:dyDescent="0.25">
      <c r="A103" s="37" t="s">
        <v>48</v>
      </c>
      <c r="B103" s="6" t="s">
        <v>163</v>
      </c>
      <c r="C103" s="67">
        <v>39127.86</v>
      </c>
      <c r="D103" s="6">
        <f>(C103/12)*6</f>
        <v>19563.93</v>
      </c>
      <c r="E103" s="67">
        <v>1298</v>
      </c>
      <c r="F103" s="6">
        <f>SUM(E98:E103)</f>
        <v>14121</v>
      </c>
      <c r="G103" s="36" t="str">
        <f t="shared" si="15"/>
        <v>Farol Vermelho</v>
      </c>
      <c r="H103">
        <f t="shared" si="13"/>
        <v>5442.93</v>
      </c>
      <c r="I103" s="6">
        <f t="shared" si="14"/>
        <v>6</v>
      </c>
      <c r="J103" s="75">
        <v>85</v>
      </c>
      <c r="K103" s="75">
        <v>11</v>
      </c>
      <c r="L103" s="6">
        <f>$L98+L102</f>
        <v>42.5</v>
      </c>
      <c r="M103" s="6">
        <f t="shared" si="21"/>
        <v>71</v>
      </c>
      <c r="N103" s="78">
        <v>100</v>
      </c>
      <c r="O103">
        <f t="shared" si="16"/>
        <v>0.5</v>
      </c>
      <c r="P103" s="78">
        <v>50</v>
      </c>
      <c r="Q103">
        <f t="shared" si="17"/>
        <v>0.3</v>
      </c>
      <c r="R103" s="75">
        <v>15</v>
      </c>
      <c r="S103" s="6">
        <f t="shared" si="18"/>
        <v>0.15</v>
      </c>
    </row>
    <row r="104" spans="1:19" x14ac:dyDescent="0.25">
      <c r="A104" s="37" t="s">
        <v>48</v>
      </c>
      <c r="B104" s="6" t="s">
        <v>164</v>
      </c>
      <c r="C104" s="67">
        <v>39127.86</v>
      </c>
      <c r="D104" s="6">
        <f>(C104/12)*7</f>
        <v>22824.585000000003</v>
      </c>
      <c r="E104" s="67">
        <v>1080</v>
      </c>
      <c r="F104" s="6">
        <f>SUM(E98:E104)</f>
        <v>15201</v>
      </c>
      <c r="G104" s="36" t="str">
        <f t="shared" si="15"/>
        <v>Farol Vermelho</v>
      </c>
      <c r="H104">
        <f t="shared" si="13"/>
        <v>7623.5850000000028</v>
      </c>
      <c r="I104" s="6">
        <f t="shared" si="14"/>
        <v>7</v>
      </c>
      <c r="J104" s="77">
        <v>85</v>
      </c>
      <c r="K104" s="77">
        <v>10</v>
      </c>
      <c r="L104" s="6">
        <f>$L98+L103</f>
        <v>49.583333333333336</v>
      </c>
      <c r="M104" s="6">
        <f t="shared" si="21"/>
        <v>81</v>
      </c>
      <c r="N104" s="78">
        <v>100</v>
      </c>
      <c r="O104">
        <f t="shared" si="16"/>
        <v>0.5</v>
      </c>
      <c r="P104" s="78">
        <v>50</v>
      </c>
      <c r="Q104">
        <f t="shared" si="17"/>
        <v>0.3</v>
      </c>
      <c r="R104" s="75">
        <v>15</v>
      </c>
      <c r="S104" s="6">
        <f t="shared" si="18"/>
        <v>0.15</v>
      </c>
    </row>
    <row r="105" spans="1:19" x14ac:dyDescent="0.25">
      <c r="A105" s="37" t="s">
        <v>48</v>
      </c>
      <c r="B105" s="6" t="s">
        <v>165</v>
      </c>
      <c r="C105" s="67">
        <v>39127.86</v>
      </c>
      <c r="D105" s="6">
        <f>(C105/12)*8</f>
        <v>26085.24</v>
      </c>
      <c r="E105" s="67">
        <v>6286</v>
      </c>
      <c r="F105" s="6">
        <f>SUM(E98:E105)</f>
        <v>21487</v>
      </c>
      <c r="G105" s="36" t="str">
        <f t="shared" si="15"/>
        <v>Farol Vermelho</v>
      </c>
      <c r="H105">
        <f t="shared" si="13"/>
        <v>4598.2400000000016</v>
      </c>
      <c r="I105" s="6">
        <f t="shared" si="14"/>
        <v>8</v>
      </c>
      <c r="J105" s="75">
        <v>85</v>
      </c>
      <c r="K105" s="75">
        <v>42</v>
      </c>
      <c r="L105" s="6">
        <f>L98+L104</f>
        <v>56.666666666666671</v>
      </c>
      <c r="M105" s="6">
        <f t="shared" si="21"/>
        <v>123</v>
      </c>
      <c r="N105" s="78">
        <v>100</v>
      </c>
      <c r="O105">
        <f t="shared" si="16"/>
        <v>0.5</v>
      </c>
      <c r="P105" s="78">
        <v>50</v>
      </c>
      <c r="Q105">
        <f t="shared" si="17"/>
        <v>0.3</v>
      </c>
      <c r="R105" s="75">
        <v>15</v>
      </c>
      <c r="S105" s="6">
        <f t="shared" si="18"/>
        <v>0.15</v>
      </c>
    </row>
    <row r="106" spans="1:19" x14ac:dyDescent="0.25">
      <c r="A106" s="37" t="s">
        <v>48</v>
      </c>
      <c r="B106" s="6" t="s">
        <v>166</v>
      </c>
      <c r="C106" s="67">
        <v>39127.86</v>
      </c>
      <c r="D106" s="6">
        <f>(C106/12)*9</f>
        <v>29345.895</v>
      </c>
      <c r="E106" s="67">
        <v>6400</v>
      </c>
      <c r="F106" s="6">
        <f>SUM(E98:E106)</f>
        <v>27887</v>
      </c>
      <c r="G106" s="36" t="str">
        <f t="shared" si="15"/>
        <v>Farol Amarelo</v>
      </c>
      <c r="H106">
        <f t="shared" si="13"/>
        <v>1458.8950000000004</v>
      </c>
      <c r="I106" s="6">
        <f t="shared" si="14"/>
        <v>9</v>
      </c>
      <c r="J106" s="77">
        <v>85</v>
      </c>
      <c r="K106" s="77">
        <v>2</v>
      </c>
      <c r="L106" s="6">
        <f>$L98+L105</f>
        <v>63.750000000000007</v>
      </c>
      <c r="M106" s="6">
        <f t="shared" si="21"/>
        <v>125</v>
      </c>
      <c r="N106" s="78">
        <v>100</v>
      </c>
      <c r="O106">
        <f t="shared" si="16"/>
        <v>0.5</v>
      </c>
      <c r="P106" s="78">
        <v>50</v>
      </c>
      <c r="Q106">
        <f t="shared" si="17"/>
        <v>0.3</v>
      </c>
      <c r="R106" s="75">
        <v>15</v>
      </c>
      <c r="S106" s="6">
        <f t="shared" si="18"/>
        <v>0.15</v>
      </c>
    </row>
    <row r="107" spans="1:19" x14ac:dyDescent="0.25">
      <c r="A107" s="37" t="s">
        <v>48</v>
      </c>
      <c r="B107" s="6" t="s">
        <v>167</v>
      </c>
      <c r="C107" s="67">
        <v>39127.86</v>
      </c>
      <c r="D107" s="6">
        <f>(C107/12)*10</f>
        <v>32606.550000000003</v>
      </c>
      <c r="E107" s="67">
        <v>5190</v>
      </c>
      <c r="F107" s="6">
        <f>SUM(E98:E107)</f>
        <v>33077</v>
      </c>
      <c r="G107" s="36" t="str">
        <f t="shared" si="15"/>
        <v>Farol Verde</v>
      </c>
      <c r="H107">
        <f t="shared" si="13"/>
        <v>0</v>
      </c>
      <c r="I107" s="6">
        <f t="shared" si="14"/>
        <v>10</v>
      </c>
      <c r="J107" s="75">
        <v>85</v>
      </c>
      <c r="K107" s="75">
        <v>21</v>
      </c>
      <c r="L107" s="6">
        <f>$L98+L106</f>
        <v>70.833333333333343</v>
      </c>
      <c r="M107" s="6">
        <f t="shared" si="21"/>
        <v>146</v>
      </c>
      <c r="N107" s="78">
        <v>100</v>
      </c>
      <c r="O107">
        <f t="shared" si="16"/>
        <v>0.5</v>
      </c>
      <c r="P107" s="78">
        <v>50</v>
      </c>
      <c r="Q107">
        <f t="shared" si="17"/>
        <v>0.3</v>
      </c>
      <c r="R107" s="75">
        <v>15</v>
      </c>
      <c r="S107" s="6">
        <f t="shared" si="18"/>
        <v>0.15</v>
      </c>
    </row>
    <row r="108" spans="1:19" x14ac:dyDescent="0.25">
      <c r="A108" s="37" t="s">
        <v>48</v>
      </c>
      <c r="B108" s="6" t="s">
        <v>168</v>
      </c>
      <c r="C108" s="67">
        <v>39127.86</v>
      </c>
      <c r="D108" s="6">
        <f>(C108/12)*11</f>
        <v>35867.205000000002</v>
      </c>
      <c r="E108" s="67">
        <v>6215</v>
      </c>
      <c r="F108" s="6">
        <f>SUM(E98:E108)</f>
        <v>39292</v>
      </c>
      <c r="G108" s="36" t="str">
        <f t="shared" si="15"/>
        <v>Farol Verde</v>
      </c>
      <c r="H108">
        <f t="shared" si="13"/>
        <v>0</v>
      </c>
      <c r="I108" s="6">
        <f t="shared" si="14"/>
        <v>11</v>
      </c>
      <c r="J108" s="77">
        <v>85</v>
      </c>
      <c r="K108" s="77">
        <v>7</v>
      </c>
      <c r="L108" s="6">
        <f>L98+L107</f>
        <v>77.916666666666671</v>
      </c>
      <c r="M108" s="6">
        <f t="shared" si="21"/>
        <v>153</v>
      </c>
      <c r="N108" s="78">
        <v>100</v>
      </c>
      <c r="O108">
        <f t="shared" si="16"/>
        <v>0.5</v>
      </c>
      <c r="P108" s="78">
        <v>50</v>
      </c>
      <c r="Q108">
        <f t="shared" si="17"/>
        <v>0.3</v>
      </c>
      <c r="R108" s="75">
        <v>15</v>
      </c>
      <c r="S108" s="6">
        <f t="shared" si="18"/>
        <v>0.15</v>
      </c>
    </row>
    <row r="109" spans="1:19" x14ac:dyDescent="0.25">
      <c r="A109" s="37" t="s">
        <v>48</v>
      </c>
      <c r="B109" s="6" t="s">
        <v>169</v>
      </c>
      <c r="C109" s="67">
        <v>39127.86</v>
      </c>
      <c r="D109" s="6">
        <f>(C109/12)*12</f>
        <v>39127.86</v>
      </c>
      <c r="E109" s="67">
        <v>1160</v>
      </c>
      <c r="F109" s="6">
        <f>SUM(E98:E109)</f>
        <v>40452</v>
      </c>
      <c r="G109" s="36" t="str">
        <f t="shared" si="15"/>
        <v>Farol Verde</v>
      </c>
      <c r="H109">
        <f t="shared" si="13"/>
        <v>0</v>
      </c>
      <c r="I109" s="6">
        <f t="shared" si="14"/>
        <v>12</v>
      </c>
      <c r="J109" s="75">
        <v>85</v>
      </c>
      <c r="K109" s="75">
        <v>1</v>
      </c>
      <c r="L109" s="6">
        <f>$L98+L108</f>
        <v>85</v>
      </c>
      <c r="M109" s="6">
        <f t="shared" si="21"/>
        <v>154</v>
      </c>
      <c r="N109" s="78">
        <v>100</v>
      </c>
      <c r="O109">
        <f t="shared" si="16"/>
        <v>0.5</v>
      </c>
      <c r="P109" s="78">
        <v>50</v>
      </c>
      <c r="Q109">
        <f t="shared" si="17"/>
        <v>0.3</v>
      </c>
      <c r="R109" s="75">
        <v>15</v>
      </c>
      <c r="S109" s="6">
        <f t="shared" si="18"/>
        <v>0.15</v>
      </c>
    </row>
    <row r="110" spans="1:19" x14ac:dyDescent="0.25">
      <c r="A110" s="37" t="s">
        <v>93</v>
      </c>
      <c r="B110" s="6" t="s">
        <v>158</v>
      </c>
      <c r="C110" s="67">
        <v>36000</v>
      </c>
      <c r="D110" s="6">
        <f>(C110/12)*1</f>
        <v>3000</v>
      </c>
      <c r="E110" s="67">
        <v>1200</v>
      </c>
      <c r="F110" s="6">
        <f>E110</f>
        <v>1200</v>
      </c>
      <c r="G110" s="36" t="str">
        <f t="shared" si="15"/>
        <v>Farol Vermelho</v>
      </c>
      <c r="H110">
        <f t="shared" si="13"/>
        <v>1800</v>
      </c>
      <c r="I110" s="6">
        <f t="shared" si="14"/>
        <v>1</v>
      </c>
      <c r="J110" s="77">
        <v>15</v>
      </c>
      <c r="K110" s="77">
        <v>1</v>
      </c>
      <c r="L110" s="6">
        <f>J110/12</f>
        <v>1.25</v>
      </c>
      <c r="M110" s="6">
        <f>K110</f>
        <v>1</v>
      </c>
      <c r="N110" s="78">
        <v>100</v>
      </c>
      <c r="O110">
        <f t="shared" si="16"/>
        <v>0.5</v>
      </c>
      <c r="P110" s="78">
        <v>50</v>
      </c>
      <c r="Q110">
        <f t="shared" si="17"/>
        <v>0.3</v>
      </c>
      <c r="R110" s="75">
        <v>15</v>
      </c>
      <c r="S110" s="6">
        <f t="shared" si="18"/>
        <v>0.15</v>
      </c>
    </row>
    <row r="111" spans="1:19" x14ac:dyDescent="0.25">
      <c r="A111" s="37" t="s">
        <v>93</v>
      </c>
      <c r="B111" s="6" t="s">
        <v>159</v>
      </c>
      <c r="C111" s="67">
        <v>36000</v>
      </c>
      <c r="D111" s="6">
        <f>(C111/12)*2</f>
        <v>6000</v>
      </c>
      <c r="E111" s="67">
        <v>1610</v>
      </c>
      <c r="F111" s="6">
        <f>SUM(E110:E111)</f>
        <v>2810</v>
      </c>
      <c r="G111" s="36" t="str">
        <f t="shared" si="15"/>
        <v>Farol Vermelho</v>
      </c>
      <c r="H111">
        <f t="shared" si="13"/>
        <v>3190</v>
      </c>
      <c r="I111" s="6">
        <f t="shared" si="14"/>
        <v>2</v>
      </c>
      <c r="J111" s="75">
        <v>15</v>
      </c>
      <c r="K111" s="75">
        <v>2</v>
      </c>
      <c r="L111" s="6">
        <f>L110+L110</f>
        <v>2.5</v>
      </c>
      <c r="M111" s="6">
        <f>M110+K111</f>
        <v>3</v>
      </c>
      <c r="N111" s="78">
        <v>100</v>
      </c>
      <c r="O111">
        <f t="shared" si="16"/>
        <v>0.5</v>
      </c>
      <c r="P111" s="78">
        <v>50</v>
      </c>
      <c r="Q111">
        <f t="shared" si="17"/>
        <v>0.3</v>
      </c>
      <c r="R111" s="75">
        <v>15</v>
      </c>
      <c r="S111" s="6">
        <f t="shared" si="18"/>
        <v>0.15</v>
      </c>
    </row>
    <row r="112" spans="1:19" x14ac:dyDescent="0.25">
      <c r="A112" s="37" t="s">
        <v>93</v>
      </c>
      <c r="B112" s="6" t="s">
        <v>160</v>
      </c>
      <c r="C112" s="67">
        <v>36000</v>
      </c>
      <c r="D112" s="6">
        <f>(C112/12)*3</f>
        <v>9000</v>
      </c>
      <c r="E112" s="67">
        <v>1650</v>
      </c>
      <c r="F112" s="6">
        <f>SUM(E110:E112)</f>
        <v>4460</v>
      </c>
      <c r="G112" s="36" t="str">
        <f t="shared" si="15"/>
        <v>Farol Vermelho</v>
      </c>
      <c r="H112">
        <f t="shared" si="13"/>
        <v>4540</v>
      </c>
      <c r="I112" s="6">
        <f t="shared" si="14"/>
        <v>3</v>
      </c>
      <c r="J112" s="77">
        <v>15</v>
      </c>
      <c r="K112" s="77">
        <v>1</v>
      </c>
      <c r="L112" s="6">
        <f>$L110+L111</f>
        <v>3.75</v>
      </c>
      <c r="M112" s="6">
        <f t="shared" ref="M112:M121" si="22">M111+K112</f>
        <v>4</v>
      </c>
      <c r="N112" s="78">
        <v>100</v>
      </c>
      <c r="O112">
        <f t="shared" si="16"/>
        <v>0.5</v>
      </c>
      <c r="P112" s="78">
        <v>50</v>
      </c>
      <c r="Q112">
        <f t="shared" si="17"/>
        <v>0.3</v>
      </c>
      <c r="R112" s="75">
        <v>15</v>
      </c>
      <c r="S112" s="6">
        <f t="shared" si="18"/>
        <v>0.15</v>
      </c>
    </row>
    <row r="113" spans="1:19" x14ac:dyDescent="0.25">
      <c r="A113" s="37" t="s">
        <v>93</v>
      </c>
      <c r="B113" s="6" t="s">
        <v>161</v>
      </c>
      <c r="C113" s="67">
        <v>36000</v>
      </c>
      <c r="D113" s="6">
        <f>(C113/12)*4</f>
        <v>12000</v>
      </c>
      <c r="E113" s="67">
        <v>1380</v>
      </c>
      <c r="F113" s="6">
        <f>SUM(E110:E113)</f>
        <v>5840</v>
      </c>
      <c r="G113" s="36" t="str">
        <f t="shared" si="15"/>
        <v>Farol Vermelho</v>
      </c>
      <c r="H113">
        <f t="shared" si="13"/>
        <v>6160</v>
      </c>
      <c r="I113" s="6">
        <f t="shared" si="14"/>
        <v>4</v>
      </c>
      <c r="J113" s="75">
        <v>15</v>
      </c>
      <c r="K113" s="75">
        <v>1</v>
      </c>
      <c r="L113" s="6">
        <f>$L110+L112</f>
        <v>5</v>
      </c>
      <c r="M113" s="6">
        <f t="shared" si="22"/>
        <v>5</v>
      </c>
      <c r="N113" s="78">
        <v>100</v>
      </c>
      <c r="O113">
        <f t="shared" si="16"/>
        <v>0.5</v>
      </c>
      <c r="P113" s="78">
        <v>50</v>
      </c>
      <c r="Q113">
        <f t="shared" si="17"/>
        <v>0.3</v>
      </c>
      <c r="R113" s="75">
        <v>15</v>
      </c>
      <c r="S113" s="6">
        <f t="shared" si="18"/>
        <v>0.15</v>
      </c>
    </row>
    <row r="114" spans="1:19" x14ac:dyDescent="0.25">
      <c r="A114" s="37" t="s">
        <v>93</v>
      </c>
      <c r="B114" s="6" t="s">
        <v>162</v>
      </c>
      <c r="C114" s="67">
        <v>36000</v>
      </c>
      <c r="D114" s="6">
        <f>(C114/12)*5</f>
        <v>15000</v>
      </c>
      <c r="E114" s="67">
        <v>3810</v>
      </c>
      <c r="F114" s="6">
        <f>SUM(E110:E114)</f>
        <v>9650</v>
      </c>
      <c r="G114" s="36" t="str">
        <f t="shared" si="15"/>
        <v>Farol Vermelho</v>
      </c>
      <c r="H114">
        <f t="shared" si="13"/>
        <v>5350</v>
      </c>
      <c r="I114" s="6">
        <f t="shared" si="14"/>
        <v>5</v>
      </c>
      <c r="J114" s="77">
        <v>15</v>
      </c>
      <c r="K114" s="77">
        <v>2</v>
      </c>
      <c r="L114" s="6">
        <f>L110+L113</f>
        <v>6.25</v>
      </c>
      <c r="M114" s="6">
        <f t="shared" si="22"/>
        <v>7</v>
      </c>
      <c r="N114" s="78">
        <v>100</v>
      </c>
      <c r="O114">
        <f t="shared" si="16"/>
        <v>0.5</v>
      </c>
      <c r="P114" s="78">
        <v>50</v>
      </c>
      <c r="Q114">
        <f t="shared" si="17"/>
        <v>0.3</v>
      </c>
      <c r="R114" s="75">
        <v>15</v>
      </c>
      <c r="S114" s="6">
        <f t="shared" si="18"/>
        <v>0.15</v>
      </c>
    </row>
    <row r="115" spans="1:19" x14ac:dyDescent="0.25">
      <c r="A115" s="37" t="s">
        <v>93</v>
      </c>
      <c r="B115" s="6" t="s">
        <v>163</v>
      </c>
      <c r="C115" s="67">
        <v>36000</v>
      </c>
      <c r="D115" s="6">
        <f>(C115/12)*6</f>
        <v>18000</v>
      </c>
      <c r="E115" s="67">
        <v>0</v>
      </c>
      <c r="F115" s="6">
        <f>SUM(E110:E115)</f>
        <v>9650</v>
      </c>
      <c r="G115" s="36" t="str">
        <f t="shared" si="15"/>
        <v>Farol Vermelho</v>
      </c>
      <c r="H115">
        <f t="shared" si="13"/>
        <v>8350</v>
      </c>
      <c r="I115" s="6">
        <f t="shared" si="14"/>
        <v>6</v>
      </c>
      <c r="J115" s="75">
        <v>15</v>
      </c>
      <c r="K115" s="75">
        <v>0</v>
      </c>
      <c r="L115" s="6">
        <f>$L110+L114</f>
        <v>7.5</v>
      </c>
      <c r="M115" s="6">
        <f t="shared" si="22"/>
        <v>7</v>
      </c>
      <c r="N115" s="78">
        <v>100</v>
      </c>
      <c r="O115">
        <f t="shared" si="16"/>
        <v>0.5</v>
      </c>
      <c r="P115" s="78">
        <v>50</v>
      </c>
      <c r="Q115">
        <f t="shared" si="17"/>
        <v>0.3</v>
      </c>
      <c r="R115" s="75">
        <v>15</v>
      </c>
      <c r="S115" s="6">
        <f t="shared" si="18"/>
        <v>0.15</v>
      </c>
    </row>
    <row r="116" spans="1:19" x14ac:dyDescent="0.25">
      <c r="A116" s="37" t="s">
        <v>93</v>
      </c>
      <c r="B116" s="6" t="s">
        <v>164</v>
      </c>
      <c r="C116" s="67">
        <v>36000</v>
      </c>
      <c r="D116" s="6">
        <f>(C116/12)*7</f>
        <v>21000</v>
      </c>
      <c r="E116" s="67">
        <v>1200</v>
      </c>
      <c r="F116" s="6">
        <f>SUM(E110:E116)</f>
        <v>10850</v>
      </c>
      <c r="G116" s="36" t="str">
        <f t="shared" si="15"/>
        <v>Farol Vermelho</v>
      </c>
      <c r="H116">
        <f t="shared" si="13"/>
        <v>10150</v>
      </c>
      <c r="I116" s="6">
        <f t="shared" si="14"/>
        <v>7</v>
      </c>
      <c r="J116" s="77">
        <v>15</v>
      </c>
      <c r="K116" s="77">
        <v>1</v>
      </c>
      <c r="L116" s="6">
        <f>$L110+L115</f>
        <v>8.75</v>
      </c>
      <c r="M116" s="6">
        <f t="shared" si="22"/>
        <v>8</v>
      </c>
      <c r="N116" s="78">
        <v>100</v>
      </c>
      <c r="O116">
        <f t="shared" si="16"/>
        <v>0.5</v>
      </c>
      <c r="P116" s="78">
        <v>50</v>
      </c>
      <c r="Q116">
        <f t="shared" si="17"/>
        <v>0.3</v>
      </c>
      <c r="R116" s="75">
        <v>15</v>
      </c>
      <c r="S116" s="6">
        <f t="shared" si="18"/>
        <v>0.15</v>
      </c>
    </row>
    <row r="117" spans="1:19" x14ac:dyDescent="0.25">
      <c r="A117" s="37" t="s">
        <v>93</v>
      </c>
      <c r="B117" s="6" t="s">
        <v>165</v>
      </c>
      <c r="C117" s="67">
        <v>36000</v>
      </c>
      <c r="D117" s="6">
        <f>(C117/12)*8</f>
        <v>24000</v>
      </c>
      <c r="E117" s="67">
        <v>17140</v>
      </c>
      <c r="F117" s="6">
        <f>SUM(E110:E117)</f>
        <v>27990</v>
      </c>
      <c r="G117" s="36" t="str">
        <f t="shared" si="15"/>
        <v>Farol Verde</v>
      </c>
      <c r="H117">
        <f t="shared" si="13"/>
        <v>0</v>
      </c>
      <c r="I117" s="6">
        <f t="shared" si="14"/>
        <v>8</v>
      </c>
      <c r="J117" s="75">
        <v>15</v>
      </c>
      <c r="K117" s="75">
        <v>2</v>
      </c>
      <c r="L117" s="6">
        <f>L110+L116</f>
        <v>10</v>
      </c>
      <c r="M117" s="6">
        <f t="shared" si="22"/>
        <v>10</v>
      </c>
      <c r="N117" s="78">
        <v>100</v>
      </c>
      <c r="O117">
        <f t="shared" si="16"/>
        <v>0.5</v>
      </c>
      <c r="P117" s="78">
        <v>50</v>
      </c>
      <c r="Q117">
        <f t="shared" si="17"/>
        <v>0.3</v>
      </c>
      <c r="R117" s="75">
        <v>15</v>
      </c>
      <c r="S117" s="6">
        <f t="shared" si="18"/>
        <v>0.15</v>
      </c>
    </row>
    <row r="118" spans="1:19" x14ac:dyDescent="0.25">
      <c r="A118" s="37" t="s">
        <v>93</v>
      </c>
      <c r="B118" s="6" t="s">
        <v>166</v>
      </c>
      <c r="C118" s="67">
        <v>36000</v>
      </c>
      <c r="D118" s="6">
        <f>(C118/12)*9</f>
        <v>27000</v>
      </c>
      <c r="E118" s="67">
        <v>0</v>
      </c>
      <c r="F118" s="6">
        <f>SUM(E110:E118)</f>
        <v>27990</v>
      </c>
      <c r="G118" s="36" t="str">
        <f t="shared" si="15"/>
        <v>Farol Verde</v>
      </c>
      <c r="H118">
        <f t="shared" si="13"/>
        <v>0</v>
      </c>
      <c r="I118" s="6">
        <f t="shared" si="14"/>
        <v>9</v>
      </c>
      <c r="J118" s="77">
        <v>15</v>
      </c>
      <c r="K118" s="77">
        <v>0</v>
      </c>
      <c r="L118" s="6">
        <f>$L110+L117</f>
        <v>11.25</v>
      </c>
      <c r="M118" s="6">
        <f t="shared" si="22"/>
        <v>10</v>
      </c>
      <c r="N118" s="78">
        <v>100</v>
      </c>
      <c r="O118">
        <f t="shared" si="16"/>
        <v>0.5</v>
      </c>
      <c r="P118" s="78">
        <v>50</v>
      </c>
      <c r="Q118">
        <f t="shared" si="17"/>
        <v>0.3</v>
      </c>
      <c r="R118" s="75">
        <v>15</v>
      </c>
      <c r="S118" s="6">
        <f t="shared" si="18"/>
        <v>0.15</v>
      </c>
    </row>
    <row r="119" spans="1:19" x14ac:dyDescent="0.25">
      <c r="A119" s="37" t="s">
        <v>93</v>
      </c>
      <c r="B119" s="6" t="s">
        <v>167</v>
      </c>
      <c r="C119" s="67">
        <v>36000</v>
      </c>
      <c r="D119" s="6">
        <f>(C119/12)*10</f>
        <v>30000</v>
      </c>
      <c r="E119" s="67">
        <v>790</v>
      </c>
      <c r="F119" s="6">
        <f>SUM(E110:E119)</f>
        <v>28780</v>
      </c>
      <c r="G119" s="36" t="str">
        <f t="shared" si="15"/>
        <v>Farol Amarelo</v>
      </c>
      <c r="H119">
        <f t="shared" si="13"/>
        <v>1220</v>
      </c>
      <c r="I119" s="6">
        <f t="shared" si="14"/>
        <v>10</v>
      </c>
      <c r="J119" s="75">
        <v>15</v>
      </c>
      <c r="K119" s="75">
        <v>1</v>
      </c>
      <c r="L119" s="6">
        <f>$L110+L118</f>
        <v>12.5</v>
      </c>
      <c r="M119" s="6">
        <f t="shared" si="22"/>
        <v>11</v>
      </c>
      <c r="N119" s="78">
        <v>100</v>
      </c>
      <c r="O119">
        <f t="shared" si="16"/>
        <v>0.5</v>
      </c>
      <c r="P119" s="78">
        <v>50</v>
      </c>
      <c r="Q119">
        <f t="shared" si="17"/>
        <v>0.3</v>
      </c>
      <c r="R119" s="75">
        <v>15</v>
      </c>
      <c r="S119" s="6">
        <f t="shared" si="18"/>
        <v>0.15</v>
      </c>
    </row>
    <row r="120" spans="1:19" x14ac:dyDescent="0.25">
      <c r="A120" s="37" t="s">
        <v>93</v>
      </c>
      <c r="B120" s="6" t="s">
        <v>168</v>
      </c>
      <c r="C120" s="67">
        <v>36000</v>
      </c>
      <c r="D120" s="6">
        <f>(C120/12)*11</f>
        <v>33000</v>
      </c>
      <c r="E120" s="67">
        <v>1189</v>
      </c>
      <c r="F120" s="6">
        <f>SUM(E110:E120)</f>
        <v>29969</v>
      </c>
      <c r="G120" s="36" t="str">
        <f t="shared" si="15"/>
        <v>Farol Amarelo</v>
      </c>
      <c r="H120">
        <f t="shared" si="13"/>
        <v>3031</v>
      </c>
      <c r="I120" s="6">
        <f t="shared" si="14"/>
        <v>11</v>
      </c>
      <c r="J120" s="77">
        <v>15</v>
      </c>
      <c r="K120" s="77">
        <v>2</v>
      </c>
      <c r="L120" s="6">
        <f>L110+L119</f>
        <v>13.75</v>
      </c>
      <c r="M120" s="6">
        <f t="shared" si="22"/>
        <v>13</v>
      </c>
      <c r="N120" s="78">
        <v>100</v>
      </c>
      <c r="O120">
        <f t="shared" si="16"/>
        <v>0.5</v>
      </c>
      <c r="P120" s="78">
        <v>50</v>
      </c>
      <c r="Q120">
        <f t="shared" si="17"/>
        <v>0.3</v>
      </c>
      <c r="R120" s="75">
        <v>15</v>
      </c>
      <c r="S120" s="6">
        <f t="shared" si="18"/>
        <v>0.15</v>
      </c>
    </row>
    <row r="121" spans="1:19" x14ac:dyDescent="0.25">
      <c r="A121" s="37" t="s">
        <v>93</v>
      </c>
      <c r="B121" s="6" t="s">
        <v>169</v>
      </c>
      <c r="C121" s="67">
        <v>36000</v>
      </c>
      <c r="D121" s="6">
        <f>(C121/12)*12</f>
        <v>36000</v>
      </c>
      <c r="E121" s="67">
        <v>11210</v>
      </c>
      <c r="F121" s="6">
        <f>SUM(E110:E121)</f>
        <v>41179</v>
      </c>
      <c r="G121" s="36" t="str">
        <f t="shared" si="15"/>
        <v>Farol Verde</v>
      </c>
      <c r="H121">
        <f t="shared" si="13"/>
        <v>0</v>
      </c>
      <c r="I121" s="6">
        <f t="shared" si="14"/>
        <v>12</v>
      </c>
      <c r="J121" s="75">
        <v>15</v>
      </c>
      <c r="K121" s="75">
        <v>2</v>
      </c>
      <c r="L121" s="6">
        <f>$L110+L120</f>
        <v>15</v>
      </c>
      <c r="M121" s="6">
        <f t="shared" si="22"/>
        <v>15</v>
      </c>
      <c r="N121" s="78">
        <v>100</v>
      </c>
      <c r="O121">
        <f t="shared" si="16"/>
        <v>0.5</v>
      </c>
      <c r="P121" s="78">
        <v>50</v>
      </c>
      <c r="Q121">
        <f t="shared" si="17"/>
        <v>0.3</v>
      </c>
      <c r="R121" s="75">
        <v>15</v>
      </c>
      <c r="S121" s="6">
        <f t="shared" si="18"/>
        <v>0.15</v>
      </c>
    </row>
    <row r="122" spans="1:19" x14ac:dyDescent="0.25">
      <c r="A122" s="37" t="s">
        <v>119</v>
      </c>
      <c r="B122" s="6" t="s">
        <v>158</v>
      </c>
      <c r="C122" s="67">
        <v>3600</v>
      </c>
      <c r="D122" s="6">
        <f>(C122/12)*1</f>
        <v>300</v>
      </c>
      <c r="E122" s="67">
        <v>0</v>
      </c>
      <c r="F122" s="6">
        <f>E122</f>
        <v>0</v>
      </c>
      <c r="G122" s="36" t="str">
        <f t="shared" si="15"/>
        <v>Farol Vermelho</v>
      </c>
      <c r="H122">
        <f t="shared" si="13"/>
        <v>300</v>
      </c>
      <c r="I122" s="6">
        <f t="shared" si="14"/>
        <v>1</v>
      </c>
      <c r="J122" s="77">
        <v>6</v>
      </c>
      <c r="K122" s="77">
        <v>0</v>
      </c>
      <c r="L122" s="6">
        <f>J122/12</f>
        <v>0.5</v>
      </c>
      <c r="M122" s="6">
        <f>K122</f>
        <v>0</v>
      </c>
      <c r="N122" s="78">
        <v>100</v>
      </c>
      <c r="O122">
        <f t="shared" si="16"/>
        <v>0.5</v>
      </c>
      <c r="P122" s="78">
        <v>50</v>
      </c>
      <c r="Q122">
        <f t="shared" si="17"/>
        <v>0.3</v>
      </c>
      <c r="R122" s="75">
        <v>15</v>
      </c>
      <c r="S122" s="6">
        <f t="shared" si="18"/>
        <v>0.15</v>
      </c>
    </row>
    <row r="123" spans="1:19" x14ac:dyDescent="0.25">
      <c r="A123" s="37" t="s">
        <v>119</v>
      </c>
      <c r="B123" s="6" t="s">
        <v>159</v>
      </c>
      <c r="C123" s="67">
        <v>3600</v>
      </c>
      <c r="D123" s="6">
        <f>(C123/12)*2</f>
        <v>600</v>
      </c>
      <c r="E123" s="67">
        <v>0</v>
      </c>
      <c r="F123" s="6">
        <f>SUM(E122:E123)</f>
        <v>0</v>
      </c>
      <c r="G123" s="36" t="str">
        <f t="shared" si="15"/>
        <v>Farol Vermelho</v>
      </c>
      <c r="H123">
        <f t="shared" si="13"/>
        <v>600</v>
      </c>
      <c r="I123" s="6">
        <f t="shared" si="14"/>
        <v>2</v>
      </c>
      <c r="J123" s="75">
        <v>6</v>
      </c>
      <c r="K123" s="75">
        <v>0</v>
      </c>
      <c r="L123" s="6">
        <f>L122+L122</f>
        <v>1</v>
      </c>
      <c r="M123" s="6">
        <f>M122+K123</f>
        <v>0</v>
      </c>
      <c r="N123" s="78">
        <v>100</v>
      </c>
      <c r="O123">
        <f t="shared" si="16"/>
        <v>0.5</v>
      </c>
      <c r="P123" s="78">
        <v>50</v>
      </c>
      <c r="Q123">
        <f t="shared" si="17"/>
        <v>0.3</v>
      </c>
      <c r="R123" s="75">
        <v>15</v>
      </c>
      <c r="S123" s="6">
        <f t="shared" si="18"/>
        <v>0.15</v>
      </c>
    </row>
    <row r="124" spans="1:19" x14ac:dyDescent="0.25">
      <c r="A124" s="37" t="s">
        <v>119</v>
      </c>
      <c r="B124" s="6" t="s">
        <v>160</v>
      </c>
      <c r="C124" s="67">
        <v>3600</v>
      </c>
      <c r="D124" s="6">
        <f>(C124/12)*3</f>
        <v>900</v>
      </c>
      <c r="E124" s="67">
        <v>0</v>
      </c>
      <c r="F124" s="6">
        <f>SUM(E122:E124)</f>
        <v>0</v>
      </c>
      <c r="G124" s="36" t="str">
        <f t="shared" si="15"/>
        <v>Farol Vermelho</v>
      </c>
      <c r="H124">
        <f t="shared" si="13"/>
        <v>900</v>
      </c>
      <c r="I124" s="6">
        <f t="shared" si="14"/>
        <v>3</v>
      </c>
      <c r="J124" s="77">
        <v>6</v>
      </c>
      <c r="K124" s="77">
        <v>0</v>
      </c>
      <c r="L124" s="6">
        <f>$L122+L123</f>
        <v>1.5</v>
      </c>
      <c r="M124" s="6">
        <f t="shared" ref="M124:M133" si="23">M123+K124</f>
        <v>0</v>
      </c>
      <c r="N124" s="78">
        <v>100</v>
      </c>
      <c r="O124">
        <f t="shared" si="16"/>
        <v>0.5</v>
      </c>
      <c r="P124" s="78">
        <v>50</v>
      </c>
      <c r="Q124">
        <f t="shared" si="17"/>
        <v>0.3</v>
      </c>
      <c r="R124" s="75">
        <v>15</v>
      </c>
      <c r="S124" s="6">
        <f t="shared" si="18"/>
        <v>0.15</v>
      </c>
    </row>
    <row r="125" spans="1:19" x14ac:dyDescent="0.25">
      <c r="A125" s="37" t="s">
        <v>119</v>
      </c>
      <c r="B125" s="6" t="s">
        <v>161</v>
      </c>
      <c r="C125" s="67">
        <v>3600</v>
      </c>
      <c r="D125" s="6">
        <f>(C125/12)*4</f>
        <v>1200</v>
      </c>
      <c r="E125" s="67">
        <v>285</v>
      </c>
      <c r="F125" s="6">
        <f>SUM(E122:E125)</f>
        <v>285</v>
      </c>
      <c r="G125" s="36" t="str">
        <f t="shared" si="15"/>
        <v>Farol Vermelho</v>
      </c>
      <c r="H125">
        <f t="shared" si="13"/>
        <v>915</v>
      </c>
      <c r="I125" s="6">
        <f t="shared" si="14"/>
        <v>4</v>
      </c>
      <c r="J125" s="75">
        <v>6</v>
      </c>
      <c r="K125" s="75">
        <v>3</v>
      </c>
      <c r="L125" s="6">
        <f>$L122+L124</f>
        <v>2</v>
      </c>
      <c r="M125" s="6">
        <f t="shared" si="23"/>
        <v>3</v>
      </c>
      <c r="N125" s="78">
        <v>100</v>
      </c>
      <c r="O125">
        <f t="shared" si="16"/>
        <v>0.5</v>
      </c>
      <c r="P125" s="78">
        <v>50</v>
      </c>
      <c r="Q125">
        <f t="shared" si="17"/>
        <v>0.3</v>
      </c>
      <c r="R125" s="75">
        <v>15</v>
      </c>
      <c r="S125" s="6">
        <f t="shared" si="18"/>
        <v>0.15</v>
      </c>
    </row>
    <row r="126" spans="1:19" x14ac:dyDescent="0.25">
      <c r="A126" s="37" t="s">
        <v>119</v>
      </c>
      <c r="B126" s="6" t="s">
        <v>162</v>
      </c>
      <c r="C126" s="67">
        <v>3600</v>
      </c>
      <c r="D126" s="6">
        <f>(C126/12)*5</f>
        <v>1500</v>
      </c>
      <c r="E126" s="67">
        <v>0</v>
      </c>
      <c r="F126" s="6">
        <f>SUM(E122:E126)</f>
        <v>285</v>
      </c>
      <c r="G126" s="36" t="str">
        <f t="shared" si="15"/>
        <v>Farol Vermelho</v>
      </c>
      <c r="H126">
        <f t="shared" si="13"/>
        <v>1215</v>
      </c>
      <c r="I126" s="6">
        <f t="shared" si="14"/>
        <v>5</v>
      </c>
      <c r="J126" s="77">
        <v>6</v>
      </c>
      <c r="K126" s="77">
        <v>0</v>
      </c>
      <c r="L126" s="6">
        <f>L122+L125</f>
        <v>2.5</v>
      </c>
      <c r="M126" s="6">
        <f t="shared" si="23"/>
        <v>3</v>
      </c>
      <c r="N126" s="78">
        <v>100</v>
      </c>
      <c r="O126">
        <f t="shared" si="16"/>
        <v>0.5</v>
      </c>
      <c r="P126" s="78">
        <v>50</v>
      </c>
      <c r="Q126">
        <f t="shared" si="17"/>
        <v>0.3</v>
      </c>
      <c r="R126" s="75">
        <v>15</v>
      </c>
      <c r="S126" s="6">
        <f t="shared" si="18"/>
        <v>0.15</v>
      </c>
    </row>
    <row r="127" spans="1:19" x14ac:dyDescent="0.25">
      <c r="A127" s="37" t="s">
        <v>119</v>
      </c>
      <c r="B127" s="6" t="s">
        <v>163</v>
      </c>
      <c r="C127" s="67">
        <v>3600</v>
      </c>
      <c r="D127" s="6">
        <f>(C127/12)*6</f>
        <v>1800</v>
      </c>
      <c r="E127" s="67">
        <v>0</v>
      </c>
      <c r="F127" s="6">
        <f>SUM(E122:E127)</f>
        <v>285</v>
      </c>
      <c r="G127" s="36" t="str">
        <f t="shared" si="15"/>
        <v>Farol Vermelho</v>
      </c>
      <c r="H127">
        <f t="shared" si="13"/>
        <v>1515</v>
      </c>
      <c r="I127" s="6">
        <f t="shared" si="14"/>
        <v>6</v>
      </c>
      <c r="J127" s="75">
        <v>6</v>
      </c>
      <c r="K127" s="75">
        <v>0</v>
      </c>
      <c r="L127" s="6">
        <f>$L122+L126</f>
        <v>3</v>
      </c>
      <c r="M127" s="6">
        <f t="shared" si="23"/>
        <v>3</v>
      </c>
      <c r="N127" s="78">
        <v>100</v>
      </c>
      <c r="O127">
        <f t="shared" si="16"/>
        <v>0.5</v>
      </c>
      <c r="P127" s="78">
        <v>50</v>
      </c>
      <c r="Q127">
        <f t="shared" si="17"/>
        <v>0.3</v>
      </c>
      <c r="R127" s="75">
        <v>15</v>
      </c>
      <c r="S127" s="6">
        <f t="shared" si="18"/>
        <v>0.15</v>
      </c>
    </row>
    <row r="128" spans="1:19" x14ac:dyDescent="0.25">
      <c r="A128" s="37" t="s">
        <v>119</v>
      </c>
      <c r="B128" s="6" t="s">
        <v>164</v>
      </c>
      <c r="C128" s="67">
        <v>3600</v>
      </c>
      <c r="D128" s="6">
        <f>(C128/12)*7</f>
        <v>2100</v>
      </c>
      <c r="E128" s="67">
        <v>0</v>
      </c>
      <c r="F128" s="6">
        <f>SUM(E122:E128)</f>
        <v>285</v>
      </c>
      <c r="G128" s="36" t="str">
        <f t="shared" si="15"/>
        <v>Farol Vermelho</v>
      </c>
      <c r="H128">
        <f t="shared" si="13"/>
        <v>1815</v>
      </c>
      <c r="I128" s="6">
        <f t="shared" si="14"/>
        <v>7</v>
      </c>
      <c r="J128" s="77">
        <v>6</v>
      </c>
      <c r="K128" s="77">
        <v>0</v>
      </c>
      <c r="L128" s="6">
        <f>$L122+L127</f>
        <v>3.5</v>
      </c>
      <c r="M128" s="6">
        <f t="shared" si="23"/>
        <v>3</v>
      </c>
      <c r="N128" s="78">
        <v>100</v>
      </c>
      <c r="O128">
        <f t="shared" si="16"/>
        <v>0.5</v>
      </c>
      <c r="P128" s="78">
        <v>50</v>
      </c>
      <c r="Q128">
        <f t="shared" si="17"/>
        <v>0.3</v>
      </c>
      <c r="R128" s="75">
        <v>15</v>
      </c>
      <c r="S128" s="6">
        <f t="shared" si="18"/>
        <v>0.15</v>
      </c>
    </row>
    <row r="129" spans="1:19" x14ac:dyDescent="0.25">
      <c r="A129" s="37" t="s">
        <v>119</v>
      </c>
      <c r="B129" s="6" t="s">
        <v>165</v>
      </c>
      <c r="C129" s="67">
        <v>3600</v>
      </c>
      <c r="D129" s="6">
        <f>(C129/12)*8</f>
        <v>2400</v>
      </c>
      <c r="E129" s="67">
        <v>0</v>
      </c>
      <c r="F129" s="6">
        <f>SUM(E122:E129)</f>
        <v>285</v>
      </c>
      <c r="G129" s="36" t="str">
        <f t="shared" si="15"/>
        <v>Farol Vermelho</v>
      </c>
      <c r="H129">
        <f t="shared" si="13"/>
        <v>2115</v>
      </c>
      <c r="I129" s="6">
        <f t="shared" si="14"/>
        <v>8</v>
      </c>
      <c r="J129" s="75">
        <v>6</v>
      </c>
      <c r="K129" s="75">
        <v>0</v>
      </c>
      <c r="L129" s="6">
        <f>L122+L128</f>
        <v>4</v>
      </c>
      <c r="M129" s="6">
        <f t="shared" si="23"/>
        <v>3</v>
      </c>
      <c r="N129" s="78">
        <v>100</v>
      </c>
      <c r="O129">
        <f t="shared" si="16"/>
        <v>0.5</v>
      </c>
      <c r="P129" s="78">
        <v>50</v>
      </c>
      <c r="Q129">
        <f t="shared" si="17"/>
        <v>0.3</v>
      </c>
      <c r="R129" s="75">
        <v>15</v>
      </c>
      <c r="S129" s="6">
        <f t="shared" si="18"/>
        <v>0.15</v>
      </c>
    </row>
    <row r="130" spans="1:19" x14ac:dyDescent="0.25">
      <c r="A130" s="37" t="s">
        <v>119</v>
      </c>
      <c r="B130" s="6" t="s">
        <v>166</v>
      </c>
      <c r="C130" s="67">
        <v>3600</v>
      </c>
      <c r="D130" s="6">
        <f>(C130/12)*9</f>
        <v>2700</v>
      </c>
      <c r="E130" s="67">
        <v>550</v>
      </c>
      <c r="F130" s="6">
        <f>SUM(E122:E130)</f>
        <v>835</v>
      </c>
      <c r="G130" s="36" t="str">
        <f t="shared" si="15"/>
        <v>Farol Vermelho</v>
      </c>
      <c r="H130">
        <f t="shared" ref="H130:H193" si="24">IF(D130-F130&lt;0,0,D130-F130)</f>
        <v>1865</v>
      </c>
      <c r="I130" s="6">
        <f t="shared" ref="I130:I193" si="25">_xlfn.IFS(B130="Janeiro",1,B130="Fevereiro",2,B130="Março",3,B130="Abril",4,B130="Maio",5,B130="Junho",6,B130="Julho",7,B130="Agosto",8,B130="Setembro",9,B130="Outubro",10,B130="Novembro",11,B130="Dezembro",12,TRUE,0)</f>
        <v>9</v>
      </c>
      <c r="J130" s="77">
        <v>6</v>
      </c>
      <c r="K130" s="77">
        <v>1</v>
      </c>
      <c r="L130" s="6">
        <f>$L122+L129</f>
        <v>4.5</v>
      </c>
      <c r="M130" s="6">
        <f t="shared" si="23"/>
        <v>4</v>
      </c>
      <c r="N130" s="78">
        <v>100</v>
      </c>
      <c r="O130">
        <f t="shared" si="16"/>
        <v>0.5</v>
      </c>
      <c r="P130" s="78">
        <v>50</v>
      </c>
      <c r="Q130">
        <f t="shared" si="17"/>
        <v>0.3</v>
      </c>
      <c r="R130" s="75">
        <v>15</v>
      </c>
      <c r="S130" s="6">
        <f t="shared" si="18"/>
        <v>0.15</v>
      </c>
    </row>
    <row r="131" spans="1:19" x14ac:dyDescent="0.25">
      <c r="A131" s="37" t="s">
        <v>119</v>
      </c>
      <c r="B131" s="6" t="s">
        <v>167</v>
      </c>
      <c r="C131" s="67">
        <v>3600</v>
      </c>
      <c r="D131" s="6">
        <f>(C131/12)*10</f>
        <v>3000</v>
      </c>
      <c r="E131" s="67">
        <v>500</v>
      </c>
      <c r="F131" s="6">
        <f>SUM(E122:E131)</f>
        <v>1335</v>
      </c>
      <c r="G131" s="36" t="str">
        <f t="shared" ref="G131:G194" si="26">_xlfn.IFS(F131&gt;D131,"Farol Verde",F131&gt;=D131*0.85,"Farol Amarelo",F131&lt;D131*0.85,"Farol Vermelho","Verdadeiro",0)</f>
        <v>Farol Vermelho</v>
      </c>
      <c r="H131">
        <f t="shared" si="24"/>
        <v>1665</v>
      </c>
      <c r="I131" s="6">
        <f t="shared" si="25"/>
        <v>10</v>
      </c>
      <c r="J131" s="75">
        <v>6</v>
      </c>
      <c r="K131" s="75">
        <v>4</v>
      </c>
      <c r="L131" s="6">
        <f>$L122+L130</f>
        <v>5</v>
      </c>
      <c r="M131" s="6">
        <f t="shared" si="23"/>
        <v>8</v>
      </c>
      <c r="N131" s="78">
        <v>100</v>
      </c>
      <c r="O131">
        <f t="shared" ref="O131:O194" si="27">P131/N131</f>
        <v>0.5</v>
      </c>
      <c r="P131" s="78">
        <v>50</v>
      </c>
      <c r="Q131">
        <f t="shared" ref="Q131:Q194" si="28">R131/P131</f>
        <v>0.3</v>
      </c>
      <c r="R131" s="75">
        <v>15</v>
      </c>
      <c r="S131" s="6">
        <f t="shared" ref="S131:S194" si="29">R131/N131</f>
        <v>0.15</v>
      </c>
    </row>
    <row r="132" spans="1:19" x14ac:dyDescent="0.25">
      <c r="A132" s="37" t="s">
        <v>119</v>
      </c>
      <c r="B132" s="6" t="s">
        <v>168</v>
      </c>
      <c r="C132" s="67">
        <v>3600</v>
      </c>
      <c r="D132" s="6">
        <f>(C132/12)*11</f>
        <v>3300</v>
      </c>
      <c r="E132" s="67">
        <v>0</v>
      </c>
      <c r="F132" s="6">
        <f>SUM(E122:E132)</f>
        <v>1335</v>
      </c>
      <c r="G132" s="36" t="str">
        <f t="shared" si="26"/>
        <v>Farol Vermelho</v>
      </c>
      <c r="H132">
        <f t="shared" si="24"/>
        <v>1965</v>
      </c>
      <c r="I132" s="6">
        <f t="shared" si="25"/>
        <v>11</v>
      </c>
      <c r="J132" s="77">
        <v>6</v>
      </c>
      <c r="K132" s="77">
        <v>0</v>
      </c>
      <c r="L132" s="6">
        <f>L122+L131</f>
        <v>5.5</v>
      </c>
      <c r="M132" s="6">
        <f t="shared" si="23"/>
        <v>8</v>
      </c>
      <c r="N132" s="78">
        <v>100</v>
      </c>
      <c r="O132">
        <f t="shared" si="27"/>
        <v>0.5</v>
      </c>
      <c r="P132" s="78">
        <v>50</v>
      </c>
      <c r="Q132">
        <f t="shared" si="28"/>
        <v>0.3</v>
      </c>
      <c r="R132" s="75">
        <v>15</v>
      </c>
      <c r="S132" s="6">
        <f t="shared" si="29"/>
        <v>0.15</v>
      </c>
    </row>
    <row r="133" spans="1:19" x14ac:dyDescent="0.25">
      <c r="A133" s="37" t="s">
        <v>119</v>
      </c>
      <c r="B133" s="6" t="s">
        <v>169</v>
      </c>
      <c r="C133" s="67">
        <v>3600</v>
      </c>
      <c r="D133" s="6">
        <f>(C133/12)*12</f>
        <v>3600</v>
      </c>
      <c r="E133" s="67">
        <v>300</v>
      </c>
      <c r="F133" s="6">
        <f>SUM(E122:E133)</f>
        <v>1635</v>
      </c>
      <c r="G133" s="36" t="str">
        <f t="shared" si="26"/>
        <v>Farol Vermelho</v>
      </c>
      <c r="H133">
        <f t="shared" si="24"/>
        <v>1965</v>
      </c>
      <c r="I133" s="6">
        <f t="shared" si="25"/>
        <v>12</v>
      </c>
      <c r="J133" s="75">
        <v>6</v>
      </c>
      <c r="K133" s="75">
        <v>1</v>
      </c>
      <c r="L133" s="6">
        <f>$L122+L132</f>
        <v>6</v>
      </c>
      <c r="M133" s="6">
        <f t="shared" si="23"/>
        <v>9</v>
      </c>
      <c r="N133" s="78">
        <v>100</v>
      </c>
      <c r="O133">
        <f t="shared" si="27"/>
        <v>0.5</v>
      </c>
      <c r="P133" s="78">
        <v>50</v>
      </c>
      <c r="Q133">
        <f t="shared" si="28"/>
        <v>0.3</v>
      </c>
      <c r="R133" s="75">
        <v>15</v>
      </c>
      <c r="S133" s="6">
        <f t="shared" si="29"/>
        <v>0.15</v>
      </c>
    </row>
    <row r="134" spans="1:19" x14ac:dyDescent="0.25">
      <c r="A134" s="37" t="s">
        <v>123</v>
      </c>
      <c r="B134" s="6" t="s">
        <v>158</v>
      </c>
      <c r="C134" s="67">
        <v>90000</v>
      </c>
      <c r="D134" s="6">
        <f>(C134/12)*1</f>
        <v>7500</v>
      </c>
      <c r="E134" s="67">
        <v>1870</v>
      </c>
      <c r="F134" s="6">
        <f>E134</f>
        <v>1870</v>
      </c>
      <c r="G134" s="36" t="str">
        <f t="shared" si="26"/>
        <v>Farol Vermelho</v>
      </c>
      <c r="H134">
        <f t="shared" si="24"/>
        <v>5630</v>
      </c>
      <c r="I134" s="6">
        <f t="shared" si="25"/>
        <v>1</v>
      </c>
      <c r="J134" s="77">
        <v>40</v>
      </c>
      <c r="K134" s="77">
        <v>1</v>
      </c>
      <c r="L134" s="6">
        <f>J134/12</f>
        <v>3.3333333333333335</v>
      </c>
      <c r="M134" s="6">
        <f>K134</f>
        <v>1</v>
      </c>
      <c r="N134" s="78">
        <v>100</v>
      </c>
      <c r="O134">
        <f t="shared" si="27"/>
        <v>0.5</v>
      </c>
      <c r="P134" s="78">
        <v>50</v>
      </c>
      <c r="Q134">
        <f t="shared" si="28"/>
        <v>0.3</v>
      </c>
      <c r="R134" s="75">
        <v>15</v>
      </c>
      <c r="S134" s="6">
        <f t="shared" si="29"/>
        <v>0.15</v>
      </c>
    </row>
    <row r="135" spans="1:19" x14ac:dyDescent="0.25">
      <c r="A135" s="37" t="s">
        <v>123</v>
      </c>
      <c r="B135" s="6" t="s">
        <v>159</v>
      </c>
      <c r="C135" s="67">
        <v>90000</v>
      </c>
      <c r="D135" s="6">
        <f>(C135/12)*2</f>
        <v>15000</v>
      </c>
      <c r="E135" s="67">
        <v>1662</v>
      </c>
      <c r="F135" s="6">
        <f>SUM(E134:E135)</f>
        <v>3532</v>
      </c>
      <c r="G135" s="36" t="str">
        <f t="shared" si="26"/>
        <v>Farol Vermelho</v>
      </c>
      <c r="H135">
        <f t="shared" si="24"/>
        <v>11468</v>
      </c>
      <c r="I135" s="6">
        <f t="shared" si="25"/>
        <v>2</v>
      </c>
      <c r="J135" s="75">
        <v>40</v>
      </c>
      <c r="K135" s="75">
        <v>2</v>
      </c>
      <c r="L135" s="6">
        <f>L134+L134</f>
        <v>6.666666666666667</v>
      </c>
      <c r="M135" s="6">
        <f>M134+K135</f>
        <v>3</v>
      </c>
      <c r="N135" s="78">
        <v>100</v>
      </c>
      <c r="O135">
        <f t="shared" si="27"/>
        <v>0.5</v>
      </c>
      <c r="P135" s="78">
        <v>50</v>
      </c>
      <c r="Q135">
        <f t="shared" si="28"/>
        <v>0.3</v>
      </c>
      <c r="R135" s="75">
        <v>15</v>
      </c>
      <c r="S135" s="6">
        <f t="shared" si="29"/>
        <v>0.15</v>
      </c>
    </row>
    <row r="136" spans="1:19" x14ac:dyDescent="0.25">
      <c r="A136" s="37" t="s">
        <v>123</v>
      </c>
      <c r="B136" s="6" t="s">
        <v>160</v>
      </c>
      <c r="C136" s="67">
        <v>90000</v>
      </c>
      <c r="D136" s="6">
        <f>(C136/12)*3</f>
        <v>22500</v>
      </c>
      <c r="E136" s="67">
        <v>3870</v>
      </c>
      <c r="F136" s="6">
        <f>SUM(E134:E136)</f>
        <v>7402</v>
      </c>
      <c r="G136" s="36" t="str">
        <f t="shared" si="26"/>
        <v>Farol Vermelho</v>
      </c>
      <c r="H136">
        <f t="shared" si="24"/>
        <v>15098</v>
      </c>
      <c r="I136" s="6">
        <f t="shared" si="25"/>
        <v>3</v>
      </c>
      <c r="J136" s="77">
        <v>40</v>
      </c>
      <c r="K136" s="77">
        <v>3</v>
      </c>
      <c r="L136" s="6">
        <f>$L134+L135</f>
        <v>10</v>
      </c>
      <c r="M136" s="6">
        <f t="shared" ref="M136:M145" si="30">M135+K136</f>
        <v>6</v>
      </c>
      <c r="N136" s="78">
        <v>100</v>
      </c>
      <c r="O136">
        <f t="shared" si="27"/>
        <v>0.5</v>
      </c>
      <c r="P136" s="78">
        <v>50</v>
      </c>
      <c r="Q136">
        <f t="shared" si="28"/>
        <v>0.3</v>
      </c>
      <c r="R136" s="75">
        <v>15</v>
      </c>
      <c r="S136" s="6">
        <f t="shared" si="29"/>
        <v>0.15</v>
      </c>
    </row>
    <row r="137" spans="1:19" x14ac:dyDescent="0.25">
      <c r="A137" s="37" t="s">
        <v>123</v>
      </c>
      <c r="B137" s="6" t="s">
        <v>161</v>
      </c>
      <c r="C137" s="67">
        <v>90000</v>
      </c>
      <c r="D137" s="6">
        <f>(C137/12)*4</f>
        <v>30000</v>
      </c>
      <c r="E137" s="67">
        <v>2870</v>
      </c>
      <c r="F137" s="6">
        <f>SUM(E134:E137)</f>
        <v>10272</v>
      </c>
      <c r="G137" s="36" t="str">
        <f t="shared" si="26"/>
        <v>Farol Vermelho</v>
      </c>
      <c r="H137">
        <f t="shared" si="24"/>
        <v>19728</v>
      </c>
      <c r="I137" s="6">
        <f t="shared" si="25"/>
        <v>4</v>
      </c>
      <c r="J137" s="75">
        <v>40</v>
      </c>
      <c r="K137" s="75">
        <v>1</v>
      </c>
      <c r="L137" s="6">
        <f>$L134+L136</f>
        <v>13.333333333333334</v>
      </c>
      <c r="M137" s="6">
        <f t="shared" si="30"/>
        <v>7</v>
      </c>
      <c r="N137" s="78">
        <v>100</v>
      </c>
      <c r="O137">
        <f t="shared" si="27"/>
        <v>0.5</v>
      </c>
      <c r="P137" s="78">
        <v>50</v>
      </c>
      <c r="Q137">
        <f t="shared" si="28"/>
        <v>0.3</v>
      </c>
      <c r="R137" s="75">
        <v>15</v>
      </c>
      <c r="S137" s="6">
        <f t="shared" si="29"/>
        <v>0.15</v>
      </c>
    </row>
    <row r="138" spans="1:19" x14ac:dyDescent="0.25">
      <c r="A138" s="37" t="s">
        <v>123</v>
      </c>
      <c r="B138" s="6" t="s">
        <v>162</v>
      </c>
      <c r="C138" s="67">
        <v>90000</v>
      </c>
      <c r="D138" s="6">
        <f>(C138/12)*5</f>
        <v>37500</v>
      </c>
      <c r="E138" s="67">
        <v>3800</v>
      </c>
      <c r="F138" s="6">
        <f>SUM(E134:E138)</f>
        <v>14072</v>
      </c>
      <c r="G138" s="36" t="str">
        <f t="shared" si="26"/>
        <v>Farol Vermelho</v>
      </c>
      <c r="H138">
        <f t="shared" si="24"/>
        <v>23428</v>
      </c>
      <c r="I138" s="6">
        <f t="shared" si="25"/>
        <v>5</v>
      </c>
      <c r="J138" s="77">
        <v>40</v>
      </c>
      <c r="K138" s="77">
        <v>4</v>
      </c>
      <c r="L138" s="6">
        <f>L134+L137</f>
        <v>16.666666666666668</v>
      </c>
      <c r="M138" s="6">
        <f t="shared" si="30"/>
        <v>11</v>
      </c>
      <c r="N138" s="78">
        <v>100</v>
      </c>
      <c r="O138">
        <f t="shared" si="27"/>
        <v>0.5</v>
      </c>
      <c r="P138" s="78">
        <v>50</v>
      </c>
      <c r="Q138">
        <f t="shared" si="28"/>
        <v>0.3</v>
      </c>
      <c r="R138" s="75">
        <v>15</v>
      </c>
      <c r="S138" s="6">
        <f t="shared" si="29"/>
        <v>0.15</v>
      </c>
    </row>
    <row r="139" spans="1:19" x14ac:dyDescent="0.25">
      <c r="A139" s="37" t="s">
        <v>123</v>
      </c>
      <c r="B139" s="6" t="s">
        <v>163</v>
      </c>
      <c r="C139" s="67">
        <v>90000</v>
      </c>
      <c r="D139" s="6">
        <f>(C139/12)*6</f>
        <v>45000</v>
      </c>
      <c r="E139" s="67">
        <v>2181</v>
      </c>
      <c r="F139" s="6">
        <f>SUM(E134:E139)</f>
        <v>16253</v>
      </c>
      <c r="G139" s="36" t="str">
        <f t="shared" si="26"/>
        <v>Farol Vermelho</v>
      </c>
      <c r="H139">
        <f t="shared" si="24"/>
        <v>28747</v>
      </c>
      <c r="I139" s="6">
        <f t="shared" si="25"/>
        <v>6</v>
      </c>
      <c r="J139" s="75">
        <v>40</v>
      </c>
      <c r="K139" s="75">
        <v>3</v>
      </c>
      <c r="L139" s="6">
        <f>$L134+L138</f>
        <v>20</v>
      </c>
      <c r="M139" s="6">
        <f t="shared" si="30"/>
        <v>14</v>
      </c>
      <c r="N139" s="78">
        <v>100</v>
      </c>
      <c r="O139">
        <f t="shared" si="27"/>
        <v>0.5</v>
      </c>
      <c r="P139" s="78">
        <v>50</v>
      </c>
      <c r="Q139">
        <f t="shared" si="28"/>
        <v>0.3</v>
      </c>
      <c r="R139" s="75">
        <v>15</v>
      </c>
      <c r="S139" s="6">
        <f t="shared" si="29"/>
        <v>0.15</v>
      </c>
    </row>
    <row r="140" spans="1:19" x14ac:dyDescent="0.25">
      <c r="A140" s="37" t="s">
        <v>123</v>
      </c>
      <c r="B140" s="6" t="s">
        <v>164</v>
      </c>
      <c r="C140" s="67">
        <v>90000</v>
      </c>
      <c r="D140" s="6">
        <f>(C140/12)*7</f>
        <v>52500</v>
      </c>
      <c r="E140" s="67">
        <v>2250</v>
      </c>
      <c r="F140" s="6">
        <f>SUM(E134:E140)</f>
        <v>18503</v>
      </c>
      <c r="G140" s="36" t="str">
        <f t="shared" si="26"/>
        <v>Farol Vermelho</v>
      </c>
      <c r="H140">
        <f t="shared" si="24"/>
        <v>33997</v>
      </c>
      <c r="I140" s="6">
        <f t="shared" si="25"/>
        <v>7</v>
      </c>
      <c r="J140" s="77">
        <v>40</v>
      </c>
      <c r="K140" s="77">
        <v>1</v>
      </c>
      <c r="L140" s="6">
        <f>$L134+L139</f>
        <v>23.333333333333332</v>
      </c>
      <c r="M140" s="6">
        <f t="shared" si="30"/>
        <v>15</v>
      </c>
      <c r="N140" s="78">
        <v>100</v>
      </c>
      <c r="O140">
        <f t="shared" si="27"/>
        <v>0.5</v>
      </c>
      <c r="P140" s="78">
        <v>50</v>
      </c>
      <c r="Q140">
        <f t="shared" si="28"/>
        <v>0.3</v>
      </c>
      <c r="R140" s="75">
        <v>15</v>
      </c>
      <c r="S140" s="6">
        <f t="shared" si="29"/>
        <v>0.15</v>
      </c>
    </row>
    <row r="141" spans="1:19" x14ac:dyDescent="0.25">
      <c r="A141" s="37" t="s">
        <v>123</v>
      </c>
      <c r="B141" s="6" t="s">
        <v>165</v>
      </c>
      <c r="C141" s="67">
        <v>90000</v>
      </c>
      <c r="D141" s="6">
        <f>(C141/12)*8</f>
        <v>60000</v>
      </c>
      <c r="E141" s="67">
        <v>2570</v>
      </c>
      <c r="F141" s="6">
        <f>SUM(E134:E141)</f>
        <v>21073</v>
      </c>
      <c r="G141" s="36" t="str">
        <f t="shared" si="26"/>
        <v>Farol Vermelho</v>
      </c>
      <c r="H141">
        <f t="shared" si="24"/>
        <v>38927</v>
      </c>
      <c r="I141" s="6">
        <f t="shared" si="25"/>
        <v>8</v>
      </c>
      <c r="J141" s="75">
        <v>40</v>
      </c>
      <c r="K141" s="75">
        <v>4</v>
      </c>
      <c r="L141" s="6">
        <f>L134+L140</f>
        <v>26.666666666666664</v>
      </c>
      <c r="M141" s="6">
        <f t="shared" si="30"/>
        <v>19</v>
      </c>
      <c r="N141" s="78">
        <v>100</v>
      </c>
      <c r="O141">
        <f t="shared" si="27"/>
        <v>0.5</v>
      </c>
      <c r="P141" s="78">
        <v>50</v>
      </c>
      <c r="Q141">
        <f t="shared" si="28"/>
        <v>0.3</v>
      </c>
      <c r="R141" s="75">
        <v>15</v>
      </c>
      <c r="S141" s="6">
        <f t="shared" si="29"/>
        <v>0.15</v>
      </c>
    </row>
    <row r="142" spans="1:19" x14ac:dyDescent="0.25">
      <c r="A142" s="37" t="s">
        <v>123</v>
      </c>
      <c r="B142" s="6" t="s">
        <v>166</v>
      </c>
      <c r="C142" s="67">
        <v>90000</v>
      </c>
      <c r="D142" s="6">
        <f>(C142/12)*9</f>
        <v>67500</v>
      </c>
      <c r="E142" s="67">
        <v>6730</v>
      </c>
      <c r="F142" s="6">
        <f>SUM(E134:E142)</f>
        <v>27803</v>
      </c>
      <c r="G142" s="36" t="str">
        <f t="shared" si="26"/>
        <v>Farol Vermelho</v>
      </c>
      <c r="H142">
        <f t="shared" si="24"/>
        <v>39697</v>
      </c>
      <c r="I142" s="6">
        <f t="shared" si="25"/>
        <v>9</v>
      </c>
      <c r="J142" s="77">
        <v>40</v>
      </c>
      <c r="K142" s="77">
        <v>3</v>
      </c>
      <c r="L142" s="6">
        <f>$L134+L141</f>
        <v>29.999999999999996</v>
      </c>
      <c r="M142" s="6">
        <f t="shared" si="30"/>
        <v>22</v>
      </c>
      <c r="N142" s="78">
        <v>100</v>
      </c>
      <c r="O142">
        <f t="shared" si="27"/>
        <v>0.5</v>
      </c>
      <c r="P142" s="78">
        <v>50</v>
      </c>
      <c r="Q142">
        <f t="shared" si="28"/>
        <v>0.3</v>
      </c>
      <c r="R142" s="75">
        <v>15</v>
      </c>
      <c r="S142" s="6">
        <f t="shared" si="29"/>
        <v>0.15</v>
      </c>
    </row>
    <row r="143" spans="1:19" x14ac:dyDescent="0.25">
      <c r="A143" s="37" t="s">
        <v>123</v>
      </c>
      <c r="B143" s="6" t="s">
        <v>167</v>
      </c>
      <c r="C143" s="67">
        <v>90000</v>
      </c>
      <c r="D143" s="6">
        <f>(C143/12)*10</f>
        <v>75000</v>
      </c>
      <c r="E143" s="67">
        <v>1974</v>
      </c>
      <c r="F143" s="6">
        <f>SUM(E134:E143)</f>
        <v>29777</v>
      </c>
      <c r="G143" s="36" t="str">
        <f t="shared" si="26"/>
        <v>Farol Vermelho</v>
      </c>
      <c r="H143">
        <f t="shared" si="24"/>
        <v>45223</v>
      </c>
      <c r="I143" s="6">
        <f t="shared" si="25"/>
        <v>10</v>
      </c>
      <c r="J143" s="75">
        <v>40</v>
      </c>
      <c r="K143" s="75">
        <v>3</v>
      </c>
      <c r="L143" s="6">
        <f>$L134+L142</f>
        <v>33.333333333333329</v>
      </c>
      <c r="M143" s="6">
        <f t="shared" si="30"/>
        <v>25</v>
      </c>
      <c r="N143" s="78">
        <v>100</v>
      </c>
      <c r="O143">
        <f t="shared" si="27"/>
        <v>0.5</v>
      </c>
      <c r="P143" s="78">
        <v>50</v>
      </c>
      <c r="Q143">
        <f t="shared" si="28"/>
        <v>0.3</v>
      </c>
      <c r="R143" s="75">
        <v>15</v>
      </c>
      <c r="S143" s="6">
        <f t="shared" si="29"/>
        <v>0.15</v>
      </c>
    </row>
    <row r="144" spans="1:19" x14ac:dyDescent="0.25">
      <c r="A144" s="37" t="s">
        <v>123</v>
      </c>
      <c r="B144" s="6" t="s">
        <v>168</v>
      </c>
      <c r="C144" s="67">
        <v>90000</v>
      </c>
      <c r="D144" s="6">
        <f>(C144/12)*11</f>
        <v>82500</v>
      </c>
      <c r="E144" s="67">
        <v>19200</v>
      </c>
      <c r="F144" s="6">
        <f>SUM(E134:E144)</f>
        <v>48977</v>
      </c>
      <c r="G144" s="36" t="str">
        <f t="shared" si="26"/>
        <v>Farol Vermelho</v>
      </c>
      <c r="H144">
        <f t="shared" si="24"/>
        <v>33523</v>
      </c>
      <c r="I144" s="6">
        <f t="shared" si="25"/>
        <v>11</v>
      </c>
      <c r="J144" s="77">
        <v>40</v>
      </c>
      <c r="K144" s="77">
        <v>10</v>
      </c>
      <c r="L144" s="6">
        <f>L134+L143</f>
        <v>36.666666666666664</v>
      </c>
      <c r="M144" s="6">
        <f t="shared" si="30"/>
        <v>35</v>
      </c>
      <c r="N144" s="78">
        <v>100</v>
      </c>
      <c r="O144">
        <f t="shared" si="27"/>
        <v>0.5</v>
      </c>
      <c r="P144" s="78">
        <v>50</v>
      </c>
      <c r="Q144">
        <f t="shared" si="28"/>
        <v>0.3</v>
      </c>
      <c r="R144" s="75">
        <v>15</v>
      </c>
      <c r="S144" s="6">
        <f t="shared" si="29"/>
        <v>0.15</v>
      </c>
    </row>
    <row r="145" spans="1:19" x14ac:dyDescent="0.25">
      <c r="A145" s="37" t="s">
        <v>123</v>
      </c>
      <c r="B145" s="6" t="s">
        <v>169</v>
      </c>
      <c r="C145" s="67">
        <v>90000</v>
      </c>
      <c r="D145" s="6">
        <f>(C145/12)*12</f>
        <v>90000</v>
      </c>
      <c r="E145" s="67">
        <v>420</v>
      </c>
      <c r="F145" s="6">
        <f>SUM(E134:E145)</f>
        <v>49397</v>
      </c>
      <c r="G145" s="36" t="str">
        <f t="shared" si="26"/>
        <v>Farol Vermelho</v>
      </c>
      <c r="H145">
        <f t="shared" si="24"/>
        <v>40603</v>
      </c>
      <c r="I145" s="6">
        <f t="shared" si="25"/>
        <v>12</v>
      </c>
      <c r="J145" s="75">
        <v>40</v>
      </c>
      <c r="K145" s="75">
        <v>2</v>
      </c>
      <c r="L145" s="6">
        <f>$L134+L144</f>
        <v>40</v>
      </c>
      <c r="M145" s="6">
        <f t="shared" si="30"/>
        <v>37</v>
      </c>
      <c r="N145" s="78">
        <v>100</v>
      </c>
      <c r="O145">
        <f t="shared" si="27"/>
        <v>0.5</v>
      </c>
      <c r="P145" s="78">
        <v>50</v>
      </c>
      <c r="Q145">
        <f t="shared" si="28"/>
        <v>0.3</v>
      </c>
      <c r="R145" s="75">
        <v>15</v>
      </c>
      <c r="S145" s="6">
        <f t="shared" si="29"/>
        <v>0.15</v>
      </c>
    </row>
    <row r="146" spans="1:19" x14ac:dyDescent="0.25">
      <c r="A146" s="37" t="s">
        <v>103</v>
      </c>
      <c r="B146" s="6" t="s">
        <v>158</v>
      </c>
      <c r="C146" s="67">
        <v>0</v>
      </c>
      <c r="D146" s="6">
        <f>(C146/12)*1</f>
        <v>0</v>
      </c>
      <c r="E146" s="67">
        <v>0</v>
      </c>
      <c r="F146" s="6">
        <f>E146</f>
        <v>0</v>
      </c>
      <c r="G146" s="36" t="str">
        <f t="shared" si="26"/>
        <v>Farol Amarelo</v>
      </c>
      <c r="H146">
        <f t="shared" si="24"/>
        <v>0</v>
      </c>
      <c r="I146" s="6">
        <f t="shared" si="25"/>
        <v>1</v>
      </c>
      <c r="J146" s="77">
        <v>0</v>
      </c>
      <c r="K146" s="77">
        <v>0</v>
      </c>
      <c r="L146" s="6">
        <f>J146/12</f>
        <v>0</v>
      </c>
      <c r="M146" s="6">
        <f>K146</f>
        <v>0</v>
      </c>
      <c r="N146" s="78">
        <v>100</v>
      </c>
      <c r="O146">
        <f t="shared" si="27"/>
        <v>0.5</v>
      </c>
      <c r="P146" s="78">
        <v>50</v>
      </c>
      <c r="Q146">
        <f t="shared" si="28"/>
        <v>0.3</v>
      </c>
      <c r="R146" s="75">
        <v>15</v>
      </c>
      <c r="S146" s="6">
        <f t="shared" si="29"/>
        <v>0.15</v>
      </c>
    </row>
    <row r="147" spans="1:19" x14ac:dyDescent="0.25">
      <c r="A147" s="37" t="s">
        <v>103</v>
      </c>
      <c r="B147" s="6" t="s">
        <v>159</v>
      </c>
      <c r="C147" s="67">
        <v>0</v>
      </c>
      <c r="D147" s="6">
        <f>(C147/12)*2</f>
        <v>0</v>
      </c>
      <c r="E147" s="67">
        <v>0</v>
      </c>
      <c r="F147" s="6">
        <f>SUM(E146:E147)</f>
        <v>0</v>
      </c>
      <c r="G147" s="36" t="str">
        <f t="shared" si="26"/>
        <v>Farol Amarelo</v>
      </c>
      <c r="H147">
        <f t="shared" si="24"/>
        <v>0</v>
      </c>
      <c r="I147" s="6">
        <f t="shared" si="25"/>
        <v>2</v>
      </c>
      <c r="J147" s="75">
        <v>0</v>
      </c>
      <c r="K147" s="75">
        <v>0</v>
      </c>
      <c r="L147" s="6">
        <f>L146+L146</f>
        <v>0</v>
      </c>
      <c r="M147" s="6">
        <f>M146+K147</f>
        <v>0</v>
      </c>
      <c r="N147" s="78">
        <v>100</v>
      </c>
      <c r="O147">
        <f t="shared" si="27"/>
        <v>0.5</v>
      </c>
      <c r="P147" s="78">
        <v>50</v>
      </c>
      <c r="Q147">
        <f t="shared" si="28"/>
        <v>0.3</v>
      </c>
      <c r="R147" s="75">
        <v>15</v>
      </c>
      <c r="S147" s="6">
        <f t="shared" si="29"/>
        <v>0.15</v>
      </c>
    </row>
    <row r="148" spans="1:19" x14ac:dyDescent="0.25">
      <c r="A148" s="37" t="s">
        <v>103</v>
      </c>
      <c r="B148" s="6" t="s">
        <v>160</v>
      </c>
      <c r="C148" s="67">
        <v>0</v>
      </c>
      <c r="D148" s="6">
        <f>(C148/12)*3</f>
        <v>0</v>
      </c>
      <c r="E148" s="67">
        <v>320</v>
      </c>
      <c r="F148" s="6">
        <f>SUM(E146:E148)</f>
        <v>320</v>
      </c>
      <c r="G148" s="36" t="str">
        <f t="shared" si="26"/>
        <v>Farol Verde</v>
      </c>
      <c r="H148">
        <f t="shared" si="24"/>
        <v>0</v>
      </c>
      <c r="I148" s="6">
        <f t="shared" si="25"/>
        <v>3</v>
      </c>
      <c r="J148" s="77">
        <v>0</v>
      </c>
      <c r="K148" s="77">
        <v>1</v>
      </c>
      <c r="L148" s="6">
        <f>$L146+L147</f>
        <v>0</v>
      </c>
      <c r="M148" s="6">
        <f t="shared" ref="M148:M157" si="31">M147+K148</f>
        <v>1</v>
      </c>
      <c r="N148" s="78">
        <v>100</v>
      </c>
      <c r="O148">
        <f t="shared" si="27"/>
        <v>0.5</v>
      </c>
      <c r="P148" s="78">
        <v>50</v>
      </c>
      <c r="Q148">
        <f t="shared" si="28"/>
        <v>0.3</v>
      </c>
      <c r="R148" s="75">
        <v>15</v>
      </c>
      <c r="S148" s="6">
        <f t="shared" si="29"/>
        <v>0.15</v>
      </c>
    </row>
    <row r="149" spans="1:19" x14ac:dyDescent="0.25">
      <c r="A149" s="37" t="s">
        <v>103</v>
      </c>
      <c r="B149" s="6" t="s">
        <v>161</v>
      </c>
      <c r="C149" s="67">
        <v>0</v>
      </c>
      <c r="D149" s="6">
        <f>(C149/12)*4</f>
        <v>0</v>
      </c>
      <c r="E149" s="67">
        <v>3300</v>
      </c>
      <c r="F149" s="6">
        <f>SUM(E146:E149)</f>
        <v>3620</v>
      </c>
      <c r="G149" s="36" t="str">
        <f t="shared" si="26"/>
        <v>Farol Verde</v>
      </c>
      <c r="H149">
        <f t="shared" si="24"/>
        <v>0</v>
      </c>
      <c r="I149" s="6">
        <f t="shared" si="25"/>
        <v>4</v>
      </c>
      <c r="J149" s="75">
        <v>0</v>
      </c>
      <c r="K149" s="75">
        <v>1</v>
      </c>
      <c r="L149" s="6">
        <f>$L146+L148</f>
        <v>0</v>
      </c>
      <c r="M149" s="6">
        <f t="shared" si="31"/>
        <v>2</v>
      </c>
      <c r="N149" s="78">
        <v>100</v>
      </c>
      <c r="O149">
        <f t="shared" si="27"/>
        <v>0.5</v>
      </c>
      <c r="P149" s="78">
        <v>50</v>
      </c>
      <c r="Q149">
        <f t="shared" si="28"/>
        <v>0.3</v>
      </c>
      <c r="R149" s="75">
        <v>15</v>
      </c>
      <c r="S149" s="6">
        <f t="shared" si="29"/>
        <v>0.15</v>
      </c>
    </row>
    <row r="150" spans="1:19" x14ac:dyDescent="0.25">
      <c r="A150" s="37" t="s">
        <v>103</v>
      </c>
      <c r="B150" s="6" t="s">
        <v>162</v>
      </c>
      <c r="C150" s="67">
        <v>0</v>
      </c>
      <c r="D150" s="6">
        <f>(C150/12)*5</f>
        <v>0</v>
      </c>
      <c r="E150" s="67">
        <v>0</v>
      </c>
      <c r="F150" s="6">
        <f>SUM(E146:E150)</f>
        <v>3620</v>
      </c>
      <c r="G150" s="36" t="str">
        <f t="shared" si="26"/>
        <v>Farol Verde</v>
      </c>
      <c r="H150">
        <f t="shared" si="24"/>
        <v>0</v>
      </c>
      <c r="I150" s="6">
        <f t="shared" si="25"/>
        <v>5</v>
      </c>
      <c r="J150" s="77">
        <v>0</v>
      </c>
      <c r="K150" s="77">
        <v>0</v>
      </c>
      <c r="L150" s="6">
        <f>L146+L149</f>
        <v>0</v>
      </c>
      <c r="M150" s="6">
        <f t="shared" si="31"/>
        <v>2</v>
      </c>
      <c r="N150" s="78">
        <v>100</v>
      </c>
      <c r="O150">
        <f t="shared" si="27"/>
        <v>0.5</v>
      </c>
      <c r="P150" s="78">
        <v>50</v>
      </c>
      <c r="Q150">
        <f t="shared" si="28"/>
        <v>0.3</v>
      </c>
      <c r="R150" s="75">
        <v>15</v>
      </c>
      <c r="S150" s="6">
        <f t="shared" si="29"/>
        <v>0.15</v>
      </c>
    </row>
    <row r="151" spans="1:19" x14ac:dyDescent="0.25">
      <c r="A151" s="37" t="s">
        <v>103</v>
      </c>
      <c r="B151" s="6" t="s">
        <v>163</v>
      </c>
      <c r="C151" s="67">
        <v>0</v>
      </c>
      <c r="D151" s="6">
        <f>(C151/12)*6</f>
        <v>0</v>
      </c>
      <c r="E151" s="67">
        <v>1580</v>
      </c>
      <c r="F151" s="6">
        <f>SUM(E146:E151)</f>
        <v>5200</v>
      </c>
      <c r="G151" s="36" t="str">
        <f t="shared" si="26"/>
        <v>Farol Verde</v>
      </c>
      <c r="H151">
        <f t="shared" si="24"/>
        <v>0</v>
      </c>
      <c r="I151" s="6">
        <f t="shared" si="25"/>
        <v>6</v>
      </c>
      <c r="J151" s="75">
        <v>0</v>
      </c>
      <c r="K151" s="75">
        <v>3</v>
      </c>
      <c r="L151" s="6">
        <f>$L146+L150</f>
        <v>0</v>
      </c>
      <c r="M151" s="6">
        <f t="shared" si="31"/>
        <v>5</v>
      </c>
      <c r="N151" s="78">
        <v>100</v>
      </c>
      <c r="O151">
        <f t="shared" si="27"/>
        <v>0.5</v>
      </c>
      <c r="P151" s="78">
        <v>50</v>
      </c>
      <c r="Q151">
        <f t="shared" si="28"/>
        <v>0.3</v>
      </c>
      <c r="R151" s="75">
        <v>15</v>
      </c>
      <c r="S151" s="6">
        <f t="shared" si="29"/>
        <v>0.15</v>
      </c>
    </row>
    <row r="152" spans="1:19" x14ac:dyDescent="0.25">
      <c r="A152" s="37" t="s">
        <v>103</v>
      </c>
      <c r="B152" s="6" t="s">
        <v>164</v>
      </c>
      <c r="C152" s="67">
        <v>0</v>
      </c>
      <c r="D152" s="6">
        <f>(C152/12)*7</f>
        <v>0</v>
      </c>
      <c r="E152" s="67">
        <v>1300</v>
      </c>
      <c r="F152" s="6">
        <f>SUM(E146:E152)</f>
        <v>6500</v>
      </c>
      <c r="G152" s="36" t="str">
        <f t="shared" si="26"/>
        <v>Farol Verde</v>
      </c>
      <c r="H152">
        <f t="shared" si="24"/>
        <v>0</v>
      </c>
      <c r="I152" s="6">
        <f t="shared" si="25"/>
        <v>7</v>
      </c>
      <c r="J152" s="77">
        <v>0</v>
      </c>
      <c r="K152" s="77">
        <v>5</v>
      </c>
      <c r="L152" s="6">
        <f>$L146+L151</f>
        <v>0</v>
      </c>
      <c r="M152" s="6">
        <f t="shared" si="31"/>
        <v>10</v>
      </c>
      <c r="N152" s="78">
        <v>100</v>
      </c>
      <c r="O152">
        <f t="shared" si="27"/>
        <v>0.5</v>
      </c>
      <c r="P152" s="78">
        <v>50</v>
      </c>
      <c r="Q152">
        <f t="shared" si="28"/>
        <v>0.3</v>
      </c>
      <c r="R152" s="75">
        <v>15</v>
      </c>
      <c r="S152" s="6">
        <f t="shared" si="29"/>
        <v>0.15</v>
      </c>
    </row>
    <row r="153" spans="1:19" x14ac:dyDescent="0.25">
      <c r="A153" s="37" t="s">
        <v>103</v>
      </c>
      <c r="B153" s="6" t="s">
        <v>165</v>
      </c>
      <c r="C153" s="67">
        <v>0</v>
      </c>
      <c r="D153" s="6">
        <f>(C153/12)*8</f>
        <v>0</v>
      </c>
      <c r="E153" s="67">
        <v>0</v>
      </c>
      <c r="F153" s="6">
        <f>SUM(E146:E153)</f>
        <v>6500</v>
      </c>
      <c r="G153" s="36" t="str">
        <f t="shared" si="26"/>
        <v>Farol Verde</v>
      </c>
      <c r="H153">
        <f t="shared" si="24"/>
        <v>0</v>
      </c>
      <c r="I153" s="6">
        <f t="shared" si="25"/>
        <v>8</v>
      </c>
      <c r="J153" s="75">
        <v>0</v>
      </c>
      <c r="K153" s="75">
        <v>0</v>
      </c>
      <c r="L153" s="6">
        <f>L146+L152</f>
        <v>0</v>
      </c>
      <c r="M153" s="6">
        <f t="shared" si="31"/>
        <v>10</v>
      </c>
      <c r="N153" s="78">
        <v>100</v>
      </c>
      <c r="O153">
        <f t="shared" si="27"/>
        <v>0.5</v>
      </c>
      <c r="P153" s="78">
        <v>50</v>
      </c>
      <c r="Q153">
        <f t="shared" si="28"/>
        <v>0.3</v>
      </c>
      <c r="R153" s="75">
        <v>15</v>
      </c>
      <c r="S153" s="6">
        <f t="shared" si="29"/>
        <v>0.15</v>
      </c>
    </row>
    <row r="154" spans="1:19" x14ac:dyDescent="0.25">
      <c r="A154" s="37" t="s">
        <v>103</v>
      </c>
      <c r="B154" s="6" t="s">
        <v>166</v>
      </c>
      <c r="C154" s="67">
        <v>0</v>
      </c>
      <c r="D154" s="6">
        <f>(C154/12)*9</f>
        <v>0</v>
      </c>
      <c r="E154" s="67">
        <v>0</v>
      </c>
      <c r="F154" s="6">
        <f>SUM(E146:E154)</f>
        <v>6500</v>
      </c>
      <c r="G154" s="36" t="str">
        <f t="shared" si="26"/>
        <v>Farol Verde</v>
      </c>
      <c r="H154">
        <f t="shared" si="24"/>
        <v>0</v>
      </c>
      <c r="I154" s="6">
        <f t="shared" si="25"/>
        <v>9</v>
      </c>
      <c r="J154" s="77">
        <v>0</v>
      </c>
      <c r="K154" s="77">
        <v>0</v>
      </c>
      <c r="L154" s="6">
        <f>$L146+L153</f>
        <v>0</v>
      </c>
      <c r="M154" s="6">
        <f t="shared" si="31"/>
        <v>10</v>
      </c>
      <c r="N154" s="78">
        <v>100</v>
      </c>
      <c r="O154">
        <f t="shared" si="27"/>
        <v>0.5</v>
      </c>
      <c r="P154" s="78">
        <v>50</v>
      </c>
      <c r="Q154">
        <f t="shared" si="28"/>
        <v>0.3</v>
      </c>
      <c r="R154" s="75">
        <v>15</v>
      </c>
      <c r="S154" s="6">
        <f t="shared" si="29"/>
        <v>0.15</v>
      </c>
    </row>
    <row r="155" spans="1:19" x14ac:dyDescent="0.25">
      <c r="A155" s="37" t="s">
        <v>103</v>
      </c>
      <c r="B155" s="6" t="s">
        <v>167</v>
      </c>
      <c r="C155" s="67">
        <v>0</v>
      </c>
      <c r="D155" s="6">
        <f>(C155/12)*10</f>
        <v>0</v>
      </c>
      <c r="E155" s="67">
        <v>0</v>
      </c>
      <c r="F155" s="6">
        <f>SUM(E146:E155)</f>
        <v>6500</v>
      </c>
      <c r="G155" s="36" t="str">
        <f t="shared" si="26"/>
        <v>Farol Verde</v>
      </c>
      <c r="H155">
        <f t="shared" si="24"/>
        <v>0</v>
      </c>
      <c r="I155" s="6">
        <f t="shared" si="25"/>
        <v>10</v>
      </c>
      <c r="J155" s="75">
        <v>0</v>
      </c>
      <c r="K155" s="75">
        <v>0</v>
      </c>
      <c r="L155" s="6">
        <f>$L146+L154</f>
        <v>0</v>
      </c>
      <c r="M155" s="6">
        <f t="shared" si="31"/>
        <v>10</v>
      </c>
      <c r="N155" s="78">
        <v>100</v>
      </c>
      <c r="O155">
        <f t="shared" si="27"/>
        <v>0.5</v>
      </c>
      <c r="P155" s="78">
        <v>50</v>
      </c>
      <c r="Q155">
        <f t="shared" si="28"/>
        <v>0.3</v>
      </c>
      <c r="R155" s="75">
        <v>15</v>
      </c>
      <c r="S155" s="6">
        <f t="shared" si="29"/>
        <v>0.15</v>
      </c>
    </row>
    <row r="156" spans="1:19" x14ac:dyDescent="0.25">
      <c r="A156" s="37" t="s">
        <v>103</v>
      </c>
      <c r="B156" s="6" t="s">
        <v>168</v>
      </c>
      <c r="C156" s="67">
        <v>0</v>
      </c>
      <c r="D156" s="6">
        <f>(C156/12)*11</f>
        <v>0</v>
      </c>
      <c r="E156" s="67">
        <v>514</v>
      </c>
      <c r="F156" s="6">
        <f>SUM(E146:E156)</f>
        <v>7014</v>
      </c>
      <c r="G156" s="36" t="str">
        <f t="shared" si="26"/>
        <v>Farol Verde</v>
      </c>
      <c r="H156">
        <f t="shared" si="24"/>
        <v>0</v>
      </c>
      <c r="I156" s="6">
        <f t="shared" si="25"/>
        <v>11</v>
      </c>
      <c r="J156" s="77">
        <v>0</v>
      </c>
      <c r="K156" s="77">
        <v>2</v>
      </c>
      <c r="L156" s="6">
        <f>L146+L155</f>
        <v>0</v>
      </c>
      <c r="M156" s="6">
        <f t="shared" si="31"/>
        <v>12</v>
      </c>
      <c r="N156" s="78">
        <v>100</v>
      </c>
      <c r="O156">
        <f t="shared" si="27"/>
        <v>0.5</v>
      </c>
      <c r="P156" s="78">
        <v>50</v>
      </c>
      <c r="Q156">
        <f t="shared" si="28"/>
        <v>0.3</v>
      </c>
      <c r="R156" s="75">
        <v>15</v>
      </c>
      <c r="S156" s="6">
        <f t="shared" si="29"/>
        <v>0.15</v>
      </c>
    </row>
    <row r="157" spans="1:19" x14ac:dyDescent="0.25">
      <c r="A157" s="37" t="s">
        <v>103</v>
      </c>
      <c r="B157" s="6" t="s">
        <v>169</v>
      </c>
      <c r="C157" s="67">
        <v>0</v>
      </c>
      <c r="D157" s="6">
        <f>(C157/12)*12</f>
        <v>0</v>
      </c>
      <c r="E157" s="67">
        <v>140</v>
      </c>
      <c r="F157" s="6">
        <f>SUM(E146:E157)</f>
        <v>7154</v>
      </c>
      <c r="G157" s="36" t="str">
        <f t="shared" si="26"/>
        <v>Farol Verde</v>
      </c>
      <c r="H157">
        <f t="shared" si="24"/>
        <v>0</v>
      </c>
      <c r="I157" s="6">
        <f t="shared" si="25"/>
        <v>12</v>
      </c>
      <c r="J157" s="75">
        <v>0</v>
      </c>
      <c r="K157" s="75">
        <v>2</v>
      </c>
      <c r="L157" s="6">
        <f>$L146+L156</f>
        <v>0</v>
      </c>
      <c r="M157" s="6">
        <f t="shared" si="31"/>
        <v>14</v>
      </c>
      <c r="N157" s="78">
        <v>100</v>
      </c>
      <c r="O157">
        <f t="shared" si="27"/>
        <v>0.5</v>
      </c>
      <c r="P157" s="78">
        <v>50</v>
      </c>
      <c r="Q157">
        <f t="shared" si="28"/>
        <v>0.3</v>
      </c>
      <c r="R157" s="75">
        <v>15</v>
      </c>
      <c r="S157" s="6">
        <f t="shared" si="29"/>
        <v>0.15</v>
      </c>
    </row>
    <row r="158" spans="1:19" x14ac:dyDescent="0.25">
      <c r="A158" s="37" t="s">
        <v>129</v>
      </c>
      <c r="B158" s="6" t="s">
        <v>158</v>
      </c>
      <c r="C158" s="67">
        <v>41682.870000000003</v>
      </c>
      <c r="D158" s="6">
        <f>(C158/12)*1</f>
        <v>3473.5725000000002</v>
      </c>
      <c r="E158" s="67">
        <v>0</v>
      </c>
      <c r="F158" s="6">
        <f>E158</f>
        <v>0</v>
      </c>
      <c r="G158" s="36" t="str">
        <f t="shared" si="26"/>
        <v>Farol Vermelho</v>
      </c>
      <c r="H158">
        <f t="shared" si="24"/>
        <v>3473.5725000000002</v>
      </c>
      <c r="I158" s="6">
        <f t="shared" si="25"/>
        <v>1</v>
      </c>
      <c r="J158" s="77">
        <v>10</v>
      </c>
      <c r="K158" s="77">
        <v>0</v>
      </c>
      <c r="L158" s="6">
        <f>J158/12</f>
        <v>0.83333333333333337</v>
      </c>
      <c r="M158" s="6">
        <f>K158</f>
        <v>0</v>
      </c>
      <c r="N158" s="78">
        <v>100</v>
      </c>
      <c r="O158">
        <f t="shared" si="27"/>
        <v>0.5</v>
      </c>
      <c r="P158" s="78">
        <v>50</v>
      </c>
      <c r="Q158">
        <f t="shared" si="28"/>
        <v>0.3</v>
      </c>
      <c r="R158" s="75">
        <v>15</v>
      </c>
      <c r="S158" s="6">
        <f t="shared" si="29"/>
        <v>0.15</v>
      </c>
    </row>
    <row r="159" spans="1:19" x14ac:dyDescent="0.25">
      <c r="A159" s="37" t="s">
        <v>129</v>
      </c>
      <c r="B159" s="6" t="s">
        <v>159</v>
      </c>
      <c r="C159" s="67">
        <v>41682.870000000003</v>
      </c>
      <c r="D159" s="6">
        <f>(C159/12)*2</f>
        <v>6947.1450000000004</v>
      </c>
      <c r="E159" s="67">
        <v>17540</v>
      </c>
      <c r="F159" s="6">
        <f>SUM(E158:E159)</f>
        <v>17540</v>
      </c>
      <c r="G159" s="36" t="str">
        <f t="shared" si="26"/>
        <v>Farol Verde</v>
      </c>
      <c r="H159">
        <f t="shared" si="24"/>
        <v>0</v>
      </c>
      <c r="I159" s="6">
        <f t="shared" si="25"/>
        <v>2</v>
      </c>
      <c r="J159" s="75">
        <v>10</v>
      </c>
      <c r="K159" s="75">
        <v>1</v>
      </c>
      <c r="L159" s="6">
        <f>L158+L158</f>
        <v>1.6666666666666667</v>
      </c>
      <c r="M159" s="6">
        <f>M158+K159</f>
        <v>1</v>
      </c>
      <c r="N159" s="78">
        <v>100</v>
      </c>
      <c r="O159">
        <f t="shared" si="27"/>
        <v>0.5</v>
      </c>
      <c r="P159" s="78">
        <v>50</v>
      </c>
      <c r="Q159">
        <f t="shared" si="28"/>
        <v>0.3</v>
      </c>
      <c r="R159" s="75">
        <v>15</v>
      </c>
      <c r="S159" s="6">
        <f t="shared" si="29"/>
        <v>0.15</v>
      </c>
    </row>
    <row r="160" spans="1:19" x14ac:dyDescent="0.25">
      <c r="A160" s="37" t="s">
        <v>129</v>
      </c>
      <c r="B160" s="6" t="s">
        <v>160</v>
      </c>
      <c r="C160" s="67">
        <v>41682.870000000003</v>
      </c>
      <c r="D160" s="6">
        <f>(C160/12)*3</f>
        <v>10420.717500000001</v>
      </c>
      <c r="E160" s="67">
        <v>0</v>
      </c>
      <c r="F160" s="6">
        <f>SUM(E158:E160)</f>
        <v>17540</v>
      </c>
      <c r="G160" s="36" t="str">
        <f t="shared" si="26"/>
        <v>Farol Verde</v>
      </c>
      <c r="H160">
        <f t="shared" si="24"/>
        <v>0</v>
      </c>
      <c r="I160" s="6">
        <f t="shared" si="25"/>
        <v>3</v>
      </c>
      <c r="J160" s="77">
        <v>10</v>
      </c>
      <c r="K160" s="77">
        <v>0</v>
      </c>
      <c r="L160" s="6">
        <f>$L158+L159</f>
        <v>2.5</v>
      </c>
      <c r="M160" s="6">
        <f t="shared" ref="M160:M169" si="32">M159+K160</f>
        <v>1</v>
      </c>
      <c r="N160" s="78">
        <v>100</v>
      </c>
      <c r="O160">
        <f t="shared" si="27"/>
        <v>0.5</v>
      </c>
      <c r="P160" s="78">
        <v>50</v>
      </c>
      <c r="Q160">
        <f t="shared" si="28"/>
        <v>0.3</v>
      </c>
      <c r="R160" s="75">
        <v>15</v>
      </c>
      <c r="S160" s="6">
        <f t="shared" si="29"/>
        <v>0.15</v>
      </c>
    </row>
    <row r="161" spans="1:19" x14ac:dyDescent="0.25">
      <c r="A161" s="37" t="s">
        <v>129</v>
      </c>
      <c r="B161" s="6" t="s">
        <v>161</v>
      </c>
      <c r="C161" s="67">
        <v>41682.870000000003</v>
      </c>
      <c r="D161" s="6">
        <f>(C161/12)*4</f>
        <v>13894.29</v>
      </c>
      <c r="E161" s="67">
        <v>0</v>
      </c>
      <c r="F161" s="6">
        <f>SUM(E158:E161)</f>
        <v>17540</v>
      </c>
      <c r="G161" s="36" t="str">
        <f t="shared" si="26"/>
        <v>Farol Verde</v>
      </c>
      <c r="H161">
        <f t="shared" si="24"/>
        <v>0</v>
      </c>
      <c r="I161" s="6">
        <f t="shared" si="25"/>
        <v>4</v>
      </c>
      <c r="J161" s="75">
        <v>10</v>
      </c>
      <c r="K161" s="75">
        <v>0</v>
      </c>
      <c r="L161" s="6">
        <f>$L158+L160</f>
        <v>3.3333333333333335</v>
      </c>
      <c r="M161" s="6">
        <f t="shared" si="32"/>
        <v>1</v>
      </c>
      <c r="N161" s="78">
        <v>100</v>
      </c>
      <c r="O161">
        <f t="shared" si="27"/>
        <v>0.5</v>
      </c>
      <c r="P161" s="78">
        <v>50</v>
      </c>
      <c r="Q161">
        <f t="shared" si="28"/>
        <v>0.3</v>
      </c>
      <c r="R161" s="75">
        <v>15</v>
      </c>
      <c r="S161" s="6">
        <f t="shared" si="29"/>
        <v>0.15</v>
      </c>
    </row>
    <row r="162" spans="1:19" x14ac:dyDescent="0.25">
      <c r="A162" s="37" t="s">
        <v>129</v>
      </c>
      <c r="B162" s="6" t="s">
        <v>162</v>
      </c>
      <c r="C162" s="67">
        <v>41682.870000000003</v>
      </c>
      <c r="D162" s="6">
        <f>(C162/12)*5</f>
        <v>17367.862500000003</v>
      </c>
      <c r="E162" s="67">
        <v>1350</v>
      </c>
      <c r="F162" s="6">
        <f>SUM(E158:E162)</f>
        <v>18890</v>
      </c>
      <c r="G162" s="36" t="str">
        <f t="shared" si="26"/>
        <v>Farol Verde</v>
      </c>
      <c r="H162">
        <f t="shared" si="24"/>
        <v>0</v>
      </c>
      <c r="I162" s="6">
        <f t="shared" si="25"/>
        <v>5</v>
      </c>
      <c r="J162" s="77">
        <v>10</v>
      </c>
      <c r="K162" s="77">
        <v>2</v>
      </c>
      <c r="L162" s="6">
        <f>L158+L161</f>
        <v>4.166666666666667</v>
      </c>
      <c r="M162" s="6">
        <f t="shared" si="32"/>
        <v>3</v>
      </c>
      <c r="N162" s="78">
        <v>100</v>
      </c>
      <c r="O162">
        <f t="shared" si="27"/>
        <v>0.5</v>
      </c>
      <c r="P162" s="78">
        <v>50</v>
      </c>
      <c r="Q162">
        <f t="shared" si="28"/>
        <v>0.3</v>
      </c>
      <c r="R162" s="75">
        <v>15</v>
      </c>
      <c r="S162" s="6">
        <f t="shared" si="29"/>
        <v>0.15</v>
      </c>
    </row>
    <row r="163" spans="1:19" x14ac:dyDescent="0.25">
      <c r="A163" s="37" t="s">
        <v>129</v>
      </c>
      <c r="B163" s="6" t="s">
        <v>163</v>
      </c>
      <c r="C163" s="67">
        <v>41682.870000000003</v>
      </c>
      <c r="D163" s="6">
        <f>(C163/12)*6</f>
        <v>20841.435000000001</v>
      </c>
      <c r="E163" s="67">
        <v>6000</v>
      </c>
      <c r="F163" s="6">
        <f>SUM(E158:E163)</f>
        <v>24890</v>
      </c>
      <c r="G163" s="36" t="str">
        <f t="shared" si="26"/>
        <v>Farol Verde</v>
      </c>
      <c r="H163">
        <f t="shared" si="24"/>
        <v>0</v>
      </c>
      <c r="I163" s="6">
        <f t="shared" si="25"/>
        <v>6</v>
      </c>
      <c r="J163" s="75">
        <v>10</v>
      </c>
      <c r="K163" s="75">
        <v>1</v>
      </c>
      <c r="L163" s="6">
        <f>$L158+L162</f>
        <v>5</v>
      </c>
      <c r="M163" s="6">
        <f t="shared" si="32"/>
        <v>4</v>
      </c>
      <c r="N163" s="78">
        <v>100</v>
      </c>
      <c r="O163">
        <f t="shared" si="27"/>
        <v>0.5</v>
      </c>
      <c r="P163" s="78">
        <v>50</v>
      </c>
      <c r="Q163">
        <f t="shared" si="28"/>
        <v>0.3</v>
      </c>
      <c r="R163" s="75">
        <v>15</v>
      </c>
      <c r="S163" s="6">
        <f t="shared" si="29"/>
        <v>0.15</v>
      </c>
    </row>
    <row r="164" spans="1:19" x14ac:dyDescent="0.25">
      <c r="A164" s="37" t="s">
        <v>129</v>
      </c>
      <c r="B164" s="6" t="s">
        <v>164</v>
      </c>
      <c r="C164" s="67">
        <v>41682.870000000003</v>
      </c>
      <c r="D164" s="6">
        <f>(C164/12)*7</f>
        <v>24315.0075</v>
      </c>
      <c r="E164" s="67">
        <v>2488</v>
      </c>
      <c r="F164" s="6">
        <f>SUM(E158:E164)</f>
        <v>27378</v>
      </c>
      <c r="G164" s="36" t="str">
        <f t="shared" si="26"/>
        <v>Farol Verde</v>
      </c>
      <c r="H164">
        <f t="shared" si="24"/>
        <v>0</v>
      </c>
      <c r="I164" s="6">
        <f t="shared" si="25"/>
        <v>7</v>
      </c>
      <c r="J164" s="77">
        <v>10</v>
      </c>
      <c r="K164" s="77">
        <v>2</v>
      </c>
      <c r="L164" s="6">
        <f>$L158+L163</f>
        <v>5.833333333333333</v>
      </c>
      <c r="M164" s="6">
        <f t="shared" si="32"/>
        <v>6</v>
      </c>
      <c r="N164" s="78">
        <v>100</v>
      </c>
      <c r="O164">
        <f t="shared" si="27"/>
        <v>0.5</v>
      </c>
      <c r="P164" s="78">
        <v>50</v>
      </c>
      <c r="Q164">
        <f t="shared" si="28"/>
        <v>0.3</v>
      </c>
      <c r="R164" s="75">
        <v>15</v>
      </c>
      <c r="S164" s="6">
        <f t="shared" si="29"/>
        <v>0.15</v>
      </c>
    </row>
    <row r="165" spans="1:19" x14ac:dyDescent="0.25">
      <c r="A165" s="37" t="s">
        <v>129</v>
      </c>
      <c r="B165" s="6" t="s">
        <v>165</v>
      </c>
      <c r="C165" s="67">
        <v>41682.870000000003</v>
      </c>
      <c r="D165" s="6">
        <f>(C165/12)*8</f>
        <v>27788.58</v>
      </c>
      <c r="E165" s="67">
        <v>1650</v>
      </c>
      <c r="F165" s="6">
        <f>SUM(E158:E165)</f>
        <v>29028</v>
      </c>
      <c r="G165" s="36" t="str">
        <f t="shared" si="26"/>
        <v>Farol Verde</v>
      </c>
      <c r="H165">
        <f t="shared" si="24"/>
        <v>0</v>
      </c>
      <c r="I165" s="6">
        <f t="shared" si="25"/>
        <v>8</v>
      </c>
      <c r="J165" s="75">
        <v>10</v>
      </c>
      <c r="K165" s="75">
        <v>2</v>
      </c>
      <c r="L165" s="6">
        <f>L158+L164</f>
        <v>6.6666666666666661</v>
      </c>
      <c r="M165" s="6">
        <f t="shared" si="32"/>
        <v>8</v>
      </c>
      <c r="N165" s="78">
        <v>100</v>
      </c>
      <c r="O165">
        <f t="shared" si="27"/>
        <v>0.5</v>
      </c>
      <c r="P165" s="78">
        <v>50</v>
      </c>
      <c r="Q165">
        <f t="shared" si="28"/>
        <v>0.3</v>
      </c>
      <c r="R165" s="75">
        <v>15</v>
      </c>
      <c r="S165" s="6">
        <f t="shared" si="29"/>
        <v>0.15</v>
      </c>
    </row>
    <row r="166" spans="1:19" x14ac:dyDescent="0.25">
      <c r="A166" s="37" t="s">
        <v>129</v>
      </c>
      <c r="B166" s="6" t="s">
        <v>166</v>
      </c>
      <c r="C166" s="67">
        <v>41682.870000000003</v>
      </c>
      <c r="D166" s="6">
        <f>(C166/12)*9</f>
        <v>31262.152500000004</v>
      </c>
      <c r="E166" s="67">
        <v>1404</v>
      </c>
      <c r="F166" s="6">
        <f>SUM(E158:E166)</f>
        <v>30432</v>
      </c>
      <c r="G166" s="36" t="str">
        <f t="shared" si="26"/>
        <v>Farol Amarelo</v>
      </c>
      <c r="H166">
        <f t="shared" si="24"/>
        <v>830.15250000000378</v>
      </c>
      <c r="I166" s="6">
        <f t="shared" si="25"/>
        <v>9</v>
      </c>
      <c r="J166" s="77">
        <v>10</v>
      </c>
      <c r="K166" s="77">
        <v>1</v>
      </c>
      <c r="L166" s="6">
        <f>$L158+L165</f>
        <v>7.4999999999999991</v>
      </c>
      <c r="M166" s="6">
        <f t="shared" si="32"/>
        <v>9</v>
      </c>
      <c r="N166" s="78">
        <v>100</v>
      </c>
      <c r="O166">
        <f t="shared" si="27"/>
        <v>0.5</v>
      </c>
      <c r="P166" s="78">
        <v>50</v>
      </c>
      <c r="Q166">
        <f t="shared" si="28"/>
        <v>0.3</v>
      </c>
      <c r="R166" s="75">
        <v>15</v>
      </c>
      <c r="S166" s="6">
        <f t="shared" si="29"/>
        <v>0.15</v>
      </c>
    </row>
    <row r="167" spans="1:19" x14ac:dyDescent="0.25">
      <c r="A167" s="37" t="s">
        <v>129</v>
      </c>
      <c r="B167" s="6" t="s">
        <v>167</v>
      </c>
      <c r="C167" s="67">
        <v>41682.870000000003</v>
      </c>
      <c r="D167" s="6">
        <f>(C167/12)*10</f>
        <v>34735.725000000006</v>
      </c>
      <c r="E167" s="67">
        <v>11600</v>
      </c>
      <c r="F167" s="6">
        <f>SUM(E158:E167)</f>
        <v>42032</v>
      </c>
      <c r="G167" s="36" t="str">
        <f t="shared" si="26"/>
        <v>Farol Verde</v>
      </c>
      <c r="H167">
        <f t="shared" si="24"/>
        <v>0</v>
      </c>
      <c r="I167" s="6">
        <f t="shared" si="25"/>
        <v>10</v>
      </c>
      <c r="J167" s="75">
        <v>10</v>
      </c>
      <c r="K167" s="75">
        <v>2</v>
      </c>
      <c r="L167" s="6">
        <f>$L158+L166</f>
        <v>8.3333333333333321</v>
      </c>
      <c r="M167" s="6">
        <f t="shared" si="32"/>
        <v>11</v>
      </c>
      <c r="N167" s="78">
        <v>100</v>
      </c>
      <c r="O167">
        <f t="shared" si="27"/>
        <v>0.5</v>
      </c>
      <c r="P167" s="78">
        <v>50</v>
      </c>
      <c r="Q167">
        <f t="shared" si="28"/>
        <v>0.3</v>
      </c>
      <c r="R167" s="75">
        <v>15</v>
      </c>
      <c r="S167" s="6">
        <f t="shared" si="29"/>
        <v>0.15</v>
      </c>
    </row>
    <row r="168" spans="1:19" x14ac:dyDescent="0.25">
      <c r="A168" s="37" t="s">
        <v>129</v>
      </c>
      <c r="B168" s="6" t="s">
        <v>168</v>
      </c>
      <c r="C168" s="67">
        <v>41682.870000000003</v>
      </c>
      <c r="D168" s="6">
        <f>(C168/12)*11</f>
        <v>38209.297500000001</v>
      </c>
      <c r="E168" s="67">
        <v>160</v>
      </c>
      <c r="F168" s="6">
        <f>SUM(E158:E168)</f>
        <v>42192</v>
      </c>
      <c r="G168" s="36" t="str">
        <f t="shared" si="26"/>
        <v>Farol Verde</v>
      </c>
      <c r="H168">
        <f t="shared" si="24"/>
        <v>0</v>
      </c>
      <c r="I168" s="6">
        <f t="shared" si="25"/>
        <v>11</v>
      </c>
      <c r="J168" s="77">
        <v>10</v>
      </c>
      <c r="K168" s="77">
        <v>1</v>
      </c>
      <c r="L168" s="6">
        <f>L158+L167</f>
        <v>9.1666666666666661</v>
      </c>
      <c r="M168" s="6">
        <f t="shared" si="32"/>
        <v>12</v>
      </c>
      <c r="N168" s="78">
        <v>100</v>
      </c>
      <c r="O168">
        <f t="shared" si="27"/>
        <v>0.5</v>
      </c>
      <c r="P168" s="78">
        <v>50</v>
      </c>
      <c r="Q168">
        <f t="shared" si="28"/>
        <v>0.3</v>
      </c>
      <c r="R168" s="75">
        <v>15</v>
      </c>
      <c r="S168" s="6">
        <f t="shared" si="29"/>
        <v>0.15</v>
      </c>
    </row>
    <row r="169" spans="1:19" x14ac:dyDescent="0.25">
      <c r="A169" s="37" t="s">
        <v>129</v>
      </c>
      <c r="B169" s="6" t="s">
        <v>169</v>
      </c>
      <c r="C169" s="67">
        <v>41682.870000000003</v>
      </c>
      <c r="D169" s="6">
        <f>(C169/12)*12</f>
        <v>41682.870000000003</v>
      </c>
      <c r="E169" s="67">
        <v>0</v>
      </c>
      <c r="F169" s="6">
        <f>SUM(E158:E169)</f>
        <v>42192</v>
      </c>
      <c r="G169" s="36" t="str">
        <f t="shared" si="26"/>
        <v>Farol Verde</v>
      </c>
      <c r="H169">
        <f t="shared" si="24"/>
        <v>0</v>
      </c>
      <c r="I169" s="6">
        <f t="shared" si="25"/>
        <v>12</v>
      </c>
      <c r="J169" s="75">
        <v>10</v>
      </c>
      <c r="K169" s="75">
        <v>0</v>
      </c>
      <c r="L169" s="6">
        <f>$L158+L168</f>
        <v>10</v>
      </c>
      <c r="M169" s="6">
        <f t="shared" si="32"/>
        <v>12</v>
      </c>
      <c r="N169" s="78">
        <v>100</v>
      </c>
      <c r="O169">
        <f t="shared" si="27"/>
        <v>0.5</v>
      </c>
      <c r="P169" s="78">
        <v>50</v>
      </c>
      <c r="Q169">
        <f t="shared" si="28"/>
        <v>0.3</v>
      </c>
      <c r="R169" s="75">
        <v>15</v>
      </c>
      <c r="S169" s="6">
        <f t="shared" si="29"/>
        <v>0.15</v>
      </c>
    </row>
    <row r="170" spans="1:19" x14ac:dyDescent="0.25">
      <c r="A170" s="37" t="s">
        <v>96</v>
      </c>
      <c r="B170" s="6" t="s">
        <v>158</v>
      </c>
      <c r="C170" s="67">
        <v>90000</v>
      </c>
      <c r="D170" s="6">
        <f>(C170/12)*1</f>
        <v>7500</v>
      </c>
      <c r="E170" s="67">
        <v>4900</v>
      </c>
      <c r="F170" s="6">
        <f>E170</f>
        <v>4900</v>
      </c>
      <c r="G170" s="36" t="str">
        <f t="shared" si="26"/>
        <v>Farol Vermelho</v>
      </c>
      <c r="H170">
        <f t="shared" si="24"/>
        <v>2600</v>
      </c>
      <c r="I170" s="6">
        <f t="shared" si="25"/>
        <v>1</v>
      </c>
      <c r="J170" s="77">
        <v>40</v>
      </c>
      <c r="K170" s="77">
        <v>2</v>
      </c>
      <c r="L170" s="6">
        <f>J170/12</f>
        <v>3.3333333333333335</v>
      </c>
      <c r="M170" s="6">
        <f>K170</f>
        <v>2</v>
      </c>
      <c r="N170" s="78">
        <v>100</v>
      </c>
      <c r="O170">
        <f t="shared" si="27"/>
        <v>0.5</v>
      </c>
      <c r="P170" s="78">
        <v>50</v>
      </c>
      <c r="Q170">
        <f t="shared" si="28"/>
        <v>0.3</v>
      </c>
      <c r="R170" s="75">
        <v>15</v>
      </c>
      <c r="S170" s="6">
        <f t="shared" si="29"/>
        <v>0.15</v>
      </c>
    </row>
    <row r="171" spans="1:19" x14ac:dyDescent="0.25">
      <c r="A171" s="37" t="s">
        <v>96</v>
      </c>
      <c r="B171" s="6" t="s">
        <v>159</v>
      </c>
      <c r="C171" s="67">
        <v>90000</v>
      </c>
      <c r="D171" s="6">
        <f>(C171/12)*2</f>
        <v>15000</v>
      </c>
      <c r="E171" s="67">
        <v>6770</v>
      </c>
      <c r="F171" s="6">
        <f>SUM(E170:E171)</f>
        <v>11670</v>
      </c>
      <c r="G171" s="36" t="str">
        <f t="shared" si="26"/>
        <v>Farol Vermelho</v>
      </c>
      <c r="H171">
        <f t="shared" si="24"/>
        <v>3330</v>
      </c>
      <c r="I171" s="6">
        <f t="shared" si="25"/>
        <v>2</v>
      </c>
      <c r="J171" s="75">
        <v>40</v>
      </c>
      <c r="K171" s="75">
        <v>3</v>
      </c>
      <c r="L171" s="6">
        <f>L170+L170</f>
        <v>6.666666666666667</v>
      </c>
      <c r="M171" s="6">
        <f>M170+K171</f>
        <v>5</v>
      </c>
      <c r="N171" s="78">
        <v>100</v>
      </c>
      <c r="O171">
        <f t="shared" si="27"/>
        <v>0.5</v>
      </c>
      <c r="P171" s="78">
        <v>50</v>
      </c>
      <c r="Q171">
        <f t="shared" si="28"/>
        <v>0.3</v>
      </c>
      <c r="R171" s="75">
        <v>15</v>
      </c>
      <c r="S171" s="6">
        <f t="shared" si="29"/>
        <v>0.15</v>
      </c>
    </row>
    <row r="172" spans="1:19" x14ac:dyDescent="0.25">
      <c r="A172" s="37" t="s">
        <v>96</v>
      </c>
      <c r="B172" s="6" t="s">
        <v>160</v>
      </c>
      <c r="C172" s="67">
        <v>90000</v>
      </c>
      <c r="D172" s="6">
        <f>(C172/12)*3</f>
        <v>22500</v>
      </c>
      <c r="E172" s="67">
        <v>0</v>
      </c>
      <c r="F172" s="6">
        <f>SUM(E170:E172)</f>
        <v>11670</v>
      </c>
      <c r="G172" s="36" t="str">
        <f t="shared" si="26"/>
        <v>Farol Vermelho</v>
      </c>
      <c r="H172">
        <f t="shared" si="24"/>
        <v>10830</v>
      </c>
      <c r="I172" s="6">
        <f t="shared" si="25"/>
        <v>3</v>
      </c>
      <c r="J172" s="77">
        <v>40</v>
      </c>
      <c r="K172" s="77">
        <v>0</v>
      </c>
      <c r="L172" s="6">
        <f>$L170+L171</f>
        <v>10</v>
      </c>
      <c r="M172" s="6">
        <f t="shared" ref="M172:M181" si="33">M171+K172</f>
        <v>5</v>
      </c>
      <c r="N172" s="78">
        <v>100</v>
      </c>
      <c r="O172">
        <f t="shared" si="27"/>
        <v>0.5</v>
      </c>
      <c r="P172" s="78">
        <v>50</v>
      </c>
      <c r="Q172">
        <f t="shared" si="28"/>
        <v>0.3</v>
      </c>
      <c r="R172" s="75">
        <v>15</v>
      </c>
      <c r="S172" s="6">
        <f t="shared" si="29"/>
        <v>0.15</v>
      </c>
    </row>
    <row r="173" spans="1:19" x14ac:dyDescent="0.25">
      <c r="A173" s="37" t="s">
        <v>96</v>
      </c>
      <c r="B173" s="6" t="s">
        <v>161</v>
      </c>
      <c r="C173" s="67">
        <v>90000</v>
      </c>
      <c r="D173" s="6">
        <f>(C173/12)*4</f>
        <v>30000</v>
      </c>
      <c r="E173" s="67">
        <v>2700</v>
      </c>
      <c r="F173" s="6">
        <f>SUM(E170:E173)</f>
        <v>14370</v>
      </c>
      <c r="G173" s="36" t="str">
        <f t="shared" si="26"/>
        <v>Farol Vermelho</v>
      </c>
      <c r="H173">
        <f t="shared" si="24"/>
        <v>15630</v>
      </c>
      <c r="I173" s="6">
        <f t="shared" si="25"/>
        <v>4</v>
      </c>
      <c r="J173" s="75">
        <v>40</v>
      </c>
      <c r="K173" s="75">
        <v>2</v>
      </c>
      <c r="L173" s="6">
        <f>$L170+L172</f>
        <v>13.333333333333334</v>
      </c>
      <c r="M173" s="6">
        <f t="shared" si="33"/>
        <v>7</v>
      </c>
      <c r="N173" s="78">
        <v>100</v>
      </c>
      <c r="O173">
        <f t="shared" si="27"/>
        <v>0.5</v>
      </c>
      <c r="P173" s="78">
        <v>50</v>
      </c>
      <c r="Q173">
        <f t="shared" si="28"/>
        <v>0.3</v>
      </c>
      <c r="R173" s="75">
        <v>15</v>
      </c>
      <c r="S173" s="6">
        <f t="shared" si="29"/>
        <v>0.15</v>
      </c>
    </row>
    <row r="174" spans="1:19" x14ac:dyDescent="0.25">
      <c r="A174" s="37" t="s">
        <v>96</v>
      </c>
      <c r="B174" s="6" t="s">
        <v>162</v>
      </c>
      <c r="C174" s="67">
        <v>90000</v>
      </c>
      <c r="D174" s="6">
        <f>(C174/12)*5</f>
        <v>37500</v>
      </c>
      <c r="E174" s="67">
        <v>4900</v>
      </c>
      <c r="F174" s="6">
        <f>SUM(E170:E174)</f>
        <v>19270</v>
      </c>
      <c r="G174" s="36" t="str">
        <f t="shared" si="26"/>
        <v>Farol Vermelho</v>
      </c>
      <c r="H174">
        <f t="shared" si="24"/>
        <v>18230</v>
      </c>
      <c r="I174" s="6">
        <f t="shared" si="25"/>
        <v>5</v>
      </c>
      <c r="J174" s="77">
        <v>40</v>
      </c>
      <c r="K174" s="77">
        <v>3</v>
      </c>
      <c r="L174" s="6">
        <f>L170+L173</f>
        <v>16.666666666666668</v>
      </c>
      <c r="M174" s="6">
        <f t="shared" si="33"/>
        <v>10</v>
      </c>
      <c r="N174" s="78">
        <v>100</v>
      </c>
      <c r="O174">
        <f t="shared" si="27"/>
        <v>0.5</v>
      </c>
      <c r="P174" s="78">
        <v>50</v>
      </c>
      <c r="Q174">
        <f t="shared" si="28"/>
        <v>0.3</v>
      </c>
      <c r="R174" s="75">
        <v>15</v>
      </c>
      <c r="S174" s="6">
        <f t="shared" si="29"/>
        <v>0.15</v>
      </c>
    </row>
    <row r="175" spans="1:19" x14ac:dyDescent="0.25">
      <c r="A175" s="37" t="s">
        <v>96</v>
      </c>
      <c r="B175" s="6" t="s">
        <v>163</v>
      </c>
      <c r="C175" s="67">
        <v>90000</v>
      </c>
      <c r="D175" s="6">
        <f>(C175/12)*6</f>
        <v>45000</v>
      </c>
      <c r="E175" s="67">
        <v>15980</v>
      </c>
      <c r="F175" s="6">
        <f>SUM(E170:E175)</f>
        <v>35250</v>
      </c>
      <c r="G175" s="36" t="str">
        <f t="shared" si="26"/>
        <v>Farol Vermelho</v>
      </c>
      <c r="H175">
        <f t="shared" si="24"/>
        <v>9750</v>
      </c>
      <c r="I175" s="6">
        <f t="shared" si="25"/>
        <v>6</v>
      </c>
      <c r="J175" s="75">
        <v>40</v>
      </c>
      <c r="K175" s="75">
        <v>9</v>
      </c>
      <c r="L175" s="6">
        <f>$L170+L174</f>
        <v>20</v>
      </c>
      <c r="M175" s="6">
        <f t="shared" si="33"/>
        <v>19</v>
      </c>
      <c r="N175" s="78">
        <v>100</v>
      </c>
      <c r="O175">
        <f t="shared" si="27"/>
        <v>0.5</v>
      </c>
      <c r="P175" s="78">
        <v>50</v>
      </c>
      <c r="Q175">
        <f t="shared" si="28"/>
        <v>0.3</v>
      </c>
      <c r="R175" s="75">
        <v>15</v>
      </c>
      <c r="S175" s="6">
        <f t="shared" si="29"/>
        <v>0.15</v>
      </c>
    </row>
    <row r="176" spans="1:19" x14ac:dyDescent="0.25">
      <c r="A176" s="37" t="s">
        <v>96</v>
      </c>
      <c r="B176" s="6" t="s">
        <v>164</v>
      </c>
      <c r="C176" s="67">
        <v>90000</v>
      </c>
      <c r="D176" s="6">
        <f>(C176/12)*7</f>
        <v>52500</v>
      </c>
      <c r="E176" s="67">
        <v>4585</v>
      </c>
      <c r="F176" s="6">
        <f>SUM(E170:E176)</f>
        <v>39835</v>
      </c>
      <c r="G176" s="36" t="str">
        <f t="shared" si="26"/>
        <v>Farol Vermelho</v>
      </c>
      <c r="H176">
        <f t="shared" si="24"/>
        <v>12665</v>
      </c>
      <c r="I176" s="6">
        <f t="shared" si="25"/>
        <v>7</v>
      </c>
      <c r="J176" s="77">
        <v>40</v>
      </c>
      <c r="K176" s="77">
        <v>3</v>
      </c>
      <c r="L176" s="6">
        <f>$L170+L175</f>
        <v>23.333333333333332</v>
      </c>
      <c r="M176" s="6">
        <f t="shared" si="33"/>
        <v>22</v>
      </c>
      <c r="N176" s="78">
        <v>100</v>
      </c>
      <c r="O176">
        <f t="shared" si="27"/>
        <v>0.5</v>
      </c>
      <c r="P176" s="78">
        <v>50</v>
      </c>
      <c r="Q176">
        <f t="shared" si="28"/>
        <v>0.3</v>
      </c>
      <c r="R176" s="75">
        <v>15</v>
      </c>
      <c r="S176" s="6">
        <f t="shared" si="29"/>
        <v>0.15</v>
      </c>
    </row>
    <row r="177" spans="1:19" x14ac:dyDescent="0.25">
      <c r="A177" s="37" t="s">
        <v>96</v>
      </c>
      <c r="B177" s="6" t="s">
        <v>165</v>
      </c>
      <c r="C177" s="67">
        <v>90000</v>
      </c>
      <c r="D177" s="6">
        <f>(C177/12)*8</f>
        <v>60000</v>
      </c>
      <c r="E177" s="67">
        <v>1500</v>
      </c>
      <c r="F177" s="6">
        <f>SUM(E170:E177)</f>
        <v>41335</v>
      </c>
      <c r="G177" s="36" t="str">
        <f t="shared" si="26"/>
        <v>Farol Vermelho</v>
      </c>
      <c r="H177">
        <f t="shared" si="24"/>
        <v>18665</v>
      </c>
      <c r="I177" s="6">
        <f t="shared" si="25"/>
        <v>8</v>
      </c>
      <c r="J177" s="75">
        <v>40</v>
      </c>
      <c r="K177" s="75">
        <v>1</v>
      </c>
      <c r="L177" s="6">
        <f>L170+L176</f>
        <v>26.666666666666664</v>
      </c>
      <c r="M177" s="6">
        <f t="shared" si="33"/>
        <v>23</v>
      </c>
      <c r="N177" s="78">
        <v>100</v>
      </c>
      <c r="O177">
        <f t="shared" si="27"/>
        <v>0.5</v>
      </c>
      <c r="P177" s="78">
        <v>50</v>
      </c>
      <c r="Q177">
        <f t="shared" si="28"/>
        <v>0.3</v>
      </c>
      <c r="R177" s="75">
        <v>15</v>
      </c>
      <c r="S177" s="6">
        <f t="shared" si="29"/>
        <v>0.15</v>
      </c>
    </row>
    <row r="178" spans="1:19" x14ac:dyDescent="0.25">
      <c r="A178" s="37" t="s">
        <v>96</v>
      </c>
      <c r="B178" s="6" t="s">
        <v>166</v>
      </c>
      <c r="C178" s="67">
        <v>90000</v>
      </c>
      <c r="D178" s="6">
        <f>(C178/12)*9</f>
        <v>67500</v>
      </c>
      <c r="E178" s="67">
        <v>4940</v>
      </c>
      <c r="F178" s="6">
        <f>SUM(E170:E178)</f>
        <v>46275</v>
      </c>
      <c r="G178" s="36" t="str">
        <f t="shared" si="26"/>
        <v>Farol Vermelho</v>
      </c>
      <c r="H178">
        <f t="shared" si="24"/>
        <v>21225</v>
      </c>
      <c r="I178" s="6">
        <f t="shared" si="25"/>
        <v>9</v>
      </c>
      <c r="J178" s="77">
        <v>40</v>
      </c>
      <c r="K178" s="77">
        <v>3</v>
      </c>
      <c r="L178" s="6">
        <f>$L170+L177</f>
        <v>29.999999999999996</v>
      </c>
      <c r="M178" s="6">
        <f t="shared" si="33"/>
        <v>26</v>
      </c>
      <c r="N178" s="78">
        <v>100</v>
      </c>
      <c r="O178">
        <f t="shared" si="27"/>
        <v>0.5</v>
      </c>
      <c r="P178" s="78">
        <v>50</v>
      </c>
      <c r="Q178">
        <f t="shared" si="28"/>
        <v>0.3</v>
      </c>
      <c r="R178" s="75">
        <v>15</v>
      </c>
      <c r="S178" s="6">
        <f t="shared" si="29"/>
        <v>0.15</v>
      </c>
    </row>
    <row r="179" spans="1:19" x14ac:dyDescent="0.25">
      <c r="A179" s="37" t="s">
        <v>96</v>
      </c>
      <c r="B179" s="6" t="s">
        <v>167</v>
      </c>
      <c r="C179" s="67">
        <v>90000</v>
      </c>
      <c r="D179" s="6">
        <f>(C179/12)*10</f>
        <v>75000</v>
      </c>
      <c r="E179" s="67">
        <v>15095</v>
      </c>
      <c r="F179" s="6">
        <f>SUM(E170:E179)</f>
        <v>61370</v>
      </c>
      <c r="G179" s="36" t="str">
        <f t="shared" si="26"/>
        <v>Farol Vermelho</v>
      </c>
      <c r="H179">
        <f t="shared" si="24"/>
        <v>13630</v>
      </c>
      <c r="I179" s="6">
        <f t="shared" si="25"/>
        <v>10</v>
      </c>
      <c r="J179" s="75">
        <v>40</v>
      </c>
      <c r="K179" s="75">
        <v>6</v>
      </c>
      <c r="L179" s="6">
        <f>$L170+L178</f>
        <v>33.333333333333329</v>
      </c>
      <c r="M179" s="6">
        <f t="shared" si="33"/>
        <v>32</v>
      </c>
      <c r="N179" s="78">
        <v>100</v>
      </c>
      <c r="O179">
        <f t="shared" si="27"/>
        <v>0.5</v>
      </c>
      <c r="P179" s="78">
        <v>50</v>
      </c>
      <c r="Q179">
        <f t="shared" si="28"/>
        <v>0.3</v>
      </c>
      <c r="R179" s="75">
        <v>15</v>
      </c>
      <c r="S179" s="6">
        <f t="shared" si="29"/>
        <v>0.15</v>
      </c>
    </row>
    <row r="180" spans="1:19" x14ac:dyDescent="0.25">
      <c r="A180" s="37" t="s">
        <v>96</v>
      </c>
      <c r="B180" s="6" t="s">
        <v>168</v>
      </c>
      <c r="C180" s="67">
        <v>90000</v>
      </c>
      <c r="D180" s="6">
        <f>(C180/12)*11</f>
        <v>82500</v>
      </c>
      <c r="E180" s="67">
        <v>25200</v>
      </c>
      <c r="F180" s="6">
        <f>SUM(E170:E180)</f>
        <v>86570</v>
      </c>
      <c r="G180" s="36" t="str">
        <f t="shared" si="26"/>
        <v>Farol Verde</v>
      </c>
      <c r="H180">
        <f t="shared" si="24"/>
        <v>0</v>
      </c>
      <c r="I180" s="6">
        <f t="shared" si="25"/>
        <v>11</v>
      </c>
      <c r="J180" s="77">
        <v>40</v>
      </c>
      <c r="K180" s="77">
        <v>9</v>
      </c>
      <c r="L180" s="6">
        <f>L170+L179</f>
        <v>36.666666666666664</v>
      </c>
      <c r="M180" s="6">
        <f t="shared" si="33"/>
        <v>41</v>
      </c>
      <c r="N180" s="78">
        <v>100</v>
      </c>
      <c r="O180">
        <f t="shared" si="27"/>
        <v>0.5</v>
      </c>
      <c r="P180" s="78">
        <v>50</v>
      </c>
      <c r="Q180">
        <f t="shared" si="28"/>
        <v>0.3</v>
      </c>
      <c r="R180" s="75">
        <v>15</v>
      </c>
      <c r="S180" s="6">
        <f t="shared" si="29"/>
        <v>0.15</v>
      </c>
    </row>
    <row r="181" spans="1:19" x14ac:dyDescent="0.25">
      <c r="A181" s="37" t="s">
        <v>96</v>
      </c>
      <c r="B181" s="6" t="s">
        <v>169</v>
      </c>
      <c r="C181" s="67">
        <v>90000</v>
      </c>
      <c r="D181" s="6">
        <f>(C181/12)*12</f>
        <v>90000</v>
      </c>
      <c r="E181" s="67">
        <v>21680</v>
      </c>
      <c r="F181" s="6">
        <f>SUM(E170:E181)</f>
        <v>108250</v>
      </c>
      <c r="G181" s="36" t="str">
        <f t="shared" si="26"/>
        <v>Farol Verde</v>
      </c>
      <c r="H181">
        <f t="shared" si="24"/>
        <v>0</v>
      </c>
      <c r="I181" s="6">
        <f t="shared" si="25"/>
        <v>12</v>
      </c>
      <c r="J181" s="75">
        <v>40</v>
      </c>
      <c r="K181" s="75">
        <v>5</v>
      </c>
      <c r="L181" s="6">
        <f>$L170+L180</f>
        <v>40</v>
      </c>
      <c r="M181" s="6">
        <f t="shared" si="33"/>
        <v>46</v>
      </c>
      <c r="N181" s="78">
        <v>100</v>
      </c>
      <c r="O181">
        <f t="shared" si="27"/>
        <v>0.5</v>
      </c>
      <c r="P181" s="78">
        <v>50</v>
      </c>
      <c r="Q181">
        <f t="shared" si="28"/>
        <v>0.3</v>
      </c>
      <c r="R181" s="75">
        <v>15</v>
      </c>
      <c r="S181" s="6">
        <f t="shared" si="29"/>
        <v>0.15</v>
      </c>
    </row>
    <row r="182" spans="1:19" x14ac:dyDescent="0.25">
      <c r="A182" s="37" t="s">
        <v>38</v>
      </c>
      <c r="B182" s="6" t="s">
        <v>158</v>
      </c>
      <c r="C182" s="67">
        <v>33100</v>
      </c>
      <c r="D182" s="6">
        <f>(C182/12)*1</f>
        <v>2758.3333333333335</v>
      </c>
      <c r="E182" s="67">
        <v>0</v>
      </c>
      <c r="F182" s="6">
        <f>E182</f>
        <v>0</v>
      </c>
      <c r="G182" s="36" t="str">
        <f t="shared" si="26"/>
        <v>Farol Vermelho</v>
      </c>
      <c r="H182">
        <f t="shared" si="24"/>
        <v>2758.3333333333335</v>
      </c>
      <c r="I182" s="6">
        <f t="shared" si="25"/>
        <v>1</v>
      </c>
      <c r="J182" s="77">
        <v>8</v>
      </c>
      <c r="K182" s="77">
        <v>0</v>
      </c>
      <c r="L182" s="6">
        <f>J182/12</f>
        <v>0.66666666666666663</v>
      </c>
      <c r="M182" s="6">
        <f>K182</f>
        <v>0</v>
      </c>
      <c r="N182" s="78">
        <v>100</v>
      </c>
      <c r="O182">
        <f t="shared" si="27"/>
        <v>0.5</v>
      </c>
      <c r="P182" s="78">
        <v>50</v>
      </c>
      <c r="Q182">
        <f t="shared" si="28"/>
        <v>0.3</v>
      </c>
      <c r="R182" s="75">
        <v>15</v>
      </c>
      <c r="S182" s="6">
        <f t="shared" si="29"/>
        <v>0.15</v>
      </c>
    </row>
    <row r="183" spans="1:19" x14ac:dyDescent="0.25">
      <c r="A183" s="37" t="s">
        <v>38</v>
      </c>
      <c r="B183" s="6" t="s">
        <v>159</v>
      </c>
      <c r="C183" s="67">
        <v>33100</v>
      </c>
      <c r="D183" s="6">
        <f>(C183/12)*2</f>
        <v>5516.666666666667</v>
      </c>
      <c r="E183" s="67">
        <v>0</v>
      </c>
      <c r="F183" s="6">
        <f>SUM(E182:E183)</f>
        <v>0</v>
      </c>
      <c r="G183" s="36" t="str">
        <f t="shared" si="26"/>
        <v>Farol Vermelho</v>
      </c>
      <c r="H183">
        <f t="shared" si="24"/>
        <v>5516.666666666667</v>
      </c>
      <c r="I183" s="6">
        <f t="shared" si="25"/>
        <v>2</v>
      </c>
      <c r="J183" s="75">
        <v>8</v>
      </c>
      <c r="K183" s="75">
        <v>0</v>
      </c>
      <c r="L183" s="6">
        <f>L182+L182</f>
        <v>1.3333333333333333</v>
      </c>
      <c r="M183" s="6">
        <f>M182+K183</f>
        <v>0</v>
      </c>
      <c r="N183" s="78">
        <v>100</v>
      </c>
      <c r="O183">
        <f t="shared" si="27"/>
        <v>0.5</v>
      </c>
      <c r="P183" s="78">
        <v>50</v>
      </c>
      <c r="Q183">
        <f t="shared" si="28"/>
        <v>0.3</v>
      </c>
      <c r="R183" s="75">
        <v>15</v>
      </c>
      <c r="S183" s="6">
        <f t="shared" si="29"/>
        <v>0.15</v>
      </c>
    </row>
    <row r="184" spans="1:19" x14ac:dyDescent="0.25">
      <c r="A184" s="37" t="s">
        <v>38</v>
      </c>
      <c r="B184" s="6" t="s">
        <v>160</v>
      </c>
      <c r="C184" s="67">
        <v>33100</v>
      </c>
      <c r="D184" s="6">
        <f>(C184/12)*3</f>
        <v>8275</v>
      </c>
      <c r="E184" s="67">
        <v>0</v>
      </c>
      <c r="F184" s="6">
        <f>SUM(E182:E184)</f>
        <v>0</v>
      </c>
      <c r="G184" s="36" t="str">
        <f t="shared" si="26"/>
        <v>Farol Vermelho</v>
      </c>
      <c r="H184">
        <f t="shared" si="24"/>
        <v>8275</v>
      </c>
      <c r="I184" s="6">
        <f t="shared" si="25"/>
        <v>3</v>
      </c>
      <c r="J184" s="77">
        <v>8</v>
      </c>
      <c r="K184" s="77">
        <v>0</v>
      </c>
      <c r="L184" s="6">
        <f>$L182+L183</f>
        <v>2</v>
      </c>
      <c r="M184" s="6">
        <f t="shared" ref="M184:M193" si="34">M183+K184</f>
        <v>0</v>
      </c>
      <c r="N184" s="78">
        <v>100</v>
      </c>
      <c r="O184">
        <f t="shared" si="27"/>
        <v>0.5</v>
      </c>
      <c r="P184" s="78">
        <v>50</v>
      </c>
      <c r="Q184">
        <f t="shared" si="28"/>
        <v>0.3</v>
      </c>
      <c r="R184" s="75">
        <v>15</v>
      </c>
      <c r="S184" s="6">
        <f t="shared" si="29"/>
        <v>0.15</v>
      </c>
    </row>
    <row r="185" spans="1:19" x14ac:dyDescent="0.25">
      <c r="A185" s="37" t="s">
        <v>38</v>
      </c>
      <c r="B185" s="6" t="s">
        <v>161</v>
      </c>
      <c r="C185" s="67">
        <v>33100</v>
      </c>
      <c r="D185" s="6">
        <f>(C185/12)*4</f>
        <v>11033.333333333334</v>
      </c>
      <c r="E185" s="67">
        <v>0</v>
      </c>
      <c r="F185" s="6">
        <f>SUM(E182:E185)</f>
        <v>0</v>
      </c>
      <c r="G185" s="36" t="str">
        <f t="shared" si="26"/>
        <v>Farol Vermelho</v>
      </c>
      <c r="H185">
        <f t="shared" si="24"/>
        <v>11033.333333333334</v>
      </c>
      <c r="I185" s="6">
        <f t="shared" si="25"/>
        <v>4</v>
      </c>
      <c r="J185" s="75">
        <v>8</v>
      </c>
      <c r="K185" s="75">
        <v>0</v>
      </c>
      <c r="L185" s="6">
        <f>$L182+L184</f>
        <v>2.6666666666666665</v>
      </c>
      <c r="M185" s="6">
        <f t="shared" si="34"/>
        <v>0</v>
      </c>
      <c r="N185" s="78">
        <v>100</v>
      </c>
      <c r="O185">
        <f t="shared" si="27"/>
        <v>0.5</v>
      </c>
      <c r="P185" s="78">
        <v>50</v>
      </c>
      <c r="Q185">
        <f t="shared" si="28"/>
        <v>0.3</v>
      </c>
      <c r="R185" s="75">
        <v>15</v>
      </c>
      <c r="S185" s="6">
        <f t="shared" si="29"/>
        <v>0.15</v>
      </c>
    </row>
    <row r="186" spans="1:19" x14ac:dyDescent="0.25">
      <c r="A186" s="37" t="s">
        <v>38</v>
      </c>
      <c r="B186" s="6" t="s">
        <v>162</v>
      </c>
      <c r="C186" s="67">
        <v>33100</v>
      </c>
      <c r="D186" s="6">
        <f>(C186/12)*5</f>
        <v>13791.666666666668</v>
      </c>
      <c r="E186" s="67">
        <v>0</v>
      </c>
      <c r="F186" s="6">
        <f>SUM(E182:E186)</f>
        <v>0</v>
      </c>
      <c r="G186" s="36" t="str">
        <f t="shared" si="26"/>
        <v>Farol Vermelho</v>
      </c>
      <c r="H186">
        <f t="shared" si="24"/>
        <v>13791.666666666668</v>
      </c>
      <c r="I186" s="6">
        <f t="shared" si="25"/>
        <v>5</v>
      </c>
      <c r="J186" s="77">
        <v>8</v>
      </c>
      <c r="K186" s="77">
        <v>0</v>
      </c>
      <c r="L186" s="6">
        <f>L182+L185</f>
        <v>3.333333333333333</v>
      </c>
      <c r="M186" s="6">
        <f t="shared" si="34"/>
        <v>0</v>
      </c>
      <c r="N186" s="78">
        <v>100</v>
      </c>
      <c r="O186">
        <f t="shared" si="27"/>
        <v>0.5</v>
      </c>
      <c r="P186" s="78">
        <v>50</v>
      </c>
      <c r="Q186">
        <f t="shared" si="28"/>
        <v>0.3</v>
      </c>
      <c r="R186" s="75">
        <v>15</v>
      </c>
      <c r="S186" s="6">
        <f t="shared" si="29"/>
        <v>0.15</v>
      </c>
    </row>
    <row r="187" spans="1:19" x14ac:dyDescent="0.25">
      <c r="A187" s="37" t="s">
        <v>38</v>
      </c>
      <c r="B187" s="6" t="s">
        <v>163</v>
      </c>
      <c r="C187" s="67">
        <v>33100</v>
      </c>
      <c r="D187" s="6">
        <f>(C187/12)*6</f>
        <v>16550</v>
      </c>
      <c r="E187" s="67">
        <v>2200</v>
      </c>
      <c r="F187" s="6">
        <f>SUM(E182:E187)</f>
        <v>2200</v>
      </c>
      <c r="G187" s="36" t="str">
        <f t="shared" si="26"/>
        <v>Farol Vermelho</v>
      </c>
      <c r="H187">
        <f t="shared" si="24"/>
        <v>14350</v>
      </c>
      <c r="I187" s="6">
        <f t="shared" si="25"/>
        <v>6</v>
      </c>
      <c r="J187" s="75">
        <v>8</v>
      </c>
      <c r="K187" s="75">
        <v>1</v>
      </c>
      <c r="L187" s="6">
        <f>$L182+L186</f>
        <v>3.9999999999999996</v>
      </c>
      <c r="M187" s="6">
        <f t="shared" si="34"/>
        <v>1</v>
      </c>
      <c r="N187" s="78">
        <v>100</v>
      </c>
      <c r="O187">
        <f t="shared" si="27"/>
        <v>0.5</v>
      </c>
      <c r="P187" s="78">
        <v>50</v>
      </c>
      <c r="Q187">
        <f t="shared" si="28"/>
        <v>0.3</v>
      </c>
      <c r="R187" s="75">
        <v>15</v>
      </c>
      <c r="S187" s="6">
        <f t="shared" si="29"/>
        <v>0.15</v>
      </c>
    </row>
    <row r="188" spans="1:19" x14ac:dyDescent="0.25">
      <c r="A188" s="37" t="s">
        <v>38</v>
      </c>
      <c r="B188" s="6" t="s">
        <v>164</v>
      </c>
      <c r="C188" s="67">
        <v>33100</v>
      </c>
      <c r="D188" s="6">
        <f>(C188/12)*7</f>
        <v>19308.333333333336</v>
      </c>
      <c r="E188" s="67">
        <v>0</v>
      </c>
      <c r="F188" s="6">
        <f>SUM(E182:E188)</f>
        <v>2200</v>
      </c>
      <c r="G188" s="36" t="str">
        <f t="shared" si="26"/>
        <v>Farol Vermelho</v>
      </c>
      <c r="H188">
        <f t="shared" si="24"/>
        <v>17108.333333333336</v>
      </c>
      <c r="I188" s="6">
        <f t="shared" si="25"/>
        <v>7</v>
      </c>
      <c r="J188" s="77">
        <v>8</v>
      </c>
      <c r="K188" s="77">
        <v>0</v>
      </c>
      <c r="L188" s="6">
        <f>$L182+L187</f>
        <v>4.6666666666666661</v>
      </c>
      <c r="M188" s="6">
        <f t="shared" si="34"/>
        <v>1</v>
      </c>
      <c r="N188" s="78">
        <v>100</v>
      </c>
      <c r="O188">
        <f t="shared" si="27"/>
        <v>0.5</v>
      </c>
      <c r="P188" s="78">
        <v>50</v>
      </c>
      <c r="Q188">
        <f t="shared" si="28"/>
        <v>0.3</v>
      </c>
      <c r="R188" s="75">
        <v>15</v>
      </c>
      <c r="S188" s="6">
        <f t="shared" si="29"/>
        <v>0.15</v>
      </c>
    </row>
    <row r="189" spans="1:19" x14ac:dyDescent="0.25">
      <c r="A189" s="37" t="s">
        <v>38</v>
      </c>
      <c r="B189" s="6" t="s">
        <v>165</v>
      </c>
      <c r="C189" s="67">
        <v>33100</v>
      </c>
      <c r="D189" s="6">
        <f>(C189/12)*8</f>
        <v>22066.666666666668</v>
      </c>
      <c r="E189" s="67">
        <v>0</v>
      </c>
      <c r="F189" s="6">
        <f>SUM(E182:E189)</f>
        <v>2200</v>
      </c>
      <c r="G189" s="36" t="str">
        <f t="shared" si="26"/>
        <v>Farol Vermelho</v>
      </c>
      <c r="H189">
        <f t="shared" si="24"/>
        <v>19866.666666666668</v>
      </c>
      <c r="I189" s="6">
        <f t="shared" si="25"/>
        <v>8</v>
      </c>
      <c r="J189" s="75">
        <v>8</v>
      </c>
      <c r="K189" s="75">
        <v>0</v>
      </c>
      <c r="L189" s="6">
        <f>L182+L188</f>
        <v>5.333333333333333</v>
      </c>
      <c r="M189" s="6">
        <f t="shared" si="34"/>
        <v>1</v>
      </c>
      <c r="N189" s="78">
        <v>100</v>
      </c>
      <c r="O189">
        <f t="shared" si="27"/>
        <v>0.5</v>
      </c>
      <c r="P189" s="78">
        <v>50</v>
      </c>
      <c r="Q189">
        <f t="shared" si="28"/>
        <v>0.3</v>
      </c>
      <c r="R189" s="75">
        <v>15</v>
      </c>
      <c r="S189" s="6">
        <f t="shared" si="29"/>
        <v>0.15</v>
      </c>
    </row>
    <row r="190" spans="1:19" x14ac:dyDescent="0.25">
      <c r="A190" s="37" t="s">
        <v>38</v>
      </c>
      <c r="B190" s="6" t="s">
        <v>166</v>
      </c>
      <c r="C190" s="67">
        <v>33100</v>
      </c>
      <c r="D190" s="6">
        <f>(C190/12)*9</f>
        <v>24825</v>
      </c>
      <c r="E190" s="67">
        <v>0</v>
      </c>
      <c r="F190" s="6">
        <f>SUM(E182:E190)</f>
        <v>2200</v>
      </c>
      <c r="G190" s="36" t="str">
        <f t="shared" si="26"/>
        <v>Farol Vermelho</v>
      </c>
      <c r="H190">
        <f t="shared" si="24"/>
        <v>22625</v>
      </c>
      <c r="I190" s="6">
        <f t="shared" si="25"/>
        <v>9</v>
      </c>
      <c r="J190" s="77">
        <v>8</v>
      </c>
      <c r="K190" s="77">
        <v>0</v>
      </c>
      <c r="L190" s="6">
        <f>$L182+L189</f>
        <v>6</v>
      </c>
      <c r="M190" s="6">
        <f t="shared" si="34"/>
        <v>1</v>
      </c>
      <c r="N190" s="78">
        <v>100</v>
      </c>
      <c r="O190">
        <f t="shared" si="27"/>
        <v>0.5</v>
      </c>
      <c r="P190" s="78">
        <v>50</v>
      </c>
      <c r="Q190">
        <f t="shared" si="28"/>
        <v>0.3</v>
      </c>
      <c r="R190" s="75">
        <v>15</v>
      </c>
      <c r="S190" s="6">
        <f t="shared" si="29"/>
        <v>0.15</v>
      </c>
    </row>
    <row r="191" spans="1:19" x14ac:dyDescent="0.25">
      <c r="A191" s="37" t="s">
        <v>38</v>
      </c>
      <c r="B191" s="6" t="s">
        <v>167</v>
      </c>
      <c r="C191" s="67">
        <v>33100</v>
      </c>
      <c r="D191" s="6">
        <f>(C191/12)*10</f>
        <v>27583.333333333336</v>
      </c>
      <c r="E191" s="67">
        <v>550</v>
      </c>
      <c r="F191" s="6">
        <f>SUM(E182:E191)</f>
        <v>2750</v>
      </c>
      <c r="G191" s="36" t="str">
        <f t="shared" si="26"/>
        <v>Farol Vermelho</v>
      </c>
      <c r="H191">
        <f t="shared" si="24"/>
        <v>24833.333333333336</v>
      </c>
      <c r="I191" s="6">
        <f t="shared" si="25"/>
        <v>10</v>
      </c>
      <c r="J191" s="75">
        <v>8</v>
      </c>
      <c r="K191" s="75">
        <v>1</v>
      </c>
      <c r="L191" s="6">
        <f>$L182+L190</f>
        <v>6.666666666666667</v>
      </c>
      <c r="M191" s="6">
        <f t="shared" si="34"/>
        <v>2</v>
      </c>
      <c r="N191" s="78">
        <v>100</v>
      </c>
      <c r="O191">
        <f t="shared" si="27"/>
        <v>0.5</v>
      </c>
      <c r="P191" s="78">
        <v>50</v>
      </c>
      <c r="Q191">
        <f t="shared" si="28"/>
        <v>0.3</v>
      </c>
      <c r="R191" s="75">
        <v>15</v>
      </c>
      <c r="S191" s="6">
        <f t="shared" si="29"/>
        <v>0.15</v>
      </c>
    </row>
    <row r="192" spans="1:19" x14ac:dyDescent="0.25">
      <c r="A192" s="37" t="s">
        <v>38</v>
      </c>
      <c r="B192" s="6" t="s">
        <v>168</v>
      </c>
      <c r="C192" s="67">
        <v>33100</v>
      </c>
      <c r="D192" s="6">
        <f>(C192/12)*11</f>
        <v>30341.666666666668</v>
      </c>
      <c r="E192" s="67">
        <v>1170</v>
      </c>
      <c r="F192" s="6">
        <f>SUM(E182:E192)</f>
        <v>3920</v>
      </c>
      <c r="G192" s="36" t="str">
        <f t="shared" si="26"/>
        <v>Farol Vermelho</v>
      </c>
      <c r="H192">
        <f t="shared" si="24"/>
        <v>26421.666666666668</v>
      </c>
      <c r="I192" s="6">
        <f t="shared" si="25"/>
        <v>11</v>
      </c>
      <c r="J192" s="77">
        <v>8</v>
      </c>
      <c r="K192" s="77">
        <v>2</v>
      </c>
      <c r="L192" s="6">
        <f>L182+L191</f>
        <v>7.3333333333333339</v>
      </c>
      <c r="M192" s="6">
        <f t="shared" si="34"/>
        <v>4</v>
      </c>
      <c r="N192" s="78">
        <v>100</v>
      </c>
      <c r="O192">
        <f t="shared" si="27"/>
        <v>0.5</v>
      </c>
      <c r="P192" s="78">
        <v>50</v>
      </c>
      <c r="Q192">
        <f t="shared" si="28"/>
        <v>0.3</v>
      </c>
      <c r="R192" s="75">
        <v>15</v>
      </c>
      <c r="S192" s="6">
        <f t="shared" si="29"/>
        <v>0.15</v>
      </c>
    </row>
    <row r="193" spans="1:19" x14ac:dyDescent="0.25">
      <c r="A193" s="37" t="s">
        <v>38</v>
      </c>
      <c r="B193" s="6" t="s">
        <v>169</v>
      </c>
      <c r="C193" s="67">
        <v>33100</v>
      </c>
      <c r="D193" s="6">
        <f>(C193/12)*12</f>
        <v>33100</v>
      </c>
      <c r="E193" s="67">
        <v>580</v>
      </c>
      <c r="F193" s="6">
        <f>SUM(E182:E193)</f>
        <v>4500</v>
      </c>
      <c r="G193" s="36" t="str">
        <f t="shared" si="26"/>
        <v>Farol Vermelho</v>
      </c>
      <c r="H193">
        <f t="shared" si="24"/>
        <v>28600</v>
      </c>
      <c r="I193" s="6">
        <f t="shared" si="25"/>
        <v>12</v>
      </c>
      <c r="J193" s="75">
        <v>8</v>
      </c>
      <c r="K193" s="75">
        <v>1</v>
      </c>
      <c r="L193" s="6">
        <f>$L182+L192</f>
        <v>8</v>
      </c>
      <c r="M193" s="6">
        <f t="shared" si="34"/>
        <v>5</v>
      </c>
      <c r="N193" s="78">
        <v>100</v>
      </c>
      <c r="O193">
        <f t="shared" si="27"/>
        <v>0.5</v>
      </c>
      <c r="P193" s="78">
        <v>50</v>
      </c>
      <c r="Q193">
        <f t="shared" si="28"/>
        <v>0.3</v>
      </c>
      <c r="R193" s="75">
        <v>15</v>
      </c>
      <c r="S193" s="6">
        <f t="shared" si="29"/>
        <v>0.15</v>
      </c>
    </row>
    <row r="194" spans="1:19" x14ac:dyDescent="0.25">
      <c r="A194" s="37" t="s">
        <v>95</v>
      </c>
      <c r="B194" s="6" t="s">
        <v>158</v>
      </c>
      <c r="C194" s="67">
        <v>65000</v>
      </c>
      <c r="D194" s="6">
        <f>(C194/12)*1</f>
        <v>5416.666666666667</v>
      </c>
      <c r="E194" s="67">
        <v>2463</v>
      </c>
      <c r="F194" s="6">
        <f>E194</f>
        <v>2463</v>
      </c>
      <c r="G194" s="36" t="str">
        <f t="shared" si="26"/>
        <v>Farol Vermelho</v>
      </c>
      <c r="H194">
        <f t="shared" ref="H194:H257" si="35">IF(D194-F194&lt;0,0,D194-F194)</f>
        <v>2953.666666666667</v>
      </c>
      <c r="I194" s="6">
        <f t="shared" ref="I194:I257" si="36">_xlfn.IFS(B194="Janeiro",1,B194="Fevereiro",2,B194="Março",3,B194="Abril",4,B194="Maio",5,B194="Junho",6,B194="Julho",7,B194="Agosto",8,B194="Setembro",9,B194="Outubro",10,B194="Novembro",11,B194="Dezembro",12,TRUE,0)</f>
        <v>1</v>
      </c>
      <c r="J194" s="77">
        <v>10</v>
      </c>
      <c r="K194" s="77">
        <v>1</v>
      </c>
      <c r="L194" s="6">
        <f>J194/12</f>
        <v>0.83333333333333337</v>
      </c>
      <c r="M194" s="6">
        <f>K194</f>
        <v>1</v>
      </c>
      <c r="N194" s="78">
        <v>100</v>
      </c>
      <c r="O194">
        <f t="shared" si="27"/>
        <v>0.5</v>
      </c>
      <c r="P194" s="78">
        <v>50</v>
      </c>
      <c r="Q194">
        <f t="shared" si="28"/>
        <v>0.3</v>
      </c>
      <c r="R194" s="75">
        <v>15</v>
      </c>
      <c r="S194" s="6">
        <f t="shared" si="29"/>
        <v>0.15</v>
      </c>
    </row>
    <row r="195" spans="1:19" x14ac:dyDescent="0.25">
      <c r="A195" s="37" t="s">
        <v>95</v>
      </c>
      <c r="B195" s="6" t="s">
        <v>159</v>
      </c>
      <c r="C195" s="67">
        <v>65000</v>
      </c>
      <c r="D195" s="6">
        <f>(C195/12)*2</f>
        <v>10833.333333333334</v>
      </c>
      <c r="E195" s="67">
        <v>870</v>
      </c>
      <c r="F195" s="6">
        <f>SUM(E194:E195)</f>
        <v>3333</v>
      </c>
      <c r="G195" s="36" t="str">
        <f t="shared" ref="G195:G258" si="37">_xlfn.IFS(F195&gt;D195,"Farol Verde",F195&gt;=D195*0.85,"Farol Amarelo",F195&lt;D195*0.85,"Farol Vermelho","Verdadeiro",0)</f>
        <v>Farol Vermelho</v>
      </c>
      <c r="H195">
        <f t="shared" si="35"/>
        <v>7500.3333333333339</v>
      </c>
      <c r="I195" s="6">
        <f t="shared" si="36"/>
        <v>2</v>
      </c>
      <c r="J195" s="75">
        <v>10</v>
      </c>
      <c r="K195" s="75">
        <v>1</v>
      </c>
      <c r="L195" s="6">
        <f>L194+L194</f>
        <v>1.6666666666666667</v>
      </c>
      <c r="M195" s="6">
        <f>M194+K195</f>
        <v>2</v>
      </c>
      <c r="N195" s="78">
        <v>100</v>
      </c>
      <c r="O195">
        <f t="shared" ref="O195:O258" si="38">P195/N195</f>
        <v>0.5</v>
      </c>
      <c r="P195" s="78">
        <v>50</v>
      </c>
      <c r="Q195">
        <f t="shared" ref="Q195:Q258" si="39">R195/P195</f>
        <v>0.3</v>
      </c>
      <c r="R195" s="75">
        <v>15</v>
      </c>
      <c r="S195" s="6">
        <f t="shared" ref="S195:S258" si="40">R195/N195</f>
        <v>0.15</v>
      </c>
    </row>
    <row r="196" spans="1:19" x14ac:dyDescent="0.25">
      <c r="A196" s="37" t="s">
        <v>95</v>
      </c>
      <c r="B196" s="6" t="s">
        <v>160</v>
      </c>
      <c r="C196" s="67">
        <v>65000</v>
      </c>
      <c r="D196" s="6">
        <f>(C196/12)*3</f>
        <v>16250</v>
      </c>
      <c r="E196" s="67">
        <v>0</v>
      </c>
      <c r="F196" s="6">
        <f>SUM(E194:E196)</f>
        <v>3333</v>
      </c>
      <c r="G196" s="36" t="str">
        <f t="shared" si="37"/>
        <v>Farol Vermelho</v>
      </c>
      <c r="H196">
        <f t="shared" si="35"/>
        <v>12917</v>
      </c>
      <c r="I196" s="6">
        <f t="shared" si="36"/>
        <v>3</v>
      </c>
      <c r="J196" s="77">
        <v>10</v>
      </c>
      <c r="K196" s="77">
        <v>0</v>
      </c>
      <c r="L196" s="6">
        <f>$L194+L195</f>
        <v>2.5</v>
      </c>
      <c r="M196" s="6">
        <f t="shared" ref="M196:M205" si="41">M195+K196</f>
        <v>2</v>
      </c>
      <c r="N196" s="78">
        <v>100</v>
      </c>
      <c r="O196">
        <f t="shared" si="38"/>
        <v>0.5</v>
      </c>
      <c r="P196" s="78">
        <v>50</v>
      </c>
      <c r="Q196">
        <f t="shared" si="39"/>
        <v>0.3</v>
      </c>
      <c r="R196" s="75">
        <v>15</v>
      </c>
      <c r="S196" s="6">
        <f t="shared" si="40"/>
        <v>0.15</v>
      </c>
    </row>
    <row r="197" spans="1:19" x14ac:dyDescent="0.25">
      <c r="A197" s="37" t="s">
        <v>95</v>
      </c>
      <c r="B197" s="6" t="s">
        <v>161</v>
      </c>
      <c r="C197" s="67">
        <v>65000</v>
      </c>
      <c r="D197" s="6">
        <f>(C197/12)*4</f>
        <v>21666.666666666668</v>
      </c>
      <c r="E197" s="67">
        <v>0</v>
      </c>
      <c r="F197" s="6">
        <f>SUM(E194:E197)</f>
        <v>3333</v>
      </c>
      <c r="G197" s="36" t="str">
        <f t="shared" si="37"/>
        <v>Farol Vermelho</v>
      </c>
      <c r="H197">
        <f t="shared" si="35"/>
        <v>18333.666666666668</v>
      </c>
      <c r="I197" s="6">
        <f t="shared" si="36"/>
        <v>4</v>
      </c>
      <c r="J197" s="75">
        <v>10</v>
      </c>
      <c r="K197" s="75">
        <v>0</v>
      </c>
      <c r="L197" s="6">
        <f>$L194+L196</f>
        <v>3.3333333333333335</v>
      </c>
      <c r="M197" s="6">
        <f t="shared" si="41"/>
        <v>2</v>
      </c>
      <c r="N197" s="78">
        <v>100</v>
      </c>
      <c r="O197">
        <f t="shared" si="38"/>
        <v>0.5</v>
      </c>
      <c r="P197" s="78">
        <v>50</v>
      </c>
      <c r="Q197">
        <f t="shared" si="39"/>
        <v>0.3</v>
      </c>
      <c r="R197" s="75">
        <v>15</v>
      </c>
      <c r="S197" s="6">
        <f t="shared" si="40"/>
        <v>0.15</v>
      </c>
    </row>
    <row r="198" spans="1:19" x14ac:dyDescent="0.25">
      <c r="A198" s="37" t="s">
        <v>95</v>
      </c>
      <c r="B198" s="6" t="s">
        <v>162</v>
      </c>
      <c r="C198" s="67">
        <v>65000</v>
      </c>
      <c r="D198" s="6">
        <f>(C198/12)*5</f>
        <v>27083.333333333336</v>
      </c>
      <c r="E198" s="67">
        <v>0</v>
      </c>
      <c r="F198" s="6">
        <f>SUM(E194:E198)</f>
        <v>3333</v>
      </c>
      <c r="G198" s="36" t="str">
        <f t="shared" si="37"/>
        <v>Farol Vermelho</v>
      </c>
      <c r="H198">
        <f t="shared" si="35"/>
        <v>23750.333333333336</v>
      </c>
      <c r="I198" s="6">
        <f t="shared" si="36"/>
        <v>5</v>
      </c>
      <c r="J198" s="77">
        <v>10</v>
      </c>
      <c r="K198" s="77">
        <v>0</v>
      </c>
      <c r="L198" s="6">
        <f>L194+L197</f>
        <v>4.166666666666667</v>
      </c>
      <c r="M198" s="6">
        <f t="shared" si="41"/>
        <v>2</v>
      </c>
      <c r="N198" s="78">
        <v>100</v>
      </c>
      <c r="O198">
        <f t="shared" si="38"/>
        <v>0.5</v>
      </c>
      <c r="P198" s="78">
        <v>50</v>
      </c>
      <c r="Q198">
        <f t="shared" si="39"/>
        <v>0.3</v>
      </c>
      <c r="R198" s="75">
        <v>15</v>
      </c>
      <c r="S198" s="6">
        <f t="shared" si="40"/>
        <v>0.15</v>
      </c>
    </row>
    <row r="199" spans="1:19" x14ac:dyDescent="0.25">
      <c r="A199" s="37" t="s">
        <v>95</v>
      </c>
      <c r="B199" s="6" t="s">
        <v>163</v>
      </c>
      <c r="C199" s="67">
        <v>65000</v>
      </c>
      <c r="D199" s="6">
        <f>(C199/12)*6</f>
        <v>32500</v>
      </c>
      <c r="E199" s="67">
        <v>0</v>
      </c>
      <c r="F199" s="6">
        <f>SUM(E194:E199)</f>
        <v>3333</v>
      </c>
      <c r="G199" s="36" t="str">
        <f t="shared" si="37"/>
        <v>Farol Vermelho</v>
      </c>
      <c r="H199">
        <f t="shared" si="35"/>
        <v>29167</v>
      </c>
      <c r="I199" s="6">
        <f t="shared" si="36"/>
        <v>6</v>
      </c>
      <c r="J199" s="75">
        <v>10</v>
      </c>
      <c r="K199" s="75">
        <v>0</v>
      </c>
      <c r="L199" s="6">
        <f>$L194+L198</f>
        <v>5</v>
      </c>
      <c r="M199" s="6">
        <f t="shared" si="41"/>
        <v>2</v>
      </c>
      <c r="N199" s="78">
        <v>100</v>
      </c>
      <c r="O199">
        <f t="shared" si="38"/>
        <v>0.5</v>
      </c>
      <c r="P199" s="78">
        <v>50</v>
      </c>
      <c r="Q199">
        <f t="shared" si="39"/>
        <v>0.3</v>
      </c>
      <c r="R199" s="75">
        <v>15</v>
      </c>
      <c r="S199" s="6">
        <f t="shared" si="40"/>
        <v>0.15</v>
      </c>
    </row>
    <row r="200" spans="1:19" x14ac:dyDescent="0.25">
      <c r="A200" s="37" t="s">
        <v>95</v>
      </c>
      <c r="B200" s="6" t="s">
        <v>164</v>
      </c>
      <c r="C200" s="67">
        <v>65000</v>
      </c>
      <c r="D200" s="6">
        <f>(C200/12)*7</f>
        <v>37916.666666666672</v>
      </c>
      <c r="E200" s="67">
        <v>0</v>
      </c>
      <c r="F200" s="6">
        <f>SUM(E194:E200)</f>
        <v>3333</v>
      </c>
      <c r="G200" s="36" t="str">
        <f t="shared" si="37"/>
        <v>Farol Vermelho</v>
      </c>
      <c r="H200">
        <f t="shared" si="35"/>
        <v>34583.666666666672</v>
      </c>
      <c r="I200" s="6">
        <f t="shared" si="36"/>
        <v>7</v>
      </c>
      <c r="J200" s="77">
        <v>10</v>
      </c>
      <c r="K200" s="77">
        <v>0</v>
      </c>
      <c r="L200" s="6">
        <f>$L194+L199</f>
        <v>5.833333333333333</v>
      </c>
      <c r="M200" s="6">
        <f t="shared" si="41"/>
        <v>2</v>
      </c>
      <c r="N200" s="78">
        <v>100</v>
      </c>
      <c r="O200">
        <f t="shared" si="38"/>
        <v>0.5</v>
      </c>
      <c r="P200" s="78">
        <v>50</v>
      </c>
      <c r="Q200">
        <f t="shared" si="39"/>
        <v>0.3</v>
      </c>
      <c r="R200" s="75">
        <v>15</v>
      </c>
      <c r="S200" s="6">
        <f t="shared" si="40"/>
        <v>0.15</v>
      </c>
    </row>
    <row r="201" spans="1:19" x14ac:dyDescent="0.25">
      <c r="A201" s="37" t="s">
        <v>95</v>
      </c>
      <c r="B201" s="6" t="s">
        <v>165</v>
      </c>
      <c r="C201" s="67">
        <v>65000</v>
      </c>
      <c r="D201" s="6">
        <f>(C201/12)*8</f>
        <v>43333.333333333336</v>
      </c>
      <c r="E201" s="67">
        <v>4500</v>
      </c>
      <c r="F201" s="6">
        <f>SUM(E194:E201)</f>
        <v>7833</v>
      </c>
      <c r="G201" s="36" t="str">
        <f t="shared" si="37"/>
        <v>Farol Vermelho</v>
      </c>
      <c r="H201">
        <f t="shared" si="35"/>
        <v>35500.333333333336</v>
      </c>
      <c r="I201" s="6">
        <f t="shared" si="36"/>
        <v>8</v>
      </c>
      <c r="J201" s="75">
        <v>10</v>
      </c>
      <c r="K201" s="75">
        <v>2</v>
      </c>
      <c r="L201" s="6">
        <f>L194+L200</f>
        <v>6.6666666666666661</v>
      </c>
      <c r="M201" s="6">
        <f t="shared" si="41"/>
        <v>4</v>
      </c>
      <c r="N201" s="78">
        <v>100</v>
      </c>
      <c r="O201">
        <f t="shared" si="38"/>
        <v>0.5</v>
      </c>
      <c r="P201" s="78">
        <v>50</v>
      </c>
      <c r="Q201">
        <f t="shared" si="39"/>
        <v>0.3</v>
      </c>
      <c r="R201" s="75">
        <v>15</v>
      </c>
      <c r="S201" s="6">
        <f t="shared" si="40"/>
        <v>0.15</v>
      </c>
    </row>
    <row r="202" spans="1:19" x14ac:dyDescent="0.25">
      <c r="A202" s="37" t="s">
        <v>95</v>
      </c>
      <c r="B202" s="6" t="s">
        <v>166</v>
      </c>
      <c r="C202" s="67">
        <v>65000</v>
      </c>
      <c r="D202" s="6">
        <f>(C202/12)*9</f>
        <v>48750</v>
      </c>
      <c r="E202" s="67">
        <v>800</v>
      </c>
      <c r="F202" s="6">
        <f>SUM(E194:E202)</f>
        <v>8633</v>
      </c>
      <c r="G202" s="36" t="str">
        <f t="shared" si="37"/>
        <v>Farol Vermelho</v>
      </c>
      <c r="H202">
        <f t="shared" si="35"/>
        <v>40117</v>
      </c>
      <c r="I202" s="6">
        <f t="shared" si="36"/>
        <v>9</v>
      </c>
      <c r="J202" s="77">
        <v>10</v>
      </c>
      <c r="K202" s="77">
        <v>1</v>
      </c>
      <c r="L202" s="6">
        <f>$L194+L201</f>
        <v>7.4999999999999991</v>
      </c>
      <c r="M202" s="6">
        <f t="shared" si="41"/>
        <v>5</v>
      </c>
      <c r="N202" s="78">
        <v>100</v>
      </c>
      <c r="O202">
        <f t="shared" si="38"/>
        <v>0.5</v>
      </c>
      <c r="P202" s="78">
        <v>50</v>
      </c>
      <c r="Q202">
        <f t="shared" si="39"/>
        <v>0.3</v>
      </c>
      <c r="R202" s="75">
        <v>15</v>
      </c>
      <c r="S202" s="6">
        <f t="shared" si="40"/>
        <v>0.15</v>
      </c>
    </row>
    <row r="203" spans="1:19" x14ac:dyDescent="0.25">
      <c r="A203" s="37" t="s">
        <v>95</v>
      </c>
      <c r="B203" s="6" t="s">
        <v>167</v>
      </c>
      <c r="C203" s="67">
        <v>65000</v>
      </c>
      <c r="D203" s="6">
        <f>(C203/12)*10</f>
        <v>54166.666666666672</v>
      </c>
      <c r="E203" s="67">
        <v>23500</v>
      </c>
      <c r="F203" s="6">
        <f>SUM(E194:E203)</f>
        <v>32133</v>
      </c>
      <c r="G203" s="36" t="str">
        <f t="shared" si="37"/>
        <v>Farol Vermelho</v>
      </c>
      <c r="H203">
        <f t="shared" si="35"/>
        <v>22033.666666666672</v>
      </c>
      <c r="I203" s="6">
        <f t="shared" si="36"/>
        <v>10</v>
      </c>
      <c r="J203" s="75">
        <v>10</v>
      </c>
      <c r="K203" s="75">
        <v>2</v>
      </c>
      <c r="L203" s="6">
        <f>$L194+L202</f>
        <v>8.3333333333333321</v>
      </c>
      <c r="M203" s="6">
        <f t="shared" si="41"/>
        <v>7</v>
      </c>
      <c r="N203" s="78">
        <v>100</v>
      </c>
      <c r="O203">
        <f t="shared" si="38"/>
        <v>0.5</v>
      </c>
      <c r="P203" s="78">
        <v>50</v>
      </c>
      <c r="Q203">
        <f t="shared" si="39"/>
        <v>0.3</v>
      </c>
      <c r="R203" s="75">
        <v>15</v>
      </c>
      <c r="S203" s="6">
        <f t="shared" si="40"/>
        <v>0.15</v>
      </c>
    </row>
    <row r="204" spans="1:19" x14ac:dyDescent="0.25">
      <c r="A204" s="37" t="s">
        <v>95</v>
      </c>
      <c r="B204" s="6" t="s">
        <v>168</v>
      </c>
      <c r="C204" s="67">
        <v>65000</v>
      </c>
      <c r="D204" s="6">
        <f>(C204/12)*11</f>
        <v>59583.333333333336</v>
      </c>
      <c r="E204" s="67">
        <v>801</v>
      </c>
      <c r="F204" s="6">
        <f>SUM(E194:E204)</f>
        <v>32934</v>
      </c>
      <c r="G204" s="36" t="str">
        <f t="shared" si="37"/>
        <v>Farol Vermelho</v>
      </c>
      <c r="H204">
        <f t="shared" si="35"/>
        <v>26649.333333333336</v>
      </c>
      <c r="I204" s="6">
        <f t="shared" si="36"/>
        <v>11</v>
      </c>
      <c r="J204" s="77">
        <v>10</v>
      </c>
      <c r="K204" s="77">
        <v>2</v>
      </c>
      <c r="L204" s="6">
        <f>L194+L203</f>
        <v>9.1666666666666661</v>
      </c>
      <c r="M204" s="6">
        <f t="shared" si="41"/>
        <v>9</v>
      </c>
      <c r="N204" s="78">
        <v>100</v>
      </c>
      <c r="O204">
        <f t="shared" si="38"/>
        <v>0.5</v>
      </c>
      <c r="P204" s="78">
        <v>50</v>
      </c>
      <c r="Q204">
        <f t="shared" si="39"/>
        <v>0.3</v>
      </c>
      <c r="R204" s="75">
        <v>15</v>
      </c>
      <c r="S204" s="6">
        <f t="shared" si="40"/>
        <v>0.15</v>
      </c>
    </row>
    <row r="205" spans="1:19" x14ac:dyDescent="0.25">
      <c r="A205" s="37" t="s">
        <v>95</v>
      </c>
      <c r="B205" s="6" t="s">
        <v>169</v>
      </c>
      <c r="C205" s="67">
        <v>65000</v>
      </c>
      <c r="D205" s="6">
        <f>(C205/12)*12</f>
        <v>65000</v>
      </c>
      <c r="E205" s="67">
        <v>3997</v>
      </c>
      <c r="F205" s="6">
        <f>SUM(E194:E205)</f>
        <v>36931</v>
      </c>
      <c r="G205" s="36" t="str">
        <f t="shared" si="37"/>
        <v>Farol Vermelho</v>
      </c>
      <c r="H205">
        <f t="shared" si="35"/>
        <v>28069</v>
      </c>
      <c r="I205" s="6">
        <f t="shared" si="36"/>
        <v>12</v>
      </c>
      <c r="J205" s="75">
        <v>10</v>
      </c>
      <c r="K205" s="75">
        <v>2</v>
      </c>
      <c r="L205" s="6">
        <f>$L194+L204</f>
        <v>10</v>
      </c>
      <c r="M205" s="6">
        <f t="shared" si="41"/>
        <v>11</v>
      </c>
      <c r="N205" s="78">
        <v>100</v>
      </c>
      <c r="O205">
        <f t="shared" si="38"/>
        <v>0.5</v>
      </c>
      <c r="P205" s="78">
        <v>50</v>
      </c>
      <c r="Q205">
        <f t="shared" si="39"/>
        <v>0.3</v>
      </c>
      <c r="R205" s="75">
        <v>15</v>
      </c>
      <c r="S205" s="6">
        <f t="shared" si="40"/>
        <v>0.15</v>
      </c>
    </row>
    <row r="206" spans="1:19" x14ac:dyDescent="0.25">
      <c r="A206" s="37" t="s">
        <v>132</v>
      </c>
      <c r="B206" s="6" t="s">
        <v>158</v>
      </c>
      <c r="C206" s="67">
        <v>189750</v>
      </c>
      <c r="D206" s="6">
        <f>(C206/12)*1</f>
        <v>15812.5</v>
      </c>
      <c r="E206" s="67">
        <v>14200</v>
      </c>
      <c r="F206" s="6">
        <f>E206</f>
        <v>14200</v>
      </c>
      <c r="G206" s="36" t="str">
        <f t="shared" si="37"/>
        <v>Farol Amarelo</v>
      </c>
      <c r="H206">
        <f t="shared" si="35"/>
        <v>1612.5</v>
      </c>
      <c r="I206" s="6">
        <f t="shared" si="36"/>
        <v>1</v>
      </c>
      <c r="J206" s="77">
        <v>23</v>
      </c>
      <c r="K206" s="77">
        <v>2</v>
      </c>
      <c r="L206" s="6">
        <f>J206/12</f>
        <v>1.9166666666666667</v>
      </c>
      <c r="M206" s="6">
        <f>K206</f>
        <v>2</v>
      </c>
      <c r="N206" s="78">
        <v>100</v>
      </c>
      <c r="O206">
        <f t="shared" si="38"/>
        <v>0.5</v>
      </c>
      <c r="P206" s="78">
        <v>50</v>
      </c>
      <c r="Q206">
        <f t="shared" si="39"/>
        <v>0.3</v>
      </c>
      <c r="R206" s="75">
        <v>15</v>
      </c>
      <c r="S206" s="6">
        <f t="shared" si="40"/>
        <v>0.15</v>
      </c>
    </row>
    <row r="207" spans="1:19" x14ac:dyDescent="0.25">
      <c r="A207" s="37" t="s">
        <v>132</v>
      </c>
      <c r="B207" s="6" t="s">
        <v>159</v>
      </c>
      <c r="C207" s="67">
        <v>189750</v>
      </c>
      <c r="D207" s="6">
        <f>(C207/12)*2</f>
        <v>31625</v>
      </c>
      <c r="E207" s="67">
        <v>13500</v>
      </c>
      <c r="F207" s="6">
        <f>SUM(E206:E207)</f>
        <v>27700</v>
      </c>
      <c r="G207" s="36" t="str">
        <f t="shared" si="37"/>
        <v>Farol Amarelo</v>
      </c>
      <c r="H207">
        <f t="shared" si="35"/>
        <v>3925</v>
      </c>
      <c r="I207" s="6">
        <f t="shared" si="36"/>
        <v>2</v>
      </c>
      <c r="J207" s="75">
        <v>23</v>
      </c>
      <c r="K207" s="75">
        <v>2</v>
      </c>
      <c r="L207" s="6">
        <f>L206+L206</f>
        <v>3.8333333333333335</v>
      </c>
      <c r="M207" s="6">
        <f>M206+K207</f>
        <v>4</v>
      </c>
      <c r="N207" s="78">
        <v>100</v>
      </c>
      <c r="O207">
        <f t="shared" si="38"/>
        <v>0.5</v>
      </c>
      <c r="P207" s="78">
        <v>50</v>
      </c>
      <c r="Q207">
        <f t="shared" si="39"/>
        <v>0.3</v>
      </c>
      <c r="R207" s="75">
        <v>15</v>
      </c>
      <c r="S207" s="6">
        <f t="shared" si="40"/>
        <v>0.15</v>
      </c>
    </row>
    <row r="208" spans="1:19" x14ac:dyDescent="0.25">
      <c r="A208" s="37" t="s">
        <v>132</v>
      </c>
      <c r="B208" s="6" t="s">
        <v>160</v>
      </c>
      <c r="C208" s="67">
        <v>189750</v>
      </c>
      <c r="D208" s="6">
        <f>(C208/12)*3</f>
        <v>47437.5</v>
      </c>
      <c r="E208" s="67">
        <v>13000</v>
      </c>
      <c r="F208" s="6">
        <f>SUM(E206:E208)</f>
        <v>40700</v>
      </c>
      <c r="G208" s="36" t="str">
        <f t="shared" si="37"/>
        <v>Farol Amarelo</v>
      </c>
      <c r="H208">
        <f t="shared" si="35"/>
        <v>6737.5</v>
      </c>
      <c r="I208" s="6">
        <f t="shared" si="36"/>
        <v>3</v>
      </c>
      <c r="J208" s="77">
        <v>23</v>
      </c>
      <c r="K208" s="77">
        <v>1</v>
      </c>
      <c r="L208" s="6">
        <f>$L206+L207</f>
        <v>5.75</v>
      </c>
      <c r="M208" s="6">
        <f t="shared" ref="M208:M217" si="42">M207+K208</f>
        <v>5</v>
      </c>
      <c r="N208" s="78">
        <v>100</v>
      </c>
      <c r="O208">
        <f t="shared" si="38"/>
        <v>0.5</v>
      </c>
      <c r="P208" s="78">
        <v>50</v>
      </c>
      <c r="Q208">
        <f t="shared" si="39"/>
        <v>0.3</v>
      </c>
      <c r="R208" s="75">
        <v>15</v>
      </c>
      <c r="S208" s="6">
        <f t="shared" si="40"/>
        <v>0.15</v>
      </c>
    </row>
    <row r="209" spans="1:19" x14ac:dyDescent="0.25">
      <c r="A209" s="37" t="s">
        <v>132</v>
      </c>
      <c r="B209" s="6" t="s">
        <v>161</v>
      </c>
      <c r="C209" s="67">
        <v>189750</v>
      </c>
      <c r="D209" s="6">
        <f>(C209/12)*4</f>
        <v>63250</v>
      </c>
      <c r="E209" s="67">
        <v>20864</v>
      </c>
      <c r="F209" s="6">
        <f>SUM(E206:E209)</f>
        <v>61564</v>
      </c>
      <c r="G209" s="36" t="str">
        <f t="shared" si="37"/>
        <v>Farol Amarelo</v>
      </c>
      <c r="H209">
        <f t="shared" si="35"/>
        <v>1686</v>
      </c>
      <c r="I209" s="6">
        <f t="shared" si="36"/>
        <v>4</v>
      </c>
      <c r="J209" s="75">
        <v>23</v>
      </c>
      <c r="K209" s="75">
        <v>2</v>
      </c>
      <c r="L209" s="6">
        <f>$L206+L208</f>
        <v>7.666666666666667</v>
      </c>
      <c r="M209" s="6">
        <f t="shared" si="42"/>
        <v>7</v>
      </c>
      <c r="N209" s="78">
        <v>100</v>
      </c>
      <c r="O209">
        <f t="shared" si="38"/>
        <v>0.5</v>
      </c>
      <c r="P209" s="78">
        <v>50</v>
      </c>
      <c r="Q209">
        <f t="shared" si="39"/>
        <v>0.3</v>
      </c>
      <c r="R209" s="75">
        <v>15</v>
      </c>
      <c r="S209" s="6">
        <f t="shared" si="40"/>
        <v>0.15</v>
      </c>
    </row>
    <row r="210" spans="1:19" x14ac:dyDescent="0.25">
      <c r="A210" s="37" t="s">
        <v>132</v>
      </c>
      <c r="B210" s="6" t="s">
        <v>162</v>
      </c>
      <c r="C210" s="67">
        <v>189750</v>
      </c>
      <c r="D210" s="6">
        <f>(C210/12)*5</f>
        <v>79062.5</v>
      </c>
      <c r="E210" s="67">
        <v>0</v>
      </c>
      <c r="F210" s="6">
        <f>SUM(E206:E210)</f>
        <v>61564</v>
      </c>
      <c r="G210" s="36" t="str">
        <f t="shared" si="37"/>
        <v>Farol Vermelho</v>
      </c>
      <c r="H210">
        <f t="shared" si="35"/>
        <v>17498.5</v>
      </c>
      <c r="I210" s="6">
        <f t="shared" si="36"/>
        <v>5</v>
      </c>
      <c r="J210" s="77">
        <v>23</v>
      </c>
      <c r="K210" s="77">
        <v>0</v>
      </c>
      <c r="L210" s="6">
        <f>L206+L209</f>
        <v>9.5833333333333339</v>
      </c>
      <c r="M210" s="6">
        <f t="shared" si="42"/>
        <v>7</v>
      </c>
      <c r="N210" s="78">
        <v>100</v>
      </c>
      <c r="O210">
        <f t="shared" si="38"/>
        <v>0.5</v>
      </c>
      <c r="P210" s="78">
        <v>50</v>
      </c>
      <c r="Q210">
        <f t="shared" si="39"/>
        <v>0.3</v>
      </c>
      <c r="R210" s="75">
        <v>15</v>
      </c>
      <c r="S210" s="6">
        <f t="shared" si="40"/>
        <v>0.15</v>
      </c>
    </row>
    <row r="211" spans="1:19" x14ac:dyDescent="0.25">
      <c r="A211" s="37" t="s">
        <v>132</v>
      </c>
      <c r="B211" s="6" t="s">
        <v>163</v>
      </c>
      <c r="C211" s="67">
        <v>189750</v>
      </c>
      <c r="D211" s="6">
        <f>(C211/12)*6</f>
        <v>94875</v>
      </c>
      <c r="E211" s="67">
        <v>13600</v>
      </c>
      <c r="F211" s="6">
        <f>SUM(E206:E211)</f>
        <v>75164</v>
      </c>
      <c r="G211" s="36" t="str">
        <f t="shared" si="37"/>
        <v>Farol Vermelho</v>
      </c>
      <c r="H211">
        <f t="shared" si="35"/>
        <v>19711</v>
      </c>
      <c r="I211" s="6">
        <f t="shared" si="36"/>
        <v>6</v>
      </c>
      <c r="J211" s="75">
        <v>23</v>
      </c>
      <c r="K211" s="75">
        <v>2</v>
      </c>
      <c r="L211" s="6">
        <f>$L206+L210</f>
        <v>11.5</v>
      </c>
      <c r="M211" s="6">
        <f t="shared" si="42"/>
        <v>9</v>
      </c>
      <c r="N211" s="78">
        <v>100</v>
      </c>
      <c r="O211">
        <f t="shared" si="38"/>
        <v>0.5</v>
      </c>
      <c r="P211" s="78">
        <v>50</v>
      </c>
      <c r="Q211">
        <f t="shared" si="39"/>
        <v>0.3</v>
      </c>
      <c r="R211" s="75">
        <v>15</v>
      </c>
      <c r="S211" s="6">
        <f t="shared" si="40"/>
        <v>0.15</v>
      </c>
    </row>
    <row r="212" spans="1:19" x14ac:dyDescent="0.25">
      <c r="A212" s="37" t="s">
        <v>132</v>
      </c>
      <c r="B212" s="6" t="s">
        <v>164</v>
      </c>
      <c r="C212" s="67">
        <v>189750</v>
      </c>
      <c r="D212" s="6">
        <f>(C212/12)*7</f>
        <v>110687.5</v>
      </c>
      <c r="E212" s="67">
        <v>11600</v>
      </c>
      <c r="F212" s="6">
        <f>SUM(E206:E212)</f>
        <v>86764</v>
      </c>
      <c r="G212" s="36" t="str">
        <f t="shared" si="37"/>
        <v>Farol Vermelho</v>
      </c>
      <c r="H212">
        <f t="shared" si="35"/>
        <v>23923.5</v>
      </c>
      <c r="I212" s="6">
        <f t="shared" si="36"/>
        <v>7</v>
      </c>
      <c r="J212" s="77">
        <v>23</v>
      </c>
      <c r="K212" s="77">
        <v>3</v>
      </c>
      <c r="L212" s="6">
        <f>$L206+L211</f>
        <v>13.416666666666666</v>
      </c>
      <c r="M212" s="6">
        <f t="shared" si="42"/>
        <v>12</v>
      </c>
      <c r="N212" s="78">
        <v>100</v>
      </c>
      <c r="O212">
        <f t="shared" si="38"/>
        <v>0.5</v>
      </c>
      <c r="P212" s="78">
        <v>50</v>
      </c>
      <c r="Q212">
        <f t="shared" si="39"/>
        <v>0.3</v>
      </c>
      <c r="R212" s="75">
        <v>15</v>
      </c>
      <c r="S212" s="6">
        <f t="shared" si="40"/>
        <v>0.15</v>
      </c>
    </row>
    <row r="213" spans="1:19" x14ac:dyDescent="0.25">
      <c r="A213" s="37" t="s">
        <v>132</v>
      </c>
      <c r="B213" s="6" t="s">
        <v>165</v>
      </c>
      <c r="C213" s="67">
        <v>189750</v>
      </c>
      <c r="D213" s="6">
        <f>(C213/12)*8</f>
        <v>126500</v>
      </c>
      <c r="E213" s="67">
        <v>1200</v>
      </c>
      <c r="F213" s="6">
        <f>SUM(E206:E213)</f>
        <v>87964</v>
      </c>
      <c r="G213" s="36" t="str">
        <f t="shared" si="37"/>
        <v>Farol Vermelho</v>
      </c>
      <c r="H213">
        <f t="shared" si="35"/>
        <v>38536</v>
      </c>
      <c r="I213" s="6">
        <f t="shared" si="36"/>
        <v>8</v>
      </c>
      <c r="J213" s="75">
        <v>23</v>
      </c>
      <c r="K213" s="75">
        <v>1</v>
      </c>
      <c r="L213" s="6">
        <f>L206+L212</f>
        <v>15.333333333333332</v>
      </c>
      <c r="M213" s="6">
        <f t="shared" si="42"/>
        <v>13</v>
      </c>
      <c r="N213" s="78">
        <v>100</v>
      </c>
      <c r="O213">
        <f t="shared" si="38"/>
        <v>0.5</v>
      </c>
      <c r="P213" s="78">
        <v>50</v>
      </c>
      <c r="Q213">
        <f t="shared" si="39"/>
        <v>0.3</v>
      </c>
      <c r="R213" s="75">
        <v>15</v>
      </c>
      <c r="S213" s="6">
        <f t="shared" si="40"/>
        <v>0.15</v>
      </c>
    </row>
    <row r="214" spans="1:19" x14ac:dyDescent="0.25">
      <c r="A214" s="37" t="s">
        <v>132</v>
      </c>
      <c r="B214" s="6" t="s">
        <v>166</v>
      </c>
      <c r="C214" s="67">
        <v>189750</v>
      </c>
      <c r="D214" s="6">
        <f>(C214/12)*9</f>
        <v>142312.5</v>
      </c>
      <c r="E214" s="67">
        <v>9100</v>
      </c>
      <c r="F214" s="6">
        <f>SUM(E206:E214)</f>
        <v>97064</v>
      </c>
      <c r="G214" s="36" t="str">
        <f t="shared" si="37"/>
        <v>Farol Vermelho</v>
      </c>
      <c r="H214">
        <f t="shared" si="35"/>
        <v>45248.5</v>
      </c>
      <c r="I214" s="6">
        <f t="shared" si="36"/>
        <v>9</v>
      </c>
      <c r="J214" s="77">
        <v>23</v>
      </c>
      <c r="K214" s="77">
        <v>2</v>
      </c>
      <c r="L214" s="6">
        <f>$L206+L213</f>
        <v>17.25</v>
      </c>
      <c r="M214" s="6">
        <f t="shared" si="42"/>
        <v>15</v>
      </c>
      <c r="N214" s="78">
        <v>100</v>
      </c>
      <c r="O214">
        <f t="shared" si="38"/>
        <v>0.5</v>
      </c>
      <c r="P214" s="78">
        <v>50</v>
      </c>
      <c r="Q214">
        <f t="shared" si="39"/>
        <v>0.3</v>
      </c>
      <c r="R214" s="75">
        <v>15</v>
      </c>
      <c r="S214" s="6">
        <f t="shared" si="40"/>
        <v>0.15</v>
      </c>
    </row>
    <row r="215" spans="1:19" x14ac:dyDescent="0.25">
      <c r="A215" s="37" t="s">
        <v>132</v>
      </c>
      <c r="B215" s="6" t="s">
        <v>167</v>
      </c>
      <c r="C215" s="67">
        <v>189750</v>
      </c>
      <c r="D215" s="6">
        <f>(C215/12)*10</f>
        <v>158125</v>
      </c>
      <c r="E215" s="67">
        <v>2100</v>
      </c>
      <c r="F215" s="6">
        <f>SUM(E206:E215)</f>
        <v>99164</v>
      </c>
      <c r="G215" s="36" t="str">
        <f t="shared" si="37"/>
        <v>Farol Vermelho</v>
      </c>
      <c r="H215">
        <f t="shared" si="35"/>
        <v>58961</v>
      </c>
      <c r="I215" s="6">
        <f t="shared" si="36"/>
        <v>10</v>
      </c>
      <c r="J215" s="75">
        <v>23</v>
      </c>
      <c r="K215" s="75">
        <v>2</v>
      </c>
      <c r="L215" s="6">
        <f>$L206+L214</f>
        <v>19.166666666666668</v>
      </c>
      <c r="M215" s="6">
        <f t="shared" si="42"/>
        <v>17</v>
      </c>
      <c r="N215" s="78">
        <v>100</v>
      </c>
      <c r="O215">
        <f t="shared" si="38"/>
        <v>0.5</v>
      </c>
      <c r="P215" s="78">
        <v>50</v>
      </c>
      <c r="Q215">
        <f t="shared" si="39"/>
        <v>0.3</v>
      </c>
      <c r="R215" s="75">
        <v>15</v>
      </c>
      <c r="S215" s="6">
        <f t="shared" si="40"/>
        <v>0.15</v>
      </c>
    </row>
    <row r="216" spans="1:19" x14ac:dyDescent="0.25">
      <c r="A216" s="37" t="s">
        <v>132</v>
      </c>
      <c r="B216" s="6" t="s">
        <v>168</v>
      </c>
      <c r="C216" s="67">
        <v>189750</v>
      </c>
      <c r="D216" s="6">
        <f>(C216/12)*11</f>
        <v>173937.5</v>
      </c>
      <c r="E216" s="67">
        <v>0</v>
      </c>
      <c r="F216" s="6">
        <f>SUM(E206:E216)</f>
        <v>99164</v>
      </c>
      <c r="G216" s="36" t="str">
        <f t="shared" si="37"/>
        <v>Farol Vermelho</v>
      </c>
      <c r="H216">
        <f t="shared" si="35"/>
        <v>74773.5</v>
      </c>
      <c r="I216" s="6">
        <f t="shared" si="36"/>
        <v>11</v>
      </c>
      <c r="J216" s="77">
        <v>23</v>
      </c>
      <c r="K216" s="77">
        <v>0</v>
      </c>
      <c r="L216" s="6">
        <f>L206+L215</f>
        <v>21.083333333333336</v>
      </c>
      <c r="M216" s="6">
        <f t="shared" si="42"/>
        <v>17</v>
      </c>
      <c r="N216" s="78">
        <v>100</v>
      </c>
      <c r="O216">
        <f t="shared" si="38"/>
        <v>0.5</v>
      </c>
      <c r="P216" s="78">
        <v>50</v>
      </c>
      <c r="Q216">
        <f t="shared" si="39"/>
        <v>0.3</v>
      </c>
      <c r="R216" s="75">
        <v>15</v>
      </c>
      <c r="S216" s="6">
        <f t="shared" si="40"/>
        <v>0.15</v>
      </c>
    </row>
    <row r="217" spans="1:19" x14ac:dyDescent="0.25">
      <c r="A217" s="37" t="s">
        <v>132</v>
      </c>
      <c r="B217" s="6" t="s">
        <v>169</v>
      </c>
      <c r="C217" s="67">
        <v>189750</v>
      </c>
      <c r="D217" s="6">
        <f>(C217/12)*12</f>
        <v>189750</v>
      </c>
      <c r="E217" s="67">
        <v>0</v>
      </c>
      <c r="F217" s="6">
        <f>SUM(E206:E217)</f>
        <v>99164</v>
      </c>
      <c r="G217" s="36" t="str">
        <f t="shared" si="37"/>
        <v>Farol Vermelho</v>
      </c>
      <c r="H217">
        <f t="shared" si="35"/>
        <v>90586</v>
      </c>
      <c r="I217" s="6">
        <f t="shared" si="36"/>
        <v>12</v>
      </c>
      <c r="J217" s="75">
        <v>23</v>
      </c>
      <c r="K217" s="75">
        <v>0</v>
      </c>
      <c r="L217" s="6">
        <f>$L206+L216</f>
        <v>23.000000000000004</v>
      </c>
      <c r="M217" s="6">
        <f t="shared" si="42"/>
        <v>17</v>
      </c>
      <c r="N217" s="78">
        <v>100</v>
      </c>
      <c r="O217">
        <f t="shared" si="38"/>
        <v>0.5</v>
      </c>
      <c r="P217" s="78">
        <v>50</v>
      </c>
      <c r="Q217">
        <f t="shared" si="39"/>
        <v>0.3</v>
      </c>
      <c r="R217" s="75">
        <v>15</v>
      </c>
      <c r="S217" s="6">
        <f t="shared" si="40"/>
        <v>0.15</v>
      </c>
    </row>
    <row r="218" spans="1:19" x14ac:dyDescent="0.25">
      <c r="A218" s="37" t="s">
        <v>74</v>
      </c>
      <c r="B218" s="6" t="s">
        <v>158</v>
      </c>
      <c r="C218" s="67">
        <v>70000</v>
      </c>
      <c r="D218" s="6">
        <f>(C218/12)*1</f>
        <v>5833.333333333333</v>
      </c>
      <c r="E218" s="67">
        <v>0</v>
      </c>
      <c r="F218" s="6">
        <f>E218</f>
        <v>0</v>
      </c>
      <c r="G218" s="36" t="str">
        <f t="shared" si="37"/>
        <v>Farol Vermelho</v>
      </c>
      <c r="H218">
        <f t="shared" si="35"/>
        <v>5833.333333333333</v>
      </c>
      <c r="I218" s="6">
        <f t="shared" si="36"/>
        <v>1</v>
      </c>
      <c r="J218" s="77">
        <v>24</v>
      </c>
      <c r="K218" s="77">
        <v>0</v>
      </c>
      <c r="L218" s="6">
        <f>J218/12</f>
        <v>2</v>
      </c>
      <c r="M218" s="6">
        <f>K218</f>
        <v>0</v>
      </c>
      <c r="N218" s="78">
        <v>100</v>
      </c>
      <c r="O218">
        <f t="shared" si="38"/>
        <v>0.5</v>
      </c>
      <c r="P218" s="78">
        <v>50</v>
      </c>
      <c r="Q218">
        <f t="shared" si="39"/>
        <v>0.3</v>
      </c>
      <c r="R218" s="75">
        <v>15</v>
      </c>
      <c r="S218" s="6">
        <f t="shared" si="40"/>
        <v>0.15</v>
      </c>
    </row>
    <row r="219" spans="1:19" x14ac:dyDescent="0.25">
      <c r="A219" s="37" t="s">
        <v>74</v>
      </c>
      <c r="B219" s="6" t="s">
        <v>159</v>
      </c>
      <c r="C219" s="67">
        <v>70000</v>
      </c>
      <c r="D219" s="6">
        <f>(C219/12)*2</f>
        <v>11666.666666666666</v>
      </c>
      <c r="E219" s="67">
        <v>35</v>
      </c>
      <c r="F219" s="6">
        <f>SUM(E218:E219)</f>
        <v>35</v>
      </c>
      <c r="G219" s="36" t="str">
        <f t="shared" si="37"/>
        <v>Farol Vermelho</v>
      </c>
      <c r="H219">
        <f t="shared" si="35"/>
        <v>11631.666666666666</v>
      </c>
      <c r="I219" s="6">
        <f t="shared" si="36"/>
        <v>2</v>
      </c>
      <c r="J219" s="75">
        <v>24</v>
      </c>
      <c r="K219" s="75">
        <v>1</v>
      </c>
      <c r="L219" s="6">
        <f>L218+L218</f>
        <v>4</v>
      </c>
      <c r="M219" s="6">
        <f>M218+K219</f>
        <v>1</v>
      </c>
      <c r="N219" s="78">
        <v>100</v>
      </c>
      <c r="O219">
        <f t="shared" si="38"/>
        <v>0.5</v>
      </c>
      <c r="P219" s="78">
        <v>50</v>
      </c>
      <c r="Q219">
        <f t="shared" si="39"/>
        <v>0.3</v>
      </c>
      <c r="R219" s="75">
        <v>15</v>
      </c>
      <c r="S219" s="6">
        <f t="shared" si="40"/>
        <v>0.15</v>
      </c>
    </row>
    <row r="220" spans="1:19" x14ac:dyDescent="0.25">
      <c r="A220" s="37" t="s">
        <v>74</v>
      </c>
      <c r="B220" s="6" t="s">
        <v>160</v>
      </c>
      <c r="C220" s="67">
        <v>70000</v>
      </c>
      <c r="D220" s="6">
        <f>(C220/12)*3</f>
        <v>17500</v>
      </c>
      <c r="E220" s="67">
        <v>0</v>
      </c>
      <c r="F220" s="6">
        <f>SUM(E218:E220)</f>
        <v>35</v>
      </c>
      <c r="G220" s="36" t="str">
        <f t="shared" si="37"/>
        <v>Farol Vermelho</v>
      </c>
      <c r="H220">
        <f t="shared" si="35"/>
        <v>17465</v>
      </c>
      <c r="I220" s="6">
        <f t="shared" si="36"/>
        <v>3</v>
      </c>
      <c r="J220" s="77">
        <v>24</v>
      </c>
      <c r="K220" s="77">
        <v>0</v>
      </c>
      <c r="L220" s="6">
        <f>$L218+L219</f>
        <v>6</v>
      </c>
      <c r="M220" s="6">
        <f t="shared" ref="M220:M229" si="43">M219+K220</f>
        <v>1</v>
      </c>
      <c r="N220" s="78">
        <v>100</v>
      </c>
      <c r="O220">
        <f t="shared" si="38"/>
        <v>0.5</v>
      </c>
      <c r="P220" s="78">
        <v>50</v>
      </c>
      <c r="Q220">
        <f t="shared" si="39"/>
        <v>0.3</v>
      </c>
      <c r="R220" s="75">
        <v>15</v>
      </c>
      <c r="S220" s="6">
        <f t="shared" si="40"/>
        <v>0.15</v>
      </c>
    </row>
    <row r="221" spans="1:19" x14ac:dyDescent="0.25">
      <c r="A221" s="37" t="s">
        <v>74</v>
      </c>
      <c r="B221" s="6" t="s">
        <v>161</v>
      </c>
      <c r="C221" s="67">
        <v>70000</v>
      </c>
      <c r="D221" s="6">
        <f>(C221/12)*4</f>
        <v>23333.333333333332</v>
      </c>
      <c r="E221" s="67">
        <v>35</v>
      </c>
      <c r="F221" s="6">
        <f>SUM(E218:E221)</f>
        <v>70</v>
      </c>
      <c r="G221" s="36" t="str">
        <f t="shared" si="37"/>
        <v>Farol Vermelho</v>
      </c>
      <c r="H221">
        <f t="shared" si="35"/>
        <v>23263.333333333332</v>
      </c>
      <c r="I221" s="6">
        <f t="shared" si="36"/>
        <v>4</v>
      </c>
      <c r="J221" s="75">
        <v>24</v>
      </c>
      <c r="K221" s="75">
        <v>1</v>
      </c>
      <c r="L221" s="6">
        <f>$L218+L220</f>
        <v>8</v>
      </c>
      <c r="M221" s="6">
        <f t="shared" si="43"/>
        <v>2</v>
      </c>
      <c r="N221" s="78">
        <v>100</v>
      </c>
      <c r="O221">
        <f t="shared" si="38"/>
        <v>0.5</v>
      </c>
      <c r="P221" s="78">
        <v>50</v>
      </c>
      <c r="Q221">
        <f t="shared" si="39"/>
        <v>0.3</v>
      </c>
      <c r="R221" s="75">
        <v>15</v>
      </c>
      <c r="S221" s="6">
        <f t="shared" si="40"/>
        <v>0.15</v>
      </c>
    </row>
    <row r="222" spans="1:19" x14ac:dyDescent="0.25">
      <c r="A222" s="37" t="s">
        <v>74</v>
      </c>
      <c r="B222" s="6" t="s">
        <v>162</v>
      </c>
      <c r="C222" s="67">
        <v>70000</v>
      </c>
      <c r="D222" s="6">
        <f>(C222/12)*5</f>
        <v>29166.666666666664</v>
      </c>
      <c r="E222" s="67">
        <v>1260</v>
      </c>
      <c r="F222" s="6">
        <f>SUM(E218:E222)</f>
        <v>1330</v>
      </c>
      <c r="G222" s="36" t="str">
        <f t="shared" si="37"/>
        <v>Farol Vermelho</v>
      </c>
      <c r="H222">
        <f t="shared" si="35"/>
        <v>27836.666666666664</v>
      </c>
      <c r="I222" s="6">
        <f t="shared" si="36"/>
        <v>5</v>
      </c>
      <c r="J222" s="77">
        <v>24</v>
      </c>
      <c r="K222" s="77">
        <v>1</v>
      </c>
      <c r="L222" s="6">
        <f>L218+L221</f>
        <v>10</v>
      </c>
      <c r="M222" s="6">
        <f t="shared" si="43"/>
        <v>3</v>
      </c>
      <c r="N222" s="78">
        <v>100</v>
      </c>
      <c r="O222">
        <f t="shared" si="38"/>
        <v>0.5</v>
      </c>
      <c r="P222" s="78">
        <v>50</v>
      </c>
      <c r="Q222">
        <f t="shared" si="39"/>
        <v>0.3</v>
      </c>
      <c r="R222" s="75">
        <v>15</v>
      </c>
      <c r="S222" s="6">
        <f t="shared" si="40"/>
        <v>0.15</v>
      </c>
    </row>
    <row r="223" spans="1:19" x14ac:dyDescent="0.25">
      <c r="A223" s="37" t="s">
        <v>74</v>
      </c>
      <c r="B223" s="6" t="s">
        <v>163</v>
      </c>
      <c r="C223" s="67">
        <v>70000</v>
      </c>
      <c r="D223" s="6">
        <f>(C223/12)*6</f>
        <v>35000</v>
      </c>
      <c r="E223" s="67">
        <v>0</v>
      </c>
      <c r="F223" s="6">
        <f>SUM(E218:E223)</f>
        <v>1330</v>
      </c>
      <c r="G223" s="36" t="str">
        <f t="shared" si="37"/>
        <v>Farol Vermelho</v>
      </c>
      <c r="H223">
        <f t="shared" si="35"/>
        <v>33670</v>
      </c>
      <c r="I223" s="6">
        <f t="shared" si="36"/>
        <v>6</v>
      </c>
      <c r="J223" s="75">
        <v>24</v>
      </c>
      <c r="K223" s="75">
        <v>0</v>
      </c>
      <c r="L223" s="6">
        <f>$L218+L222</f>
        <v>12</v>
      </c>
      <c r="M223" s="6">
        <f t="shared" si="43"/>
        <v>3</v>
      </c>
      <c r="N223" s="78">
        <v>100</v>
      </c>
      <c r="O223">
        <f t="shared" si="38"/>
        <v>0.5</v>
      </c>
      <c r="P223" s="78">
        <v>50</v>
      </c>
      <c r="Q223">
        <f t="shared" si="39"/>
        <v>0.3</v>
      </c>
      <c r="R223" s="75">
        <v>15</v>
      </c>
      <c r="S223" s="6">
        <f t="shared" si="40"/>
        <v>0.15</v>
      </c>
    </row>
    <row r="224" spans="1:19" x14ac:dyDescent="0.25">
      <c r="A224" s="37" t="s">
        <v>74</v>
      </c>
      <c r="B224" s="6" t="s">
        <v>164</v>
      </c>
      <c r="C224" s="67">
        <v>70000</v>
      </c>
      <c r="D224" s="6">
        <f>(C224/12)*7</f>
        <v>40833.333333333328</v>
      </c>
      <c r="E224" s="67">
        <v>0</v>
      </c>
      <c r="F224" s="6">
        <f>SUM(E218:E224)</f>
        <v>1330</v>
      </c>
      <c r="G224" s="36" t="str">
        <f t="shared" si="37"/>
        <v>Farol Vermelho</v>
      </c>
      <c r="H224">
        <f t="shared" si="35"/>
        <v>39503.333333333328</v>
      </c>
      <c r="I224" s="6">
        <f t="shared" si="36"/>
        <v>7</v>
      </c>
      <c r="J224" s="77">
        <v>24</v>
      </c>
      <c r="K224" s="77">
        <v>0</v>
      </c>
      <c r="L224" s="6">
        <f>$L218+L223</f>
        <v>14</v>
      </c>
      <c r="M224" s="6">
        <f t="shared" si="43"/>
        <v>3</v>
      </c>
      <c r="N224" s="78">
        <v>100</v>
      </c>
      <c r="O224">
        <f t="shared" si="38"/>
        <v>0.5</v>
      </c>
      <c r="P224" s="78">
        <v>50</v>
      </c>
      <c r="Q224">
        <f t="shared" si="39"/>
        <v>0.3</v>
      </c>
      <c r="R224" s="75">
        <v>15</v>
      </c>
      <c r="S224" s="6">
        <f t="shared" si="40"/>
        <v>0.15</v>
      </c>
    </row>
    <row r="225" spans="1:19" x14ac:dyDescent="0.25">
      <c r="A225" s="37" t="s">
        <v>74</v>
      </c>
      <c r="B225" s="6" t="s">
        <v>165</v>
      </c>
      <c r="C225" s="67">
        <v>70000</v>
      </c>
      <c r="D225" s="6">
        <f>(C225/12)*8</f>
        <v>46666.666666666664</v>
      </c>
      <c r="E225" s="67">
        <v>0</v>
      </c>
      <c r="F225" s="6">
        <f>SUM(E218:E225)</f>
        <v>1330</v>
      </c>
      <c r="G225" s="36" t="str">
        <f t="shared" si="37"/>
        <v>Farol Vermelho</v>
      </c>
      <c r="H225">
        <f t="shared" si="35"/>
        <v>45336.666666666664</v>
      </c>
      <c r="I225" s="6">
        <f t="shared" si="36"/>
        <v>8</v>
      </c>
      <c r="J225" s="75">
        <v>24</v>
      </c>
      <c r="K225" s="75">
        <v>0</v>
      </c>
      <c r="L225" s="6">
        <f>L218+L224</f>
        <v>16</v>
      </c>
      <c r="M225" s="6">
        <f t="shared" si="43"/>
        <v>3</v>
      </c>
      <c r="N225" s="78">
        <v>100</v>
      </c>
      <c r="O225">
        <f t="shared" si="38"/>
        <v>0.5</v>
      </c>
      <c r="P225" s="78">
        <v>50</v>
      </c>
      <c r="Q225">
        <f t="shared" si="39"/>
        <v>0.3</v>
      </c>
      <c r="R225" s="75">
        <v>15</v>
      </c>
      <c r="S225" s="6">
        <f t="shared" si="40"/>
        <v>0.15</v>
      </c>
    </row>
    <row r="226" spans="1:19" x14ac:dyDescent="0.25">
      <c r="A226" s="37" t="s">
        <v>74</v>
      </c>
      <c r="B226" s="6" t="s">
        <v>166</v>
      </c>
      <c r="C226" s="67">
        <v>70000</v>
      </c>
      <c r="D226" s="6">
        <f>(C226/12)*9</f>
        <v>52500</v>
      </c>
      <c r="E226" s="67">
        <v>900</v>
      </c>
      <c r="F226" s="6">
        <f>SUM(E218:E226)</f>
        <v>2230</v>
      </c>
      <c r="G226" s="36" t="str">
        <f t="shared" si="37"/>
        <v>Farol Vermelho</v>
      </c>
      <c r="H226">
        <f t="shared" si="35"/>
        <v>50270</v>
      </c>
      <c r="I226" s="6">
        <f t="shared" si="36"/>
        <v>9</v>
      </c>
      <c r="J226" s="77">
        <v>24</v>
      </c>
      <c r="K226" s="77">
        <v>2</v>
      </c>
      <c r="L226" s="6">
        <f>$L218+L225</f>
        <v>18</v>
      </c>
      <c r="M226" s="6">
        <f t="shared" si="43"/>
        <v>5</v>
      </c>
      <c r="N226" s="78">
        <v>100</v>
      </c>
      <c r="O226">
        <f t="shared" si="38"/>
        <v>0.5</v>
      </c>
      <c r="P226" s="78">
        <v>50</v>
      </c>
      <c r="Q226">
        <f t="shared" si="39"/>
        <v>0.3</v>
      </c>
      <c r="R226" s="75">
        <v>15</v>
      </c>
      <c r="S226" s="6">
        <f t="shared" si="40"/>
        <v>0.15</v>
      </c>
    </row>
    <row r="227" spans="1:19" x14ac:dyDescent="0.25">
      <c r="A227" s="37" t="s">
        <v>74</v>
      </c>
      <c r="B227" s="6" t="s">
        <v>167</v>
      </c>
      <c r="C227" s="67">
        <v>70000</v>
      </c>
      <c r="D227" s="6">
        <f>(C227/12)*10</f>
        <v>58333.333333333328</v>
      </c>
      <c r="E227" s="67">
        <v>0</v>
      </c>
      <c r="F227" s="6">
        <f>SUM(E218:E227)</f>
        <v>2230</v>
      </c>
      <c r="G227" s="36" t="str">
        <f t="shared" si="37"/>
        <v>Farol Vermelho</v>
      </c>
      <c r="H227">
        <f t="shared" si="35"/>
        <v>56103.333333333328</v>
      </c>
      <c r="I227" s="6">
        <f t="shared" si="36"/>
        <v>10</v>
      </c>
      <c r="J227" s="75">
        <v>24</v>
      </c>
      <c r="K227" s="75">
        <v>0</v>
      </c>
      <c r="L227" s="6">
        <f>$L218+L226</f>
        <v>20</v>
      </c>
      <c r="M227" s="6">
        <f t="shared" si="43"/>
        <v>5</v>
      </c>
      <c r="N227" s="78">
        <v>100</v>
      </c>
      <c r="O227">
        <f t="shared" si="38"/>
        <v>0.5</v>
      </c>
      <c r="P227" s="78">
        <v>50</v>
      </c>
      <c r="Q227">
        <f t="shared" si="39"/>
        <v>0.3</v>
      </c>
      <c r="R227" s="75">
        <v>15</v>
      </c>
      <c r="S227" s="6">
        <f t="shared" si="40"/>
        <v>0.15</v>
      </c>
    </row>
    <row r="228" spans="1:19" x14ac:dyDescent="0.25">
      <c r="A228" s="37" t="s">
        <v>74</v>
      </c>
      <c r="B228" s="6" t="s">
        <v>168</v>
      </c>
      <c r="C228" s="67">
        <v>70000</v>
      </c>
      <c r="D228" s="6">
        <f>(C228/12)*11</f>
        <v>64166.666666666664</v>
      </c>
      <c r="E228" s="67">
        <v>0</v>
      </c>
      <c r="F228" s="6">
        <f>SUM(E218:E228)</f>
        <v>2230</v>
      </c>
      <c r="G228" s="36" t="str">
        <f t="shared" si="37"/>
        <v>Farol Vermelho</v>
      </c>
      <c r="H228">
        <f t="shared" si="35"/>
        <v>61936.666666666664</v>
      </c>
      <c r="I228" s="6">
        <f t="shared" si="36"/>
        <v>11</v>
      </c>
      <c r="J228" s="77">
        <v>24</v>
      </c>
      <c r="K228" s="77">
        <v>0</v>
      </c>
      <c r="L228" s="6">
        <f>L218+L227</f>
        <v>22</v>
      </c>
      <c r="M228" s="6">
        <f t="shared" si="43"/>
        <v>5</v>
      </c>
      <c r="N228" s="78">
        <v>100</v>
      </c>
      <c r="O228">
        <f t="shared" si="38"/>
        <v>0.5</v>
      </c>
      <c r="P228" s="78">
        <v>50</v>
      </c>
      <c r="Q228">
        <f t="shared" si="39"/>
        <v>0.3</v>
      </c>
      <c r="R228" s="75">
        <v>15</v>
      </c>
      <c r="S228" s="6">
        <f t="shared" si="40"/>
        <v>0.15</v>
      </c>
    </row>
    <row r="229" spans="1:19" x14ac:dyDescent="0.25">
      <c r="A229" s="37" t="s">
        <v>74</v>
      </c>
      <c r="B229" s="6" t="s">
        <v>169</v>
      </c>
      <c r="C229" s="67">
        <v>70000</v>
      </c>
      <c r="D229" s="6">
        <f>(C229/12)*12</f>
        <v>70000</v>
      </c>
      <c r="E229" s="67">
        <v>0</v>
      </c>
      <c r="F229" s="6">
        <f>SUM(E218:E229)</f>
        <v>2230</v>
      </c>
      <c r="G229" s="36" t="str">
        <f t="shared" si="37"/>
        <v>Farol Vermelho</v>
      </c>
      <c r="H229">
        <f t="shared" si="35"/>
        <v>67770</v>
      </c>
      <c r="I229" s="6">
        <f t="shared" si="36"/>
        <v>12</v>
      </c>
      <c r="J229" s="75">
        <v>24</v>
      </c>
      <c r="K229" s="75">
        <v>0</v>
      </c>
      <c r="L229" s="6">
        <f>$L218+L228</f>
        <v>24</v>
      </c>
      <c r="M229" s="6">
        <f t="shared" si="43"/>
        <v>5</v>
      </c>
      <c r="N229" s="78">
        <v>100</v>
      </c>
      <c r="O229">
        <f t="shared" si="38"/>
        <v>0.5</v>
      </c>
      <c r="P229" s="78">
        <v>50</v>
      </c>
      <c r="Q229">
        <f t="shared" si="39"/>
        <v>0.3</v>
      </c>
      <c r="R229" s="75">
        <v>15</v>
      </c>
      <c r="S229" s="6">
        <f t="shared" si="40"/>
        <v>0.15</v>
      </c>
    </row>
    <row r="230" spans="1:19" x14ac:dyDescent="0.25">
      <c r="A230" s="37" t="s">
        <v>57</v>
      </c>
      <c r="B230" s="6" t="s">
        <v>158</v>
      </c>
      <c r="C230" s="67">
        <v>29008.75</v>
      </c>
      <c r="D230" s="6">
        <f>(C230/12)*1</f>
        <v>2417.3958333333335</v>
      </c>
      <c r="E230" s="67">
        <v>0</v>
      </c>
      <c r="F230" s="6">
        <f>E230</f>
        <v>0</v>
      </c>
      <c r="G230" s="36" t="str">
        <f t="shared" si="37"/>
        <v>Farol Vermelho</v>
      </c>
      <c r="H230">
        <f t="shared" si="35"/>
        <v>2417.3958333333335</v>
      </c>
      <c r="I230" s="6">
        <f t="shared" si="36"/>
        <v>1</v>
      </c>
      <c r="J230" s="77">
        <v>7</v>
      </c>
      <c r="K230" s="77">
        <v>0</v>
      </c>
      <c r="L230" s="6">
        <f>J230/12</f>
        <v>0.58333333333333337</v>
      </c>
      <c r="M230" s="6">
        <f>K230</f>
        <v>0</v>
      </c>
      <c r="N230" s="78">
        <v>100</v>
      </c>
      <c r="O230">
        <f t="shared" si="38"/>
        <v>0.5</v>
      </c>
      <c r="P230" s="78">
        <v>50</v>
      </c>
      <c r="Q230">
        <f t="shared" si="39"/>
        <v>0.3</v>
      </c>
      <c r="R230" s="75">
        <v>15</v>
      </c>
      <c r="S230" s="6">
        <f t="shared" si="40"/>
        <v>0.15</v>
      </c>
    </row>
    <row r="231" spans="1:19" x14ac:dyDescent="0.25">
      <c r="A231" s="37" t="s">
        <v>57</v>
      </c>
      <c r="B231" s="6" t="s">
        <v>159</v>
      </c>
      <c r="C231" s="67">
        <v>29008.75</v>
      </c>
      <c r="D231" s="6">
        <f>(C231/12)*2</f>
        <v>4834.791666666667</v>
      </c>
      <c r="E231" s="67">
        <v>500</v>
      </c>
      <c r="F231" s="6">
        <f>SUM(E230:E231)</f>
        <v>500</v>
      </c>
      <c r="G231" s="36" t="str">
        <f t="shared" si="37"/>
        <v>Farol Vermelho</v>
      </c>
      <c r="H231">
        <f t="shared" si="35"/>
        <v>4334.791666666667</v>
      </c>
      <c r="I231" s="6">
        <f t="shared" si="36"/>
        <v>2</v>
      </c>
      <c r="J231" s="75">
        <v>7</v>
      </c>
      <c r="K231" s="75">
        <v>1</v>
      </c>
      <c r="L231" s="6">
        <f>L230+L230</f>
        <v>1.1666666666666667</v>
      </c>
      <c r="M231" s="6">
        <f>M230+K231</f>
        <v>1</v>
      </c>
      <c r="N231" s="78">
        <v>100</v>
      </c>
      <c r="O231">
        <f t="shared" si="38"/>
        <v>0.5</v>
      </c>
      <c r="P231" s="78">
        <v>50</v>
      </c>
      <c r="Q231">
        <f t="shared" si="39"/>
        <v>0.3</v>
      </c>
      <c r="R231" s="75">
        <v>15</v>
      </c>
      <c r="S231" s="6">
        <f t="shared" si="40"/>
        <v>0.15</v>
      </c>
    </row>
    <row r="232" spans="1:19" x14ac:dyDescent="0.25">
      <c r="A232" s="37" t="s">
        <v>57</v>
      </c>
      <c r="B232" s="6" t="s">
        <v>160</v>
      </c>
      <c r="C232" s="67">
        <v>29008.75</v>
      </c>
      <c r="D232" s="6">
        <f>(C232/12)*3</f>
        <v>7252.1875</v>
      </c>
      <c r="E232" s="67">
        <v>0</v>
      </c>
      <c r="F232" s="6">
        <f>SUM(E230:E232)</f>
        <v>500</v>
      </c>
      <c r="G232" s="36" t="str">
        <f t="shared" si="37"/>
        <v>Farol Vermelho</v>
      </c>
      <c r="H232">
        <f t="shared" si="35"/>
        <v>6752.1875</v>
      </c>
      <c r="I232" s="6">
        <f t="shared" si="36"/>
        <v>3</v>
      </c>
      <c r="J232" s="77">
        <v>7</v>
      </c>
      <c r="K232" s="77">
        <v>0</v>
      </c>
      <c r="L232" s="6">
        <f>$L230+L231</f>
        <v>1.75</v>
      </c>
      <c r="M232" s="6">
        <f t="shared" ref="M232:M241" si="44">M231+K232</f>
        <v>1</v>
      </c>
      <c r="N232" s="78">
        <v>100</v>
      </c>
      <c r="O232">
        <f t="shared" si="38"/>
        <v>0.5</v>
      </c>
      <c r="P232" s="78">
        <v>50</v>
      </c>
      <c r="Q232">
        <f t="shared" si="39"/>
        <v>0.3</v>
      </c>
      <c r="R232" s="75">
        <v>15</v>
      </c>
      <c r="S232" s="6">
        <f t="shared" si="40"/>
        <v>0.15</v>
      </c>
    </row>
    <row r="233" spans="1:19" x14ac:dyDescent="0.25">
      <c r="A233" s="37" t="s">
        <v>57</v>
      </c>
      <c r="B233" s="6" t="s">
        <v>161</v>
      </c>
      <c r="C233" s="67">
        <v>29008.75</v>
      </c>
      <c r="D233" s="6">
        <f>(C233/12)*4</f>
        <v>9669.5833333333339</v>
      </c>
      <c r="E233" s="67">
        <v>1580</v>
      </c>
      <c r="F233" s="6">
        <f>SUM(E230:E233)</f>
        <v>2080</v>
      </c>
      <c r="G233" s="36" t="str">
        <f t="shared" si="37"/>
        <v>Farol Vermelho</v>
      </c>
      <c r="H233">
        <f t="shared" si="35"/>
        <v>7589.5833333333339</v>
      </c>
      <c r="I233" s="6">
        <f t="shared" si="36"/>
        <v>4</v>
      </c>
      <c r="J233" s="75">
        <v>7</v>
      </c>
      <c r="K233" s="75">
        <v>2</v>
      </c>
      <c r="L233" s="6">
        <f>$L230+L232</f>
        <v>2.3333333333333335</v>
      </c>
      <c r="M233" s="6">
        <f t="shared" si="44"/>
        <v>3</v>
      </c>
      <c r="N233" s="78">
        <v>100</v>
      </c>
      <c r="O233">
        <f t="shared" si="38"/>
        <v>0.5</v>
      </c>
      <c r="P233" s="78">
        <v>50</v>
      </c>
      <c r="Q233">
        <f t="shared" si="39"/>
        <v>0.3</v>
      </c>
      <c r="R233" s="75">
        <v>15</v>
      </c>
      <c r="S233" s="6">
        <f t="shared" si="40"/>
        <v>0.15</v>
      </c>
    </row>
    <row r="234" spans="1:19" x14ac:dyDescent="0.25">
      <c r="A234" s="37" t="s">
        <v>57</v>
      </c>
      <c r="B234" s="6" t="s">
        <v>162</v>
      </c>
      <c r="C234" s="67">
        <v>29008.75</v>
      </c>
      <c r="D234" s="6">
        <f>(C234/12)*5</f>
        <v>12086.979166666668</v>
      </c>
      <c r="E234" s="67">
        <v>9240</v>
      </c>
      <c r="F234" s="6">
        <f>SUM(E230:E234)</f>
        <v>11320</v>
      </c>
      <c r="G234" s="36" t="str">
        <f t="shared" si="37"/>
        <v>Farol Amarelo</v>
      </c>
      <c r="H234">
        <f t="shared" si="35"/>
        <v>766.97916666666788</v>
      </c>
      <c r="I234" s="6">
        <f t="shared" si="36"/>
        <v>5</v>
      </c>
      <c r="J234" s="77">
        <v>7</v>
      </c>
      <c r="K234" s="77">
        <v>3</v>
      </c>
      <c r="L234" s="6">
        <f>L230+L233</f>
        <v>2.916666666666667</v>
      </c>
      <c r="M234" s="6">
        <f t="shared" si="44"/>
        <v>6</v>
      </c>
      <c r="N234" s="78">
        <v>100</v>
      </c>
      <c r="O234">
        <f t="shared" si="38"/>
        <v>0.5</v>
      </c>
      <c r="P234" s="78">
        <v>50</v>
      </c>
      <c r="Q234">
        <f t="shared" si="39"/>
        <v>0.3</v>
      </c>
      <c r="R234" s="75">
        <v>15</v>
      </c>
      <c r="S234" s="6">
        <f t="shared" si="40"/>
        <v>0.15</v>
      </c>
    </row>
    <row r="235" spans="1:19" x14ac:dyDescent="0.25">
      <c r="A235" s="37" t="s">
        <v>57</v>
      </c>
      <c r="B235" s="6" t="s">
        <v>163</v>
      </c>
      <c r="C235" s="67">
        <v>29008.75</v>
      </c>
      <c r="D235" s="6">
        <f>(C235/12)*6</f>
        <v>14504.375</v>
      </c>
      <c r="E235" s="67">
        <v>0</v>
      </c>
      <c r="F235" s="6">
        <f>SUM(E230:E235)</f>
        <v>11320</v>
      </c>
      <c r="G235" s="36" t="str">
        <f t="shared" si="37"/>
        <v>Farol Vermelho</v>
      </c>
      <c r="H235">
        <f t="shared" si="35"/>
        <v>3184.375</v>
      </c>
      <c r="I235" s="6">
        <f t="shared" si="36"/>
        <v>6</v>
      </c>
      <c r="J235" s="75">
        <v>7</v>
      </c>
      <c r="K235" s="75">
        <v>0</v>
      </c>
      <c r="L235" s="6">
        <f>$L230+L234</f>
        <v>3.5000000000000004</v>
      </c>
      <c r="M235" s="6">
        <f t="shared" si="44"/>
        <v>6</v>
      </c>
      <c r="N235" s="78">
        <v>100</v>
      </c>
      <c r="O235">
        <f t="shared" si="38"/>
        <v>0.5</v>
      </c>
      <c r="P235" s="78">
        <v>50</v>
      </c>
      <c r="Q235">
        <f t="shared" si="39"/>
        <v>0.3</v>
      </c>
      <c r="R235" s="75">
        <v>15</v>
      </c>
      <c r="S235" s="6">
        <f t="shared" si="40"/>
        <v>0.15</v>
      </c>
    </row>
    <row r="236" spans="1:19" x14ac:dyDescent="0.25">
      <c r="A236" s="37" t="s">
        <v>57</v>
      </c>
      <c r="B236" s="6" t="s">
        <v>164</v>
      </c>
      <c r="C236" s="67">
        <v>29008.75</v>
      </c>
      <c r="D236" s="6">
        <f>(C236/12)*7</f>
        <v>16921.770833333336</v>
      </c>
      <c r="E236" s="67">
        <v>10223.16</v>
      </c>
      <c r="F236" s="6">
        <f>SUM(E230:E236)</f>
        <v>21543.16</v>
      </c>
      <c r="G236" s="36" t="str">
        <f t="shared" si="37"/>
        <v>Farol Verde</v>
      </c>
      <c r="H236">
        <f t="shared" si="35"/>
        <v>0</v>
      </c>
      <c r="I236" s="6">
        <f t="shared" si="36"/>
        <v>7</v>
      </c>
      <c r="J236" s="77">
        <v>7</v>
      </c>
      <c r="K236" s="77">
        <v>2</v>
      </c>
      <c r="L236" s="6">
        <f>$L230+L235</f>
        <v>4.0833333333333339</v>
      </c>
      <c r="M236" s="6">
        <f t="shared" si="44"/>
        <v>8</v>
      </c>
      <c r="N236" s="78">
        <v>100</v>
      </c>
      <c r="O236">
        <f t="shared" si="38"/>
        <v>0.5</v>
      </c>
      <c r="P236" s="78">
        <v>50</v>
      </c>
      <c r="Q236">
        <f t="shared" si="39"/>
        <v>0.3</v>
      </c>
      <c r="R236" s="75">
        <v>15</v>
      </c>
      <c r="S236" s="6">
        <f t="shared" si="40"/>
        <v>0.15</v>
      </c>
    </row>
    <row r="237" spans="1:19" x14ac:dyDescent="0.25">
      <c r="A237" s="37" t="s">
        <v>57</v>
      </c>
      <c r="B237" s="6" t="s">
        <v>165</v>
      </c>
      <c r="C237" s="67">
        <v>29008.75</v>
      </c>
      <c r="D237" s="6">
        <f>(C237/12)*8</f>
        <v>19339.166666666668</v>
      </c>
      <c r="E237" s="67">
        <v>9000</v>
      </c>
      <c r="F237" s="6">
        <f>SUM(E230:E237)</f>
        <v>30543.16</v>
      </c>
      <c r="G237" s="36" t="str">
        <f t="shared" si="37"/>
        <v>Farol Verde</v>
      </c>
      <c r="H237">
        <f t="shared" si="35"/>
        <v>0</v>
      </c>
      <c r="I237" s="6">
        <f t="shared" si="36"/>
        <v>8</v>
      </c>
      <c r="J237" s="75">
        <v>7</v>
      </c>
      <c r="K237" s="75">
        <v>1</v>
      </c>
      <c r="L237" s="6">
        <f>L230+L236</f>
        <v>4.666666666666667</v>
      </c>
      <c r="M237" s="6">
        <f t="shared" si="44"/>
        <v>9</v>
      </c>
      <c r="N237" s="78">
        <v>100</v>
      </c>
      <c r="O237">
        <f t="shared" si="38"/>
        <v>0.5</v>
      </c>
      <c r="P237" s="78">
        <v>50</v>
      </c>
      <c r="Q237">
        <f t="shared" si="39"/>
        <v>0.3</v>
      </c>
      <c r="R237" s="75">
        <v>15</v>
      </c>
      <c r="S237" s="6">
        <f t="shared" si="40"/>
        <v>0.15</v>
      </c>
    </row>
    <row r="238" spans="1:19" x14ac:dyDescent="0.25">
      <c r="A238" s="37" t="s">
        <v>57</v>
      </c>
      <c r="B238" s="6" t="s">
        <v>166</v>
      </c>
      <c r="C238" s="67">
        <v>29008.75</v>
      </c>
      <c r="D238" s="6">
        <f>(C238/12)*9</f>
        <v>21756.5625</v>
      </c>
      <c r="E238" s="67">
        <v>0</v>
      </c>
      <c r="F238" s="6">
        <f>SUM(E230:E238)</f>
        <v>30543.16</v>
      </c>
      <c r="G238" s="36" t="str">
        <f t="shared" si="37"/>
        <v>Farol Verde</v>
      </c>
      <c r="H238">
        <f t="shared" si="35"/>
        <v>0</v>
      </c>
      <c r="I238" s="6">
        <f t="shared" si="36"/>
        <v>9</v>
      </c>
      <c r="J238" s="77">
        <v>7</v>
      </c>
      <c r="K238" s="77">
        <v>0</v>
      </c>
      <c r="L238" s="6">
        <f>$L230+L237</f>
        <v>5.25</v>
      </c>
      <c r="M238" s="6">
        <f t="shared" si="44"/>
        <v>9</v>
      </c>
      <c r="N238" s="78">
        <v>100</v>
      </c>
      <c r="O238">
        <f t="shared" si="38"/>
        <v>0.5</v>
      </c>
      <c r="P238" s="78">
        <v>50</v>
      </c>
      <c r="Q238">
        <f t="shared" si="39"/>
        <v>0.3</v>
      </c>
      <c r="R238" s="75">
        <v>15</v>
      </c>
      <c r="S238" s="6">
        <f t="shared" si="40"/>
        <v>0.15</v>
      </c>
    </row>
    <row r="239" spans="1:19" x14ac:dyDescent="0.25">
      <c r="A239" s="37" t="s">
        <v>57</v>
      </c>
      <c r="B239" s="6" t="s">
        <v>167</v>
      </c>
      <c r="C239" s="67">
        <v>29008.75</v>
      </c>
      <c r="D239" s="6">
        <f>(C239/12)*10</f>
        <v>24173.958333333336</v>
      </c>
      <c r="E239" s="67">
        <v>5000</v>
      </c>
      <c r="F239" s="6">
        <f>SUM(E230:E239)</f>
        <v>35543.160000000003</v>
      </c>
      <c r="G239" s="36" t="str">
        <f t="shared" si="37"/>
        <v>Farol Verde</v>
      </c>
      <c r="H239">
        <f t="shared" si="35"/>
        <v>0</v>
      </c>
      <c r="I239" s="6">
        <f t="shared" si="36"/>
        <v>10</v>
      </c>
      <c r="J239" s="75">
        <v>7</v>
      </c>
      <c r="K239" s="75">
        <v>1</v>
      </c>
      <c r="L239" s="6">
        <f>$L230+L238</f>
        <v>5.833333333333333</v>
      </c>
      <c r="M239" s="6">
        <f t="shared" si="44"/>
        <v>10</v>
      </c>
      <c r="N239" s="78">
        <v>100</v>
      </c>
      <c r="O239">
        <f t="shared" si="38"/>
        <v>0.5</v>
      </c>
      <c r="P239" s="78">
        <v>50</v>
      </c>
      <c r="Q239">
        <f t="shared" si="39"/>
        <v>0.3</v>
      </c>
      <c r="R239" s="75">
        <v>15</v>
      </c>
      <c r="S239" s="6">
        <f t="shared" si="40"/>
        <v>0.15</v>
      </c>
    </row>
    <row r="240" spans="1:19" x14ac:dyDescent="0.25">
      <c r="A240" s="37" t="s">
        <v>57</v>
      </c>
      <c r="B240" s="6" t="s">
        <v>168</v>
      </c>
      <c r="C240" s="67">
        <v>29008.75</v>
      </c>
      <c r="D240" s="6">
        <f>(C240/12)*11</f>
        <v>26591.354166666668</v>
      </c>
      <c r="E240" s="67">
        <v>600</v>
      </c>
      <c r="F240" s="6">
        <f>SUM(E230:E240)</f>
        <v>36143.160000000003</v>
      </c>
      <c r="G240" s="36" t="str">
        <f t="shared" si="37"/>
        <v>Farol Verde</v>
      </c>
      <c r="H240">
        <f t="shared" si="35"/>
        <v>0</v>
      </c>
      <c r="I240" s="6">
        <f t="shared" si="36"/>
        <v>11</v>
      </c>
      <c r="J240" s="77">
        <v>7</v>
      </c>
      <c r="K240" s="77">
        <v>1</v>
      </c>
      <c r="L240" s="6">
        <f>L230+L239</f>
        <v>6.4166666666666661</v>
      </c>
      <c r="M240" s="6">
        <f t="shared" si="44"/>
        <v>11</v>
      </c>
      <c r="N240" s="78">
        <v>100</v>
      </c>
      <c r="O240">
        <f t="shared" si="38"/>
        <v>0.5</v>
      </c>
      <c r="P240" s="78">
        <v>50</v>
      </c>
      <c r="Q240">
        <f t="shared" si="39"/>
        <v>0.3</v>
      </c>
      <c r="R240" s="75">
        <v>15</v>
      </c>
      <c r="S240" s="6">
        <f t="shared" si="40"/>
        <v>0.15</v>
      </c>
    </row>
    <row r="241" spans="1:19" x14ac:dyDescent="0.25">
      <c r="A241" s="37" t="s">
        <v>57</v>
      </c>
      <c r="B241" s="6" t="s">
        <v>169</v>
      </c>
      <c r="C241" s="67">
        <v>29008.75</v>
      </c>
      <c r="D241" s="6">
        <f>(C241/12)*12</f>
        <v>29008.75</v>
      </c>
      <c r="E241" s="67">
        <v>0</v>
      </c>
      <c r="F241" s="6">
        <f>SUM(E230:E241)</f>
        <v>36143.160000000003</v>
      </c>
      <c r="G241" s="36" t="str">
        <f t="shared" si="37"/>
        <v>Farol Verde</v>
      </c>
      <c r="H241">
        <f t="shared" si="35"/>
        <v>0</v>
      </c>
      <c r="I241" s="6">
        <f t="shared" si="36"/>
        <v>12</v>
      </c>
      <c r="J241" s="75">
        <v>7</v>
      </c>
      <c r="K241" s="75">
        <v>0</v>
      </c>
      <c r="L241" s="6">
        <f>$L230+L240</f>
        <v>6.9999999999999991</v>
      </c>
      <c r="M241" s="6">
        <f t="shared" si="44"/>
        <v>11</v>
      </c>
      <c r="N241" s="78">
        <v>100</v>
      </c>
      <c r="O241">
        <f t="shared" si="38"/>
        <v>0.5</v>
      </c>
      <c r="P241" s="78">
        <v>50</v>
      </c>
      <c r="Q241">
        <f t="shared" si="39"/>
        <v>0.3</v>
      </c>
      <c r="R241" s="75">
        <v>15</v>
      </c>
      <c r="S241" s="6">
        <f t="shared" si="40"/>
        <v>0.15</v>
      </c>
    </row>
    <row r="242" spans="1:19" x14ac:dyDescent="0.25">
      <c r="A242" s="37" t="s">
        <v>94</v>
      </c>
      <c r="B242" s="6" t="s">
        <v>158</v>
      </c>
      <c r="C242" s="67">
        <v>370000</v>
      </c>
      <c r="D242" s="6">
        <f>(C242/12)*1</f>
        <v>30833.333333333332</v>
      </c>
      <c r="E242" s="67">
        <v>0</v>
      </c>
      <c r="F242" s="6">
        <f>E242</f>
        <v>0</v>
      </c>
      <c r="G242" s="36" t="str">
        <f t="shared" si="37"/>
        <v>Farol Vermelho</v>
      </c>
      <c r="H242">
        <f t="shared" si="35"/>
        <v>30833.333333333332</v>
      </c>
      <c r="I242" s="6">
        <f t="shared" si="36"/>
        <v>1</v>
      </c>
      <c r="J242" s="77">
        <v>25</v>
      </c>
      <c r="K242" s="77">
        <v>0</v>
      </c>
      <c r="L242" s="6">
        <f>J242/12</f>
        <v>2.0833333333333335</v>
      </c>
      <c r="M242" s="6">
        <f>K242</f>
        <v>0</v>
      </c>
      <c r="N242" s="78">
        <v>100</v>
      </c>
      <c r="O242">
        <f t="shared" si="38"/>
        <v>0.5</v>
      </c>
      <c r="P242" s="78">
        <v>50</v>
      </c>
      <c r="Q242">
        <f t="shared" si="39"/>
        <v>0.3</v>
      </c>
      <c r="R242" s="75">
        <v>15</v>
      </c>
      <c r="S242" s="6">
        <f t="shared" si="40"/>
        <v>0.15</v>
      </c>
    </row>
    <row r="243" spans="1:19" x14ac:dyDescent="0.25">
      <c r="A243" s="37" t="s">
        <v>94</v>
      </c>
      <c r="B243" s="6" t="s">
        <v>159</v>
      </c>
      <c r="C243" s="67">
        <v>370000</v>
      </c>
      <c r="D243" s="6">
        <f>(C243/12)*2</f>
        <v>61666.666666666664</v>
      </c>
      <c r="E243" s="67">
        <v>59420</v>
      </c>
      <c r="F243" s="6">
        <f>SUM(E242:E243)</f>
        <v>59420</v>
      </c>
      <c r="G243" s="36" t="str">
        <f t="shared" si="37"/>
        <v>Farol Amarelo</v>
      </c>
      <c r="H243">
        <f t="shared" si="35"/>
        <v>2246.6666666666642</v>
      </c>
      <c r="I243" s="6">
        <f t="shared" si="36"/>
        <v>2</v>
      </c>
      <c r="J243" s="75">
        <v>25</v>
      </c>
      <c r="K243" s="75">
        <v>3</v>
      </c>
      <c r="L243" s="6">
        <f>L242+L242</f>
        <v>4.166666666666667</v>
      </c>
      <c r="M243" s="6">
        <f>M242+K243</f>
        <v>3</v>
      </c>
      <c r="N243" s="78">
        <v>100</v>
      </c>
      <c r="O243">
        <f t="shared" si="38"/>
        <v>0.5</v>
      </c>
      <c r="P243" s="78">
        <v>50</v>
      </c>
      <c r="Q243">
        <f t="shared" si="39"/>
        <v>0.3</v>
      </c>
      <c r="R243" s="75">
        <v>15</v>
      </c>
      <c r="S243" s="6">
        <f t="shared" si="40"/>
        <v>0.15</v>
      </c>
    </row>
    <row r="244" spans="1:19" x14ac:dyDescent="0.25">
      <c r="A244" s="37" t="s">
        <v>94</v>
      </c>
      <c r="B244" s="6" t="s">
        <v>160</v>
      </c>
      <c r="C244" s="67">
        <v>370000</v>
      </c>
      <c r="D244" s="6">
        <f>(C244/12)*3</f>
        <v>92500</v>
      </c>
      <c r="E244" s="67">
        <v>25500</v>
      </c>
      <c r="F244" s="6">
        <f>SUM(E242:E244)</f>
        <v>84920</v>
      </c>
      <c r="G244" s="36" t="str">
        <f t="shared" si="37"/>
        <v>Farol Amarelo</v>
      </c>
      <c r="H244">
        <f t="shared" si="35"/>
        <v>7580</v>
      </c>
      <c r="I244" s="6">
        <f t="shared" si="36"/>
        <v>3</v>
      </c>
      <c r="J244" s="77">
        <v>25</v>
      </c>
      <c r="K244" s="77">
        <v>2</v>
      </c>
      <c r="L244" s="6">
        <f>$L242+L243</f>
        <v>6.25</v>
      </c>
      <c r="M244" s="6">
        <f t="shared" ref="M244:M253" si="45">M243+K244</f>
        <v>5</v>
      </c>
      <c r="N244" s="78">
        <v>100</v>
      </c>
      <c r="O244">
        <f t="shared" si="38"/>
        <v>0.5</v>
      </c>
      <c r="P244" s="78">
        <v>50</v>
      </c>
      <c r="Q244">
        <f t="shared" si="39"/>
        <v>0.3</v>
      </c>
      <c r="R244" s="75">
        <v>15</v>
      </c>
      <c r="S244" s="6">
        <f t="shared" si="40"/>
        <v>0.15</v>
      </c>
    </row>
    <row r="245" spans="1:19" x14ac:dyDescent="0.25">
      <c r="A245" s="37" t="s">
        <v>94</v>
      </c>
      <c r="B245" s="6" t="s">
        <v>161</v>
      </c>
      <c r="C245" s="67">
        <v>370000</v>
      </c>
      <c r="D245" s="6">
        <f>(C245/12)*4</f>
        <v>123333.33333333333</v>
      </c>
      <c r="E245" s="67">
        <v>9900</v>
      </c>
      <c r="F245" s="6">
        <f>SUM(E242:E245)</f>
        <v>94820</v>
      </c>
      <c r="G245" s="36" t="str">
        <f t="shared" si="37"/>
        <v>Farol Vermelho</v>
      </c>
      <c r="H245">
        <f t="shared" si="35"/>
        <v>28513.333333333328</v>
      </c>
      <c r="I245" s="6">
        <f t="shared" si="36"/>
        <v>4</v>
      </c>
      <c r="J245" s="75">
        <v>25</v>
      </c>
      <c r="K245" s="75">
        <v>1</v>
      </c>
      <c r="L245" s="6">
        <f>$L242+L244</f>
        <v>8.3333333333333339</v>
      </c>
      <c r="M245" s="6">
        <f t="shared" si="45"/>
        <v>6</v>
      </c>
      <c r="N245" s="78">
        <v>100</v>
      </c>
      <c r="O245">
        <f t="shared" si="38"/>
        <v>0.5</v>
      </c>
      <c r="P245" s="78">
        <v>50</v>
      </c>
      <c r="Q245">
        <f t="shared" si="39"/>
        <v>0.3</v>
      </c>
      <c r="R245" s="75">
        <v>15</v>
      </c>
      <c r="S245" s="6">
        <f t="shared" si="40"/>
        <v>0.15</v>
      </c>
    </row>
    <row r="246" spans="1:19" x14ac:dyDescent="0.25">
      <c r="A246" s="37" t="s">
        <v>94</v>
      </c>
      <c r="B246" s="6" t="s">
        <v>162</v>
      </c>
      <c r="C246" s="67">
        <v>370000</v>
      </c>
      <c r="D246" s="6">
        <f>(C246/12)*5</f>
        <v>154166.66666666666</v>
      </c>
      <c r="E246" s="67">
        <v>36300</v>
      </c>
      <c r="F246" s="6">
        <f>SUM(E242:E246)</f>
        <v>131120</v>
      </c>
      <c r="G246" s="36" t="str">
        <f t="shared" si="37"/>
        <v>Farol Amarelo</v>
      </c>
      <c r="H246">
        <f t="shared" si="35"/>
        <v>23046.666666666657</v>
      </c>
      <c r="I246" s="6">
        <f t="shared" si="36"/>
        <v>5</v>
      </c>
      <c r="J246" s="77">
        <v>25</v>
      </c>
      <c r="K246" s="77">
        <v>2</v>
      </c>
      <c r="L246" s="6">
        <f>L242+L245</f>
        <v>10.416666666666668</v>
      </c>
      <c r="M246" s="6">
        <f t="shared" si="45"/>
        <v>8</v>
      </c>
      <c r="N246" s="78">
        <v>100</v>
      </c>
      <c r="O246">
        <f t="shared" si="38"/>
        <v>0.5</v>
      </c>
      <c r="P246" s="78">
        <v>50</v>
      </c>
      <c r="Q246">
        <f t="shared" si="39"/>
        <v>0.3</v>
      </c>
      <c r="R246" s="75">
        <v>15</v>
      </c>
      <c r="S246" s="6">
        <f t="shared" si="40"/>
        <v>0.15</v>
      </c>
    </row>
    <row r="247" spans="1:19" x14ac:dyDescent="0.25">
      <c r="A247" s="37" t="s">
        <v>94</v>
      </c>
      <c r="B247" s="6" t="s">
        <v>163</v>
      </c>
      <c r="C247" s="67">
        <v>370000</v>
      </c>
      <c r="D247" s="6">
        <f>(C247/12)*6</f>
        <v>185000</v>
      </c>
      <c r="E247" s="67">
        <v>91100</v>
      </c>
      <c r="F247" s="6">
        <f>SUM(E242:E247)</f>
        <v>222220</v>
      </c>
      <c r="G247" s="36" t="str">
        <f t="shared" si="37"/>
        <v>Farol Verde</v>
      </c>
      <c r="H247">
        <f t="shared" si="35"/>
        <v>0</v>
      </c>
      <c r="I247" s="6">
        <f t="shared" si="36"/>
        <v>6</v>
      </c>
      <c r="J247" s="75">
        <v>25</v>
      </c>
      <c r="K247" s="75">
        <v>4</v>
      </c>
      <c r="L247" s="6">
        <f>$L242+L246</f>
        <v>12.500000000000002</v>
      </c>
      <c r="M247" s="6">
        <f t="shared" si="45"/>
        <v>12</v>
      </c>
      <c r="N247" s="78">
        <v>100</v>
      </c>
      <c r="O247">
        <f t="shared" si="38"/>
        <v>0.5</v>
      </c>
      <c r="P247" s="78">
        <v>50</v>
      </c>
      <c r="Q247">
        <f t="shared" si="39"/>
        <v>0.3</v>
      </c>
      <c r="R247" s="75">
        <v>15</v>
      </c>
      <c r="S247" s="6">
        <f t="shared" si="40"/>
        <v>0.15</v>
      </c>
    </row>
    <row r="248" spans="1:19" x14ac:dyDescent="0.25">
      <c r="A248" s="37" t="s">
        <v>94</v>
      </c>
      <c r="B248" s="6" t="s">
        <v>164</v>
      </c>
      <c r="C248" s="67">
        <v>370000</v>
      </c>
      <c r="D248" s="6">
        <f>(C248/12)*7</f>
        <v>215833.33333333331</v>
      </c>
      <c r="E248" s="67">
        <v>0</v>
      </c>
      <c r="F248" s="6">
        <f>SUM(E242:E248)</f>
        <v>222220</v>
      </c>
      <c r="G248" s="36" t="str">
        <f t="shared" si="37"/>
        <v>Farol Verde</v>
      </c>
      <c r="H248">
        <f t="shared" si="35"/>
        <v>0</v>
      </c>
      <c r="I248" s="6">
        <f t="shared" si="36"/>
        <v>7</v>
      </c>
      <c r="J248" s="77">
        <v>25</v>
      </c>
      <c r="K248" s="77">
        <v>0</v>
      </c>
      <c r="L248" s="6">
        <f>$L242+L247</f>
        <v>14.583333333333336</v>
      </c>
      <c r="M248" s="6">
        <f t="shared" si="45"/>
        <v>12</v>
      </c>
      <c r="N248" s="78">
        <v>100</v>
      </c>
      <c r="O248">
        <f t="shared" si="38"/>
        <v>0.5</v>
      </c>
      <c r="P248" s="78">
        <v>50</v>
      </c>
      <c r="Q248">
        <f t="shared" si="39"/>
        <v>0.3</v>
      </c>
      <c r="R248" s="75">
        <v>15</v>
      </c>
      <c r="S248" s="6">
        <f t="shared" si="40"/>
        <v>0.15</v>
      </c>
    </row>
    <row r="249" spans="1:19" x14ac:dyDescent="0.25">
      <c r="A249" s="37" t="s">
        <v>94</v>
      </c>
      <c r="B249" s="6" t="s">
        <v>165</v>
      </c>
      <c r="C249" s="67">
        <v>370000</v>
      </c>
      <c r="D249" s="6">
        <f>(C249/12)*8</f>
        <v>246666.66666666666</v>
      </c>
      <c r="E249" s="67">
        <v>18700</v>
      </c>
      <c r="F249" s="6">
        <f>SUM(E242:E249)</f>
        <v>240920</v>
      </c>
      <c r="G249" s="36" t="str">
        <f t="shared" si="37"/>
        <v>Farol Amarelo</v>
      </c>
      <c r="H249">
        <f t="shared" si="35"/>
        <v>5746.666666666657</v>
      </c>
      <c r="I249" s="6">
        <f t="shared" si="36"/>
        <v>8</v>
      </c>
      <c r="J249" s="75">
        <v>25</v>
      </c>
      <c r="K249" s="75">
        <v>1</v>
      </c>
      <c r="L249" s="6">
        <f>L242+L248</f>
        <v>16.666666666666668</v>
      </c>
      <c r="M249" s="6">
        <f t="shared" si="45"/>
        <v>13</v>
      </c>
      <c r="N249" s="78">
        <v>100</v>
      </c>
      <c r="O249">
        <f t="shared" si="38"/>
        <v>0.5</v>
      </c>
      <c r="P249" s="78">
        <v>50</v>
      </c>
      <c r="Q249">
        <f t="shared" si="39"/>
        <v>0.3</v>
      </c>
      <c r="R249" s="75">
        <v>15</v>
      </c>
      <c r="S249" s="6">
        <f t="shared" si="40"/>
        <v>0.15</v>
      </c>
    </row>
    <row r="250" spans="1:19" x14ac:dyDescent="0.25">
      <c r="A250" s="37" t="s">
        <v>94</v>
      </c>
      <c r="B250" s="6" t="s">
        <v>166</v>
      </c>
      <c r="C250" s="67">
        <v>370000</v>
      </c>
      <c r="D250" s="6">
        <f>(C250/12)*9</f>
        <v>277500</v>
      </c>
      <c r="E250" s="67">
        <v>54200</v>
      </c>
      <c r="F250" s="6">
        <f>SUM(E242:E250)</f>
        <v>295120</v>
      </c>
      <c r="G250" s="36" t="str">
        <f t="shared" si="37"/>
        <v>Farol Verde</v>
      </c>
      <c r="H250">
        <f t="shared" si="35"/>
        <v>0</v>
      </c>
      <c r="I250" s="6">
        <f t="shared" si="36"/>
        <v>9</v>
      </c>
      <c r="J250" s="77">
        <v>25</v>
      </c>
      <c r="K250" s="77">
        <v>4</v>
      </c>
      <c r="L250" s="6">
        <f>$L242+L249</f>
        <v>18.75</v>
      </c>
      <c r="M250" s="6">
        <f t="shared" si="45"/>
        <v>17</v>
      </c>
      <c r="N250" s="78">
        <v>100</v>
      </c>
      <c r="O250">
        <f t="shared" si="38"/>
        <v>0.5</v>
      </c>
      <c r="P250" s="78">
        <v>50</v>
      </c>
      <c r="Q250">
        <f t="shared" si="39"/>
        <v>0.3</v>
      </c>
      <c r="R250" s="75">
        <v>15</v>
      </c>
      <c r="S250" s="6">
        <f t="shared" si="40"/>
        <v>0.15</v>
      </c>
    </row>
    <row r="251" spans="1:19" x14ac:dyDescent="0.25">
      <c r="A251" s="37" t="s">
        <v>94</v>
      </c>
      <c r="B251" s="6" t="s">
        <v>167</v>
      </c>
      <c r="C251" s="67">
        <v>370000</v>
      </c>
      <c r="D251" s="6">
        <f>(C251/12)*10</f>
        <v>308333.33333333331</v>
      </c>
      <c r="E251" s="67">
        <v>25700</v>
      </c>
      <c r="F251" s="6">
        <f>SUM(E242:E251)</f>
        <v>320820</v>
      </c>
      <c r="G251" s="36" t="str">
        <f t="shared" si="37"/>
        <v>Farol Verde</v>
      </c>
      <c r="H251">
        <f t="shared" si="35"/>
        <v>0</v>
      </c>
      <c r="I251" s="6">
        <f t="shared" si="36"/>
        <v>10</v>
      </c>
      <c r="J251" s="75">
        <v>25</v>
      </c>
      <c r="K251" s="75">
        <v>3</v>
      </c>
      <c r="L251" s="6">
        <f>$L242+L250</f>
        <v>20.833333333333332</v>
      </c>
      <c r="M251" s="6">
        <f t="shared" si="45"/>
        <v>20</v>
      </c>
      <c r="N251" s="78">
        <v>100</v>
      </c>
      <c r="O251">
        <f t="shared" si="38"/>
        <v>0.5</v>
      </c>
      <c r="P251" s="78">
        <v>50</v>
      </c>
      <c r="Q251">
        <f t="shared" si="39"/>
        <v>0.3</v>
      </c>
      <c r="R251" s="75">
        <v>15</v>
      </c>
      <c r="S251" s="6">
        <f t="shared" si="40"/>
        <v>0.15</v>
      </c>
    </row>
    <row r="252" spans="1:19" x14ac:dyDescent="0.25">
      <c r="A252" s="37" t="s">
        <v>94</v>
      </c>
      <c r="B252" s="6" t="s">
        <v>168</v>
      </c>
      <c r="C252" s="67">
        <v>370000</v>
      </c>
      <c r="D252" s="6">
        <f>(C252/12)*11</f>
        <v>339166.66666666663</v>
      </c>
      <c r="E252" s="67">
        <v>27400</v>
      </c>
      <c r="F252" s="6">
        <f>SUM(E242:E252)</f>
        <v>348220</v>
      </c>
      <c r="G252" s="36" t="str">
        <f t="shared" si="37"/>
        <v>Farol Verde</v>
      </c>
      <c r="H252">
        <f t="shared" si="35"/>
        <v>0</v>
      </c>
      <c r="I252" s="6">
        <f t="shared" si="36"/>
        <v>11</v>
      </c>
      <c r="J252" s="77">
        <v>25</v>
      </c>
      <c r="K252" s="77">
        <v>2</v>
      </c>
      <c r="L252" s="6">
        <f>L242+L251</f>
        <v>22.916666666666664</v>
      </c>
      <c r="M252" s="6">
        <f t="shared" si="45"/>
        <v>22</v>
      </c>
      <c r="N252" s="78">
        <v>100</v>
      </c>
      <c r="O252">
        <f t="shared" si="38"/>
        <v>0.5</v>
      </c>
      <c r="P252" s="78">
        <v>50</v>
      </c>
      <c r="Q252">
        <f t="shared" si="39"/>
        <v>0.3</v>
      </c>
      <c r="R252" s="75">
        <v>15</v>
      </c>
      <c r="S252" s="6">
        <f t="shared" si="40"/>
        <v>0.15</v>
      </c>
    </row>
    <row r="253" spans="1:19" x14ac:dyDescent="0.25">
      <c r="A253" s="37" t="s">
        <v>94</v>
      </c>
      <c r="B253" s="6" t="s">
        <v>169</v>
      </c>
      <c r="C253" s="67">
        <v>370000</v>
      </c>
      <c r="D253" s="6">
        <f>(C253/12)*12</f>
        <v>370000</v>
      </c>
      <c r="E253" s="67">
        <v>83450</v>
      </c>
      <c r="F253" s="6">
        <f>SUM(E242:E253)</f>
        <v>431670</v>
      </c>
      <c r="G253" s="36" t="str">
        <f t="shared" si="37"/>
        <v>Farol Verde</v>
      </c>
      <c r="H253">
        <f t="shared" si="35"/>
        <v>0</v>
      </c>
      <c r="I253" s="6">
        <f t="shared" si="36"/>
        <v>12</v>
      </c>
      <c r="J253" s="75">
        <v>25</v>
      </c>
      <c r="K253" s="75">
        <v>3</v>
      </c>
      <c r="L253" s="6">
        <f>$L242+L252</f>
        <v>24.999999999999996</v>
      </c>
      <c r="M253" s="6">
        <f t="shared" si="45"/>
        <v>25</v>
      </c>
      <c r="N253" s="78">
        <v>100</v>
      </c>
      <c r="O253">
        <f t="shared" si="38"/>
        <v>0.5</v>
      </c>
      <c r="P253" s="78">
        <v>50</v>
      </c>
      <c r="Q253">
        <f t="shared" si="39"/>
        <v>0.3</v>
      </c>
      <c r="R253" s="75">
        <v>15</v>
      </c>
      <c r="S253" s="6">
        <f t="shared" si="40"/>
        <v>0.15</v>
      </c>
    </row>
    <row r="254" spans="1:19" x14ac:dyDescent="0.25">
      <c r="A254" s="37" t="s">
        <v>55</v>
      </c>
      <c r="B254" s="6" t="s">
        <v>158</v>
      </c>
      <c r="C254" s="67">
        <v>55960</v>
      </c>
      <c r="D254" s="6">
        <f>(C254/12)*1</f>
        <v>4663.333333333333</v>
      </c>
      <c r="E254" s="67">
        <v>6475</v>
      </c>
      <c r="F254" s="6">
        <f>E254</f>
        <v>6475</v>
      </c>
      <c r="G254" s="36" t="str">
        <f t="shared" si="37"/>
        <v>Farol Verde</v>
      </c>
      <c r="H254">
        <f t="shared" si="35"/>
        <v>0</v>
      </c>
      <c r="I254" s="6">
        <f t="shared" si="36"/>
        <v>1</v>
      </c>
      <c r="J254" s="77">
        <v>186</v>
      </c>
      <c r="K254" s="77">
        <v>28</v>
      </c>
      <c r="L254" s="6">
        <f>J254/12</f>
        <v>15.5</v>
      </c>
      <c r="M254" s="6">
        <f>K254</f>
        <v>28</v>
      </c>
      <c r="N254" s="78">
        <v>100</v>
      </c>
      <c r="O254">
        <f t="shared" si="38"/>
        <v>0.5</v>
      </c>
      <c r="P254" s="78">
        <v>50</v>
      </c>
      <c r="Q254">
        <f t="shared" si="39"/>
        <v>0.3</v>
      </c>
      <c r="R254" s="75">
        <v>15</v>
      </c>
      <c r="S254" s="6">
        <f t="shared" si="40"/>
        <v>0.15</v>
      </c>
    </row>
    <row r="255" spans="1:19" x14ac:dyDescent="0.25">
      <c r="A255" s="37" t="s">
        <v>55</v>
      </c>
      <c r="B255" s="6" t="s">
        <v>159</v>
      </c>
      <c r="C255" s="67">
        <v>55960</v>
      </c>
      <c r="D255" s="6">
        <f>(C255/12)*2</f>
        <v>9326.6666666666661</v>
      </c>
      <c r="E255" s="67">
        <v>9405</v>
      </c>
      <c r="F255" s="6">
        <f>SUM(E254:E255)</f>
        <v>15880</v>
      </c>
      <c r="G255" s="36" t="str">
        <f t="shared" si="37"/>
        <v>Farol Verde</v>
      </c>
      <c r="H255">
        <f t="shared" si="35"/>
        <v>0</v>
      </c>
      <c r="I255" s="6">
        <f t="shared" si="36"/>
        <v>2</v>
      </c>
      <c r="J255" s="75">
        <v>186</v>
      </c>
      <c r="K255" s="75">
        <v>25</v>
      </c>
      <c r="L255" s="6">
        <f>L254+L254</f>
        <v>31</v>
      </c>
      <c r="M255" s="6">
        <f>M254+K255</f>
        <v>53</v>
      </c>
      <c r="N255" s="78">
        <v>100</v>
      </c>
      <c r="O255">
        <f t="shared" si="38"/>
        <v>0.5</v>
      </c>
      <c r="P255" s="78">
        <v>50</v>
      </c>
      <c r="Q255">
        <f t="shared" si="39"/>
        <v>0.3</v>
      </c>
      <c r="R255" s="75">
        <v>15</v>
      </c>
      <c r="S255" s="6">
        <f t="shared" si="40"/>
        <v>0.15</v>
      </c>
    </row>
    <row r="256" spans="1:19" x14ac:dyDescent="0.25">
      <c r="A256" s="37" t="s">
        <v>55</v>
      </c>
      <c r="B256" s="6" t="s">
        <v>160</v>
      </c>
      <c r="C256" s="67">
        <v>55960</v>
      </c>
      <c r="D256" s="6">
        <f>(C256/12)*3</f>
        <v>13990</v>
      </c>
      <c r="E256" s="67">
        <v>3350</v>
      </c>
      <c r="F256" s="6">
        <f>SUM(E254:E256)</f>
        <v>19230</v>
      </c>
      <c r="G256" s="36" t="str">
        <f t="shared" si="37"/>
        <v>Farol Verde</v>
      </c>
      <c r="H256">
        <f t="shared" si="35"/>
        <v>0</v>
      </c>
      <c r="I256" s="6">
        <f t="shared" si="36"/>
        <v>3</v>
      </c>
      <c r="J256" s="77">
        <v>186</v>
      </c>
      <c r="K256" s="77">
        <v>35</v>
      </c>
      <c r="L256" s="6">
        <f>$L254+L255</f>
        <v>46.5</v>
      </c>
      <c r="M256" s="6">
        <f t="shared" ref="M256:M265" si="46">M255+K256</f>
        <v>88</v>
      </c>
      <c r="N256" s="78">
        <v>100</v>
      </c>
      <c r="O256">
        <f t="shared" si="38"/>
        <v>0.5</v>
      </c>
      <c r="P256" s="78">
        <v>50</v>
      </c>
      <c r="Q256">
        <f t="shared" si="39"/>
        <v>0.3</v>
      </c>
      <c r="R256" s="75">
        <v>15</v>
      </c>
      <c r="S256" s="6">
        <f t="shared" si="40"/>
        <v>0.15</v>
      </c>
    </row>
    <row r="257" spans="1:19" x14ac:dyDescent="0.25">
      <c r="A257" s="37" t="s">
        <v>55</v>
      </c>
      <c r="B257" s="6" t="s">
        <v>161</v>
      </c>
      <c r="C257" s="67">
        <v>55960</v>
      </c>
      <c r="D257" s="6">
        <f>(C257/12)*4</f>
        <v>18653.333333333332</v>
      </c>
      <c r="E257" s="67">
        <v>4825</v>
      </c>
      <c r="F257" s="6">
        <f>SUM(E254:E257)</f>
        <v>24055</v>
      </c>
      <c r="G257" s="36" t="str">
        <f t="shared" si="37"/>
        <v>Farol Verde</v>
      </c>
      <c r="H257">
        <f t="shared" si="35"/>
        <v>0</v>
      </c>
      <c r="I257" s="6">
        <f t="shared" si="36"/>
        <v>4</v>
      </c>
      <c r="J257" s="75">
        <v>186</v>
      </c>
      <c r="K257" s="75">
        <v>53</v>
      </c>
      <c r="L257" s="6">
        <f>$L254+L256</f>
        <v>62</v>
      </c>
      <c r="M257" s="6">
        <f t="shared" si="46"/>
        <v>141</v>
      </c>
      <c r="N257" s="78">
        <v>100</v>
      </c>
      <c r="O257">
        <f t="shared" si="38"/>
        <v>0.5</v>
      </c>
      <c r="P257" s="78">
        <v>50</v>
      </c>
      <c r="Q257">
        <f t="shared" si="39"/>
        <v>0.3</v>
      </c>
      <c r="R257" s="75">
        <v>15</v>
      </c>
      <c r="S257" s="6">
        <f t="shared" si="40"/>
        <v>0.15</v>
      </c>
    </row>
    <row r="258" spans="1:19" x14ac:dyDescent="0.25">
      <c r="A258" s="37" t="s">
        <v>55</v>
      </c>
      <c r="B258" s="6" t="s">
        <v>162</v>
      </c>
      <c r="C258" s="67">
        <v>55960</v>
      </c>
      <c r="D258" s="6">
        <f>(C258/12)*5</f>
        <v>23316.666666666664</v>
      </c>
      <c r="E258" s="67">
        <v>400</v>
      </c>
      <c r="F258" s="6">
        <f>SUM(E254:E258)</f>
        <v>24455</v>
      </c>
      <c r="G258" s="36" t="str">
        <f t="shared" si="37"/>
        <v>Farol Verde</v>
      </c>
      <c r="H258">
        <f t="shared" ref="H258:H321" si="47">IF(D258-F258&lt;0,0,D258-F258)</f>
        <v>0</v>
      </c>
      <c r="I258" s="6">
        <f t="shared" ref="I258:I321" si="48">_xlfn.IFS(B258="Janeiro",1,B258="Fevereiro",2,B258="Março",3,B258="Abril",4,B258="Maio",5,B258="Junho",6,B258="Julho",7,B258="Agosto",8,B258="Setembro",9,B258="Outubro",10,B258="Novembro",11,B258="Dezembro",12,TRUE,0)</f>
        <v>5</v>
      </c>
      <c r="J258" s="77">
        <v>186</v>
      </c>
      <c r="K258" s="77">
        <v>7</v>
      </c>
      <c r="L258" s="6">
        <f>L254+L257</f>
        <v>77.5</v>
      </c>
      <c r="M258" s="6">
        <f t="shared" si="46"/>
        <v>148</v>
      </c>
      <c r="N258" s="78">
        <v>100</v>
      </c>
      <c r="O258">
        <f t="shared" si="38"/>
        <v>0.5</v>
      </c>
      <c r="P258" s="78">
        <v>50</v>
      </c>
      <c r="Q258">
        <f t="shared" si="39"/>
        <v>0.3</v>
      </c>
      <c r="R258" s="75">
        <v>15</v>
      </c>
      <c r="S258" s="6">
        <f t="shared" si="40"/>
        <v>0.15</v>
      </c>
    </row>
    <row r="259" spans="1:19" x14ac:dyDescent="0.25">
      <c r="A259" s="37" t="s">
        <v>55</v>
      </c>
      <c r="B259" s="6" t="s">
        <v>163</v>
      </c>
      <c r="C259" s="67">
        <v>55960</v>
      </c>
      <c r="D259" s="6">
        <f>(C259/12)*6</f>
        <v>27980</v>
      </c>
      <c r="E259" s="67">
        <v>385</v>
      </c>
      <c r="F259" s="6">
        <f>SUM(E254:E259)</f>
        <v>24840</v>
      </c>
      <c r="G259" s="36" t="str">
        <f t="shared" ref="G259:G322" si="49">_xlfn.IFS(F259&gt;D259,"Farol Verde",F259&gt;=D259*0.85,"Farol Amarelo",F259&lt;D259*0.85,"Farol Vermelho","Verdadeiro",0)</f>
        <v>Farol Amarelo</v>
      </c>
      <c r="H259">
        <f t="shared" si="47"/>
        <v>3140</v>
      </c>
      <c r="I259" s="6">
        <f t="shared" si="48"/>
        <v>6</v>
      </c>
      <c r="J259" s="75">
        <v>186</v>
      </c>
      <c r="K259" s="75">
        <v>4</v>
      </c>
      <c r="L259" s="6">
        <f>$L254+L258</f>
        <v>93</v>
      </c>
      <c r="M259" s="6">
        <f t="shared" si="46"/>
        <v>152</v>
      </c>
      <c r="N259" s="78">
        <v>100</v>
      </c>
      <c r="O259">
        <f t="shared" ref="O259:O322" si="50">P259/N259</f>
        <v>0.5</v>
      </c>
      <c r="P259" s="78">
        <v>50</v>
      </c>
      <c r="Q259">
        <f t="shared" ref="Q259:Q322" si="51">R259/P259</f>
        <v>0.3</v>
      </c>
      <c r="R259" s="75">
        <v>15</v>
      </c>
      <c r="S259" s="6">
        <f t="shared" ref="S259:S322" si="52">R259/N259</f>
        <v>0.15</v>
      </c>
    </row>
    <row r="260" spans="1:19" x14ac:dyDescent="0.25">
      <c r="A260" s="37" t="s">
        <v>55</v>
      </c>
      <c r="B260" s="6" t="s">
        <v>164</v>
      </c>
      <c r="C260" s="67">
        <v>55960</v>
      </c>
      <c r="D260" s="6">
        <f>(C260/12)*7</f>
        <v>32643.333333333332</v>
      </c>
      <c r="E260" s="67">
        <v>11555</v>
      </c>
      <c r="F260" s="6">
        <f>SUM(E254:E260)</f>
        <v>36395</v>
      </c>
      <c r="G260" s="36" t="str">
        <f t="shared" si="49"/>
        <v>Farol Verde</v>
      </c>
      <c r="H260">
        <f t="shared" si="47"/>
        <v>0</v>
      </c>
      <c r="I260" s="6">
        <f t="shared" si="48"/>
        <v>7</v>
      </c>
      <c r="J260" s="77">
        <v>186</v>
      </c>
      <c r="K260" s="77">
        <v>19</v>
      </c>
      <c r="L260" s="6">
        <f>$L254+L259</f>
        <v>108.5</v>
      </c>
      <c r="M260" s="6">
        <f t="shared" si="46"/>
        <v>171</v>
      </c>
      <c r="N260" s="78">
        <v>100</v>
      </c>
      <c r="O260">
        <f t="shared" si="50"/>
        <v>0.5</v>
      </c>
      <c r="P260" s="78">
        <v>50</v>
      </c>
      <c r="Q260">
        <f t="shared" si="51"/>
        <v>0.3</v>
      </c>
      <c r="R260" s="75">
        <v>15</v>
      </c>
      <c r="S260" s="6">
        <f t="shared" si="52"/>
        <v>0.15</v>
      </c>
    </row>
    <row r="261" spans="1:19" x14ac:dyDescent="0.25">
      <c r="A261" s="37" t="s">
        <v>55</v>
      </c>
      <c r="B261" s="6" t="s">
        <v>165</v>
      </c>
      <c r="C261" s="67">
        <v>55960</v>
      </c>
      <c r="D261" s="6">
        <f>(C261/12)*8</f>
        <v>37306.666666666664</v>
      </c>
      <c r="E261" s="67">
        <v>2280</v>
      </c>
      <c r="F261" s="6">
        <f>SUM(E254:E261)</f>
        <v>38675</v>
      </c>
      <c r="G261" s="36" t="str">
        <f t="shared" si="49"/>
        <v>Farol Verde</v>
      </c>
      <c r="H261">
        <f t="shared" si="47"/>
        <v>0</v>
      </c>
      <c r="I261" s="6">
        <f t="shared" si="48"/>
        <v>8</v>
      </c>
      <c r="J261" s="75">
        <v>186</v>
      </c>
      <c r="K261" s="75">
        <v>22</v>
      </c>
      <c r="L261" s="6">
        <f>L254+L260</f>
        <v>124</v>
      </c>
      <c r="M261" s="6">
        <f t="shared" si="46"/>
        <v>193</v>
      </c>
      <c r="N261" s="78">
        <v>100</v>
      </c>
      <c r="O261">
        <f t="shared" si="50"/>
        <v>0.5</v>
      </c>
      <c r="P261" s="78">
        <v>50</v>
      </c>
      <c r="Q261">
        <f t="shared" si="51"/>
        <v>0.3</v>
      </c>
      <c r="R261" s="75">
        <v>15</v>
      </c>
      <c r="S261" s="6">
        <f t="shared" si="52"/>
        <v>0.15</v>
      </c>
    </row>
    <row r="262" spans="1:19" x14ac:dyDescent="0.25">
      <c r="A262" s="37" t="s">
        <v>55</v>
      </c>
      <c r="B262" s="6" t="s">
        <v>166</v>
      </c>
      <c r="C262" s="67">
        <v>55960</v>
      </c>
      <c r="D262" s="6">
        <f>(C262/12)*9</f>
        <v>41970</v>
      </c>
      <c r="E262" s="67">
        <v>3955</v>
      </c>
      <c r="F262" s="6">
        <f>SUM(E254:E262)</f>
        <v>42630</v>
      </c>
      <c r="G262" s="36" t="str">
        <f t="shared" si="49"/>
        <v>Farol Verde</v>
      </c>
      <c r="H262">
        <f t="shared" si="47"/>
        <v>0</v>
      </c>
      <c r="I262" s="6">
        <f t="shared" si="48"/>
        <v>9</v>
      </c>
      <c r="J262" s="77">
        <v>186</v>
      </c>
      <c r="K262" s="77">
        <v>21</v>
      </c>
      <c r="L262" s="6">
        <f>$L254+L261</f>
        <v>139.5</v>
      </c>
      <c r="M262" s="6">
        <f t="shared" si="46"/>
        <v>214</v>
      </c>
      <c r="N262" s="78">
        <v>100</v>
      </c>
      <c r="O262">
        <f t="shared" si="50"/>
        <v>0.5</v>
      </c>
      <c r="P262" s="78">
        <v>50</v>
      </c>
      <c r="Q262">
        <f t="shared" si="51"/>
        <v>0.3</v>
      </c>
      <c r="R262" s="75">
        <v>15</v>
      </c>
      <c r="S262" s="6">
        <f t="shared" si="52"/>
        <v>0.15</v>
      </c>
    </row>
    <row r="263" spans="1:19" x14ac:dyDescent="0.25">
      <c r="A263" s="37" t="s">
        <v>55</v>
      </c>
      <c r="B263" s="6" t="s">
        <v>167</v>
      </c>
      <c r="C263" s="67">
        <v>55960</v>
      </c>
      <c r="D263" s="6">
        <f>(C263/12)*10</f>
        <v>46633.333333333328</v>
      </c>
      <c r="E263" s="67">
        <v>1235</v>
      </c>
      <c r="F263" s="6">
        <f>SUM(E254:E263)</f>
        <v>43865</v>
      </c>
      <c r="G263" s="36" t="str">
        <f t="shared" si="49"/>
        <v>Farol Amarelo</v>
      </c>
      <c r="H263">
        <f t="shared" si="47"/>
        <v>2768.3333333333285</v>
      </c>
      <c r="I263" s="6">
        <f t="shared" si="48"/>
        <v>10</v>
      </c>
      <c r="J263" s="75">
        <v>186</v>
      </c>
      <c r="K263" s="75">
        <v>9</v>
      </c>
      <c r="L263" s="6">
        <f>$L254+L262</f>
        <v>155</v>
      </c>
      <c r="M263" s="6">
        <f t="shared" si="46"/>
        <v>223</v>
      </c>
      <c r="N263" s="78">
        <v>100</v>
      </c>
      <c r="O263">
        <f t="shared" si="50"/>
        <v>0.5</v>
      </c>
      <c r="P263" s="78">
        <v>50</v>
      </c>
      <c r="Q263">
        <f t="shared" si="51"/>
        <v>0.3</v>
      </c>
      <c r="R263" s="75">
        <v>15</v>
      </c>
      <c r="S263" s="6">
        <f t="shared" si="52"/>
        <v>0.15</v>
      </c>
    </row>
    <row r="264" spans="1:19" x14ac:dyDescent="0.25">
      <c r="A264" s="37" t="s">
        <v>55</v>
      </c>
      <c r="B264" s="6" t="s">
        <v>168</v>
      </c>
      <c r="C264" s="67">
        <v>55960</v>
      </c>
      <c r="D264" s="6">
        <f>(C264/12)*11</f>
        <v>51296.666666666664</v>
      </c>
      <c r="E264" s="67">
        <v>11500</v>
      </c>
      <c r="F264" s="6">
        <f>SUM(E254:E264)</f>
        <v>55365</v>
      </c>
      <c r="G264" s="36" t="str">
        <f t="shared" si="49"/>
        <v>Farol Verde</v>
      </c>
      <c r="H264">
        <f t="shared" si="47"/>
        <v>0</v>
      </c>
      <c r="I264" s="6">
        <f t="shared" si="48"/>
        <v>11</v>
      </c>
      <c r="J264" s="77">
        <v>186</v>
      </c>
      <c r="K264" s="77">
        <v>7</v>
      </c>
      <c r="L264" s="6">
        <f>L254+L263</f>
        <v>170.5</v>
      </c>
      <c r="M264" s="6">
        <f t="shared" si="46"/>
        <v>230</v>
      </c>
      <c r="N264" s="78">
        <v>100</v>
      </c>
      <c r="O264">
        <f t="shared" si="50"/>
        <v>0.5</v>
      </c>
      <c r="P264" s="78">
        <v>50</v>
      </c>
      <c r="Q264">
        <f t="shared" si="51"/>
        <v>0.3</v>
      </c>
      <c r="R264" s="75">
        <v>15</v>
      </c>
      <c r="S264" s="6">
        <f t="shared" si="52"/>
        <v>0.15</v>
      </c>
    </row>
    <row r="265" spans="1:19" x14ac:dyDescent="0.25">
      <c r="A265" s="37" t="s">
        <v>55</v>
      </c>
      <c r="B265" s="6" t="s">
        <v>169</v>
      </c>
      <c r="C265" s="67">
        <v>55960</v>
      </c>
      <c r="D265" s="6">
        <f>(C265/12)*12</f>
        <v>55960</v>
      </c>
      <c r="E265" s="67">
        <v>720</v>
      </c>
      <c r="F265" s="6">
        <f>SUM(E254:E265)</f>
        <v>56085</v>
      </c>
      <c r="G265" s="36" t="str">
        <f t="shared" si="49"/>
        <v>Farol Verde</v>
      </c>
      <c r="H265">
        <f t="shared" si="47"/>
        <v>0</v>
      </c>
      <c r="I265" s="6">
        <f t="shared" si="48"/>
        <v>12</v>
      </c>
      <c r="J265" s="75">
        <v>186</v>
      </c>
      <c r="K265" s="75">
        <v>1</v>
      </c>
      <c r="L265" s="6">
        <f>$L254+L264</f>
        <v>186</v>
      </c>
      <c r="M265" s="6">
        <f t="shared" si="46"/>
        <v>231</v>
      </c>
      <c r="N265" s="78">
        <v>100</v>
      </c>
      <c r="O265">
        <f t="shared" si="50"/>
        <v>0.5</v>
      </c>
      <c r="P265" s="78">
        <v>50</v>
      </c>
      <c r="Q265">
        <f t="shared" si="51"/>
        <v>0.3</v>
      </c>
      <c r="R265" s="75">
        <v>15</v>
      </c>
      <c r="S265" s="6">
        <f t="shared" si="52"/>
        <v>0.15</v>
      </c>
    </row>
    <row r="266" spans="1:19" x14ac:dyDescent="0.25">
      <c r="A266" s="37" t="s">
        <v>154</v>
      </c>
      <c r="B266" s="6" t="s">
        <v>158</v>
      </c>
      <c r="C266" s="67">
        <v>0</v>
      </c>
      <c r="D266" s="6">
        <f>(C266/12)*1</f>
        <v>0</v>
      </c>
      <c r="E266" s="67">
        <v>0</v>
      </c>
      <c r="F266" s="6">
        <f>E266</f>
        <v>0</v>
      </c>
      <c r="G266" s="36" t="str">
        <f t="shared" si="49"/>
        <v>Farol Amarelo</v>
      </c>
      <c r="H266">
        <f t="shared" si="47"/>
        <v>0</v>
      </c>
      <c r="I266" s="6">
        <f t="shared" si="48"/>
        <v>1</v>
      </c>
      <c r="J266" s="77">
        <v>0</v>
      </c>
      <c r="K266" s="77">
        <v>0</v>
      </c>
      <c r="L266" s="6">
        <f>J266/12</f>
        <v>0</v>
      </c>
      <c r="M266" s="6">
        <f>K266</f>
        <v>0</v>
      </c>
      <c r="N266" s="78">
        <v>100</v>
      </c>
      <c r="O266">
        <f t="shared" si="50"/>
        <v>0.5</v>
      </c>
      <c r="P266" s="78">
        <v>50</v>
      </c>
      <c r="Q266">
        <f t="shared" si="51"/>
        <v>0.3</v>
      </c>
      <c r="R266" s="75">
        <v>15</v>
      </c>
      <c r="S266" s="6">
        <f t="shared" si="52"/>
        <v>0.15</v>
      </c>
    </row>
    <row r="267" spans="1:19" x14ac:dyDescent="0.25">
      <c r="A267" s="37" t="s">
        <v>154</v>
      </c>
      <c r="B267" s="6" t="s">
        <v>159</v>
      </c>
      <c r="C267" s="67">
        <v>0</v>
      </c>
      <c r="D267" s="6">
        <f>(C267/12)*2</f>
        <v>0</v>
      </c>
      <c r="E267" s="67">
        <v>0</v>
      </c>
      <c r="F267" s="6">
        <f>SUM(E266:E267)</f>
        <v>0</v>
      </c>
      <c r="G267" s="36" t="str">
        <f t="shared" si="49"/>
        <v>Farol Amarelo</v>
      </c>
      <c r="H267">
        <f t="shared" si="47"/>
        <v>0</v>
      </c>
      <c r="I267" s="6">
        <f t="shared" si="48"/>
        <v>2</v>
      </c>
      <c r="J267" s="75">
        <v>0</v>
      </c>
      <c r="K267" s="75">
        <v>0</v>
      </c>
      <c r="L267" s="6">
        <f>L266+L266</f>
        <v>0</v>
      </c>
      <c r="M267" s="6">
        <f>M266+K267</f>
        <v>0</v>
      </c>
      <c r="N267" s="78">
        <v>100</v>
      </c>
      <c r="O267">
        <f t="shared" si="50"/>
        <v>0.5</v>
      </c>
      <c r="P267" s="78">
        <v>50</v>
      </c>
      <c r="Q267">
        <f t="shared" si="51"/>
        <v>0.3</v>
      </c>
      <c r="R267" s="75">
        <v>15</v>
      </c>
      <c r="S267" s="6">
        <f t="shared" si="52"/>
        <v>0.15</v>
      </c>
    </row>
    <row r="268" spans="1:19" x14ac:dyDescent="0.25">
      <c r="A268" s="37" t="s">
        <v>154</v>
      </c>
      <c r="B268" s="6" t="s">
        <v>160</v>
      </c>
      <c r="C268" s="67">
        <v>0</v>
      </c>
      <c r="D268" s="6">
        <f>(C268/12)*3</f>
        <v>0</v>
      </c>
      <c r="E268" s="67">
        <v>0</v>
      </c>
      <c r="F268" s="6">
        <f>SUM(E266:E268)</f>
        <v>0</v>
      </c>
      <c r="G268" s="36" t="str">
        <f t="shared" si="49"/>
        <v>Farol Amarelo</v>
      </c>
      <c r="H268">
        <f t="shared" si="47"/>
        <v>0</v>
      </c>
      <c r="I268" s="6">
        <f t="shared" si="48"/>
        <v>3</v>
      </c>
      <c r="J268" s="77">
        <v>0</v>
      </c>
      <c r="K268" s="77">
        <v>0</v>
      </c>
      <c r="L268" s="6">
        <f>$L266+L267</f>
        <v>0</v>
      </c>
      <c r="M268" s="6">
        <f t="shared" ref="M268:M277" si="53">M267+K268</f>
        <v>0</v>
      </c>
      <c r="N268" s="78">
        <v>100</v>
      </c>
      <c r="O268">
        <f t="shared" si="50"/>
        <v>0.5</v>
      </c>
      <c r="P268" s="78">
        <v>50</v>
      </c>
      <c r="Q268">
        <f t="shared" si="51"/>
        <v>0.3</v>
      </c>
      <c r="R268" s="75">
        <v>15</v>
      </c>
      <c r="S268" s="6">
        <f t="shared" si="52"/>
        <v>0.15</v>
      </c>
    </row>
    <row r="269" spans="1:19" x14ac:dyDescent="0.25">
      <c r="A269" s="37" t="s">
        <v>154</v>
      </c>
      <c r="B269" s="6" t="s">
        <v>161</v>
      </c>
      <c r="C269" s="67">
        <v>0</v>
      </c>
      <c r="D269" s="6">
        <f>(C269/12)*4</f>
        <v>0</v>
      </c>
      <c r="E269" s="67">
        <v>0</v>
      </c>
      <c r="F269" s="6">
        <f>SUM(E266:E269)</f>
        <v>0</v>
      </c>
      <c r="G269" s="36" t="str">
        <f t="shared" si="49"/>
        <v>Farol Amarelo</v>
      </c>
      <c r="H269">
        <f t="shared" si="47"/>
        <v>0</v>
      </c>
      <c r="I269" s="6">
        <f t="shared" si="48"/>
        <v>4</v>
      </c>
      <c r="J269" s="75">
        <v>0</v>
      </c>
      <c r="K269" s="75">
        <v>0</v>
      </c>
      <c r="L269" s="6">
        <f>$L266+L268</f>
        <v>0</v>
      </c>
      <c r="M269" s="6">
        <f t="shared" si="53"/>
        <v>0</v>
      </c>
      <c r="N269" s="78">
        <v>100</v>
      </c>
      <c r="O269">
        <f t="shared" si="50"/>
        <v>0.5</v>
      </c>
      <c r="P269" s="78">
        <v>50</v>
      </c>
      <c r="Q269">
        <f t="shared" si="51"/>
        <v>0.3</v>
      </c>
      <c r="R269" s="75">
        <v>15</v>
      </c>
      <c r="S269" s="6">
        <f t="shared" si="52"/>
        <v>0.15</v>
      </c>
    </row>
    <row r="270" spans="1:19" x14ac:dyDescent="0.25">
      <c r="A270" s="37" t="s">
        <v>154</v>
      </c>
      <c r="B270" s="6" t="s">
        <v>162</v>
      </c>
      <c r="C270" s="67">
        <v>0</v>
      </c>
      <c r="D270" s="6">
        <f>(C270/12)*5</f>
        <v>0</v>
      </c>
      <c r="E270" s="67">
        <v>0</v>
      </c>
      <c r="F270" s="6">
        <f>SUM(E266:E270)</f>
        <v>0</v>
      </c>
      <c r="G270" s="36" t="str">
        <f t="shared" si="49"/>
        <v>Farol Amarelo</v>
      </c>
      <c r="H270">
        <f t="shared" si="47"/>
        <v>0</v>
      </c>
      <c r="I270" s="6">
        <f t="shared" si="48"/>
        <v>5</v>
      </c>
      <c r="J270" s="77">
        <v>0</v>
      </c>
      <c r="K270" s="77">
        <v>0</v>
      </c>
      <c r="L270" s="6">
        <f>L266+L269</f>
        <v>0</v>
      </c>
      <c r="M270" s="6">
        <f t="shared" si="53"/>
        <v>0</v>
      </c>
      <c r="N270" s="78">
        <v>100</v>
      </c>
      <c r="O270">
        <f t="shared" si="50"/>
        <v>0.5</v>
      </c>
      <c r="P270" s="78">
        <v>50</v>
      </c>
      <c r="Q270">
        <f t="shared" si="51"/>
        <v>0.3</v>
      </c>
      <c r="R270" s="75">
        <v>15</v>
      </c>
      <c r="S270" s="6">
        <f t="shared" si="52"/>
        <v>0.15</v>
      </c>
    </row>
    <row r="271" spans="1:19" x14ac:dyDescent="0.25">
      <c r="A271" s="37" t="s">
        <v>154</v>
      </c>
      <c r="B271" s="6" t="s">
        <v>163</v>
      </c>
      <c r="C271" s="67">
        <v>0</v>
      </c>
      <c r="D271" s="6">
        <f>(C271/12)*6</f>
        <v>0</v>
      </c>
      <c r="E271" s="67">
        <v>0</v>
      </c>
      <c r="F271" s="6">
        <f>SUM(E266:E271)</f>
        <v>0</v>
      </c>
      <c r="G271" s="36" t="str">
        <f t="shared" si="49"/>
        <v>Farol Amarelo</v>
      </c>
      <c r="H271">
        <f t="shared" si="47"/>
        <v>0</v>
      </c>
      <c r="I271" s="6">
        <f t="shared" si="48"/>
        <v>6</v>
      </c>
      <c r="J271" s="75">
        <v>0</v>
      </c>
      <c r="K271" s="75">
        <v>0</v>
      </c>
      <c r="L271" s="6">
        <f>$L266+L270</f>
        <v>0</v>
      </c>
      <c r="M271" s="6">
        <f t="shared" si="53"/>
        <v>0</v>
      </c>
      <c r="N271" s="78">
        <v>100</v>
      </c>
      <c r="O271">
        <f t="shared" si="50"/>
        <v>0.5</v>
      </c>
      <c r="P271" s="78">
        <v>50</v>
      </c>
      <c r="Q271">
        <f t="shared" si="51"/>
        <v>0.3</v>
      </c>
      <c r="R271" s="75">
        <v>15</v>
      </c>
      <c r="S271" s="6">
        <f t="shared" si="52"/>
        <v>0.15</v>
      </c>
    </row>
    <row r="272" spans="1:19" x14ac:dyDescent="0.25">
      <c r="A272" s="37" t="s">
        <v>154</v>
      </c>
      <c r="B272" s="6" t="s">
        <v>164</v>
      </c>
      <c r="C272" s="67">
        <v>0</v>
      </c>
      <c r="D272" s="6">
        <f>(C272/12)*7</f>
        <v>0</v>
      </c>
      <c r="E272" s="67">
        <v>0</v>
      </c>
      <c r="F272" s="6">
        <f>SUM(E266:E272)</f>
        <v>0</v>
      </c>
      <c r="G272" s="36" t="str">
        <f t="shared" si="49"/>
        <v>Farol Amarelo</v>
      </c>
      <c r="H272">
        <f t="shared" si="47"/>
        <v>0</v>
      </c>
      <c r="I272" s="6">
        <f t="shared" si="48"/>
        <v>7</v>
      </c>
      <c r="J272" s="77">
        <v>0</v>
      </c>
      <c r="K272" s="77">
        <v>0</v>
      </c>
      <c r="L272" s="6">
        <f>$L266+L271</f>
        <v>0</v>
      </c>
      <c r="M272" s="6">
        <f t="shared" si="53"/>
        <v>0</v>
      </c>
      <c r="N272" s="78">
        <v>100</v>
      </c>
      <c r="O272">
        <f t="shared" si="50"/>
        <v>0.5</v>
      </c>
      <c r="P272" s="78">
        <v>50</v>
      </c>
      <c r="Q272">
        <f t="shared" si="51"/>
        <v>0.3</v>
      </c>
      <c r="R272" s="75">
        <v>15</v>
      </c>
      <c r="S272" s="6">
        <f t="shared" si="52"/>
        <v>0.15</v>
      </c>
    </row>
    <row r="273" spans="1:19" x14ac:dyDescent="0.25">
      <c r="A273" s="37" t="s">
        <v>154</v>
      </c>
      <c r="B273" s="6" t="s">
        <v>165</v>
      </c>
      <c r="C273" s="67">
        <v>0</v>
      </c>
      <c r="D273" s="6">
        <f>(C273/12)*8</f>
        <v>0</v>
      </c>
      <c r="E273" s="67">
        <v>0</v>
      </c>
      <c r="F273" s="6">
        <f>SUM(E266:E273)</f>
        <v>0</v>
      </c>
      <c r="G273" s="36" t="str">
        <f t="shared" si="49"/>
        <v>Farol Amarelo</v>
      </c>
      <c r="H273">
        <f t="shared" si="47"/>
        <v>0</v>
      </c>
      <c r="I273" s="6">
        <f t="shared" si="48"/>
        <v>8</v>
      </c>
      <c r="J273" s="75">
        <v>0</v>
      </c>
      <c r="K273" s="75">
        <v>0</v>
      </c>
      <c r="L273" s="6">
        <f>L266+L272</f>
        <v>0</v>
      </c>
      <c r="M273" s="6">
        <f t="shared" si="53"/>
        <v>0</v>
      </c>
      <c r="N273" s="78">
        <v>100</v>
      </c>
      <c r="O273">
        <f t="shared" si="50"/>
        <v>0.5</v>
      </c>
      <c r="P273" s="78">
        <v>50</v>
      </c>
      <c r="Q273">
        <f t="shared" si="51"/>
        <v>0.3</v>
      </c>
      <c r="R273" s="75">
        <v>15</v>
      </c>
      <c r="S273" s="6">
        <f t="shared" si="52"/>
        <v>0.15</v>
      </c>
    </row>
    <row r="274" spans="1:19" x14ac:dyDescent="0.25">
      <c r="A274" s="37" t="s">
        <v>154</v>
      </c>
      <c r="B274" s="6" t="s">
        <v>166</v>
      </c>
      <c r="C274" s="67">
        <v>0</v>
      </c>
      <c r="D274" s="6">
        <f>(C274/12)*9</f>
        <v>0</v>
      </c>
      <c r="E274" s="67">
        <v>0</v>
      </c>
      <c r="F274" s="6">
        <f>SUM(E266:E274)</f>
        <v>0</v>
      </c>
      <c r="G274" s="36" t="str">
        <f t="shared" si="49"/>
        <v>Farol Amarelo</v>
      </c>
      <c r="H274">
        <f t="shared" si="47"/>
        <v>0</v>
      </c>
      <c r="I274" s="6">
        <f t="shared" si="48"/>
        <v>9</v>
      </c>
      <c r="J274" s="77">
        <v>0</v>
      </c>
      <c r="K274" s="77">
        <v>0</v>
      </c>
      <c r="L274" s="6">
        <f>$L266+L273</f>
        <v>0</v>
      </c>
      <c r="M274" s="6">
        <f t="shared" si="53"/>
        <v>0</v>
      </c>
      <c r="N274" s="78">
        <v>100</v>
      </c>
      <c r="O274">
        <f t="shared" si="50"/>
        <v>0.5</v>
      </c>
      <c r="P274" s="78">
        <v>50</v>
      </c>
      <c r="Q274">
        <f t="shared" si="51"/>
        <v>0.3</v>
      </c>
      <c r="R274" s="75">
        <v>15</v>
      </c>
      <c r="S274" s="6">
        <f t="shared" si="52"/>
        <v>0.15</v>
      </c>
    </row>
    <row r="275" spans="1:19" x14ac:dyDescent="0.25">
      <c r="A275" s="37" t="s">
        <v>154</v>
      </c>
      <c r="B275" s="6" t="s">
        <v>167</v>
      </c>
      <c r="C275" s="67">
        <v>0</v>
      </c>
      <c r="D275" s="6">
        <f>(C275/12)*10</f>
        <v>0</v>
      </c>
      <c r="E275" s="67">
        <v>0</v>
      </c>
      <c r="F275" s="6">
        <f>SUM(E266:E275)</f>
        <v>0</v>
      </c>
      <c r="G275" s="36" t="str">
        <f t="shared" si="49"/>
        <v>Farol Amarelo</v>
      </c>
      <c r="H275">
        <f t="shared" si="47"/>
        <v>0</v>
      </c>
      <c r="I275" s="6">
        <f t="shared" si="48"/>
        <v>10</v>
      </c>
      <c r="J275" s="75">
        <v>0</v>
      </c>
      <c r="K275" s="75">
        <v>0</v>
      </c>
      <c r="L275" s="6">
        <f>$L266+L274</f>
        <v>0</v>
      </c>
      <c r="M275" s="6">
        <f t="shared" si="53"/>
        <v>0</v>
      </c>
      <c r="N275" s="78">
        <v>100</v>
      </c>
      <c r="O275">
        <f t="shared" si="50"/>
        <v>0.5</v>
      </c>
      <c r="P275" s="78">
        <v>50</v>
      </c>
      <c r="Q275">
        <f t="shared" si="51"/>
        <v>0.3</v>
      </c>
      <c r="R275" s="75">
        <v>15</v>
      </c>
      <c r="S275" s="6">
        <f t="shared" si="52"/>
        <v>0.15</v>
      </c>
    </row>
    <row r="276" spans="1:19" x14ac:dyDescent="0.25">
      <c r="A276" s="37" t="s">
        <v>154</v>
      </c>
      <c r="B276" s="6" t="s">
        <v>168</v>
      </c>
      <c r="C276" s="67">
        <v>0</v>
      </c>
      <c r="D276" s="6">
        <f>(C276/12)*11</f>
        <v>0</v>
      </c>
      <c r="E276" s="67">
        <v>0</v>
      </c>
      <c r="F276" s="6">
        <f>SUM(E266:E276)</f>
        <v>0</v>
      </c>
      <c r="G276" s="36" t="str">
        <f t="shared" si="49"/>
        <v>Farol Amarelo</v>
      </c>
      <c r="H276">
        <f t="shared" si="47"/>
        <v>0</v>
      </c>
      <c r="I276" s="6">
        <f t="shared" si="48"/>
        <v>11</v>
      </c>
      <c r="J276" s="77">
        <v>0</v>
      </c>
      <c r="K276" s="77">
        <v>0</v>
      </c>
      <c r="L276" s="6">
        <f>L266+L275</f>
        <v>0</v>
      </c>
      <c r="M276" s="6">
        <f t="shared" si="53"/>
        <v>0</v>
      </c>
      <c r="N276" s="78">
        <v>100</v>
      </c>
      <c r="O276">
        <f t="shared" si="50"/>
        <v>0.5</v>
      </c>
      <c r="P276" s="78">
        <v>50</v>
      </c>
      <c r="Q276">
        <f t="shared" si="51"/>
        <v>0.3</v>
      </c>
      <c r="R276" s="75">
        <v>15</v>
      </c>
      <c r="S276" s="6">
        <f t="shared" si="52"/>
        <v>0.15</v>
      </c>
    </row>
    <row r="277" spans="1:19" x14ac:dyDescent="0.25">
      <c r="A277" s="37" t="s">
        <v>154</v>
      </c>
      <c r="B277" s="6" t="s">
        <v>169</v>
      </c>
      <c r="C277" s="67">
        <v>0</v>
      </c>
      <c r="D277" s="6">
        <f>(C277/12)*12</f>
        <v>0</v>
      </c>
      <c r="E277" s="67">
        <v>0</v>
      </c>
      <c r="F277" s="6">
        <f>SUM(E266:E277)</f>
        <v>0</v>
      </c>
      <c r="G277" s="36" t="str">
        <f t="shared" si="49"/>
        <v>Farol Amarelo</v>
      </c>
      <c r="H277">
        <f t="shared" si="47"/>
        <v>0</v>
      </c>
      <c r="I277" s="6">
        <f t="shared" si="48"/>
        <v>12</v>
      </c>
      <c r="J277" s="75">
        <v>0</v>
      </c>
      <c r="K277" s="75">
        <v>0</v>
      </c>
      <c r="L277" s="6">
        <f>$L266+L276</f>
        <v>0</v>
      </c>
      <c r="M277" s="6">
        <f t="shared" si="53"/>
        <v>0</v>
      </c>
      <c r="N277" s="78">
        <v>100</v>
      </c>
      <c r="O277">
        <f t="shared" si="50"/>
        <v>0.5</v>
      </c>
      <c r="P277" s="78">
        <v>50</v>
      </c>
      <c r="Q277">
        <f t="shared" si="51"/>
        <v>0.3</v>
      </c>
      <c r="R277" s="75">
        <v>15</v>
      </c>
      <c r="S277" s="6">
        <f t="shared" si="52"/>
        <v>0.15</v>
      </c>
    </row>
    <row r="278" spans="1:19" x14ac:dyDescent="0.25">
      <c r="A278" s="37" t="s">
        <v>72</v>
      </c>
      <c r="B278" s="6" t="s">
        <v>158</v>
      </c>
      <c r="C278" s="67">
        <v>7000</v>
      </c>
      <c r="D278" s="6">
        <f>(C278/12)*1</f>
        <v>583.33333333333337</v>
      </c>
      <c r="E278" s="67">
        <v>0</v>
      </c>
      <c r="F278" s="6">
        <f>E278</f>
        <v>0</v>
      </c>
      <c r="G278" s="36" t="str">
        <f t="shared" si="49"/>
        <v>Farol Vermelho</v>
      </c>
      <c r="H278">
        <f t="shared" si="47"/>
        <v>583.33333333333337</v>
      </c>
      <c r="I278" s="6">
        <f t="shared" si="48"/>
        <v>1</v>
      </c>
      <c r="J278" s="77">
        <v>7</v>
      </c>
      <c r="K278" s="77">
        <v>0</v>
      </c>
      <c r="L278" s="6">
        <f>J278/12</f>
        <v>0.58333333333333337</v>
      </c>
      <c r="M278" s="6">
        <f>K278</f>
        <v>0</v>
      </c>
      <c r="N278" s="78">
        <v>100</v>
      </c>
      <c r="O278">
        <f t="shared" si="50"/>
        <v>0.5</v>
      </c>
      <c r="P278" s="78">
        <v>50</v>
      </c>
      <c r="Q278">
        <f t="shared" si="51"/>
        <v>0.3</v>
      </c>
      <c r="R278" s="75">
        <v>15</v>
      </c>
      <c r="S278" s="6">
        <f t="shared" si="52"/>
        <v>0.15</v>
      </c>
    </row>
    <row r="279" spans="1:19" x14ac:dyDescent="0.25">
      <c r="A279" s="37" t="s">
        <v>72</v>
      </c>
      <c r="B279" s="6" t="s">
        <v>159</v>
      </c>
      <c r="C279" s="67">
        <v>7000</v>
      </c>
      <c r="D279" s="6">
        <f>(C279/12)*2</f>
        <v>1166.6666666666667</v>
      </c>
      <c r="E279" s="67">
        <v>0</v>
      </c>
      <c r="F279" s="6">
        <f>SUM(E278:E279)</f>
        <v>0</v>
      </c>
      <c r="G279" s="36" t="str">
        <f t="shared" si="49"/>
        <v>Farol Vermelho</v>
      </c>
      <c r="H279">
        <f t="shared" si="47"/>
        <v>1166.6666666666667</v>
      </c>
      <c r="I279" s="6">
        <f t="shared" si="48"/>
        <v>2</v>
      </c>
      <c r="J279" s="75">
        <v>7</v>
      </c>
      <c r="K279" s="75">
        <v>0</v>
      </c>
      <c r="L279" s="6">
        <f>L278+L278</f>
        <v>1.1666666666666667</v>
      </c>
      <c r="M279" s="6">
        <f>M278+K279</f>
        <v>0</v>
      </c>
      <c r="N279" s="78">
        <v>100</v>
      </c>
      <c r="O279">
        <f t="shared" si="50"/>
        <v>0.5</v>
      </c>
      <c r="P279" s="78">
        <v>50</v>
      </c>
      <c r="Q279">
        <f t="shared" si="51"/>
        <v>0.3</v>
      </c>
      <c r="R279" s="75">
        <v>15</v>
      </c>
      <c r="S279" s="6">
        <f t="shared" si="52"/>
        <v>0.15</v>
      </c>
    </row>
    <row r="280" spans="1:19" x14ac:dyDescent="0.25">
      <c r="A280" s="37" t="s">
        <v>72</v>
      </c>
      <c r="B280" s="6" t="s">
        <v>160</v>
      </c>
      <c r="C280" s="67">
        <v>7000</v>
      </c>
      <c r="D280" s="6">
        <f>(C280/12)*3</f>
        <v>1750</v>
      </c>
      <c r="E280" s="67">
        <v>0</v>
      </c>
      <c r="F280" s="6">
        <f>SUM(E278:E280)</f>
        <v>0</v>
      </c>
      <c r="G280" s="36" t="str">
        <f t="shared" si="49"/>
        <v>Farol Vermelho</v>
      </c>
      <c r="H280">
        <f t="shared" si="47"/>
        <v>1750</v>
      </c>
      <c r="I280" s="6">
        <f t="shared" si="48"/>
        <v>3</v>
      </c>
      <c r="J280" s="77">
        <v>7</v>
      </c>
      <c r="K280" s="77">
        <v>0</v>
      </c>
      <c r="L280" s="6">
        <f>$L278+L279</f>
        <v>1.75</v>
      </c>
      <c r="M280" s="6">
        <f t="shared" ref="M280:M289" si="54">M279+K280</f>
        <v>0</v>
      </c>
      <c r="N280" s="78">
        <v>100</v>
      </c>
      <c r="O280">
        <f t="shared" si="50"/>
        <v>0.5</v>
      </c>
      <c r="P280" s="78">
        <v>50</v>
      </c>
      <c r="Q280">
        <f t="shared" si="51"/>
        <v>0.3</v>
      </c>
      <c r="R280" s="75">
        <v>15</v>
      </c>
      <c r="S280" s="6">
        <f t="shared" si="52"/>
        <v>0.15</v>
      </c>
    </row>
    <row r="281" spans="1:19" x14ac:dyDescent="0.25">
      <c r="A281" s="37" t="s">
        <v>72</v>
      </c>
      <c r="B281" s="6" t="s">
        <v>161</v>
      </c>
      <c r="C281" s="67">
        <v>7000</v>
      </c>
      <c r="D281" s="6">
        <f>(C281/12)*4</f>
        <v>2333.3333333333335</v>
      </c>
      <c r="E281" s="67">
        <v>960</v>
      </c>
      <c r="F281" s="6">
        <f>SUM(E278:E281)</f>
        <v>960</v>
      </c>
      <c r="G281" s="36" t="str">
        <f t="shared" si="49"/>
        <v>Farol Vermelho</v>
      </c>
      <c r="H281">
        <f t="shared" si="47"/>
        <v>1373.3333333333335</v>
      </c>
      <c r="I281" s="6">
        <f t="shared" si="48"/>
        <v>4</v>
      </c>
      <c r="J281" s="75">
        <v>7</v>
      </c>
      <c r="K281" s="75">
        <v>3</v>
      </c>
      <c r="L281" s="6">
        <f>$L278+L280</f>
        <v>2.3333333333333335</v>
      </c>
      <c r="M281" s="6">
        <f t="shared" si="54"/>
        <v>3</v>
      </c>
      <c r="N281" s="78">
        <v>100</v>
      </c>
      <c r="O281">
        <f t="shared" si="50"/>
        <v>0.5</v>
      </c>
      <c r="P281" s="78">
        <v>50</v>
      </c>
      <c r="Q281">
        <f t="shared" si="51"/>
        <v>0.3</v>
      </c>
      <c r="R281" s="75">
        <v>15</v>
      </c>
      <c r="S281" s="6">
        <f t="shared" si="52"/>
        <v>0.15</v>
      </c>
    </row>
    <row r="282" spans="1:19" x14ac:dyDescent="0.25">
      <c r="A282" s="37" t="s">
        <v>72</v>
      </c>
      <c r="B282" s="6" t="s">
        <v>162</v>
      </c>
      <c r="C282" s="67">
        <v>7000</v>
      </c>
      <c r="D282" s="6">
        <f>(C282/12)*5</f>
        <v>2916.666666666667</v>
      </c>
      <c r="E282" s="67">
        <v>0</v>
      </c>
      <c r="F282" s="6">
        <f>SUM(E278:E282)</f>
        <v>960</v>
      </c>
      <c r="G282" s="36" t="str">
        <f t="shared" si="49"/>
        <v>Farol Vermelho</v>
      </c>
      <c r="H282">
        <f t="shared" si="47"/>
        <v>1956.666666666667</v>
      </c>
      <c r="I282" s="6">
        <f t="shared" si="48"/>
        <v>5</v>
      </c>
      <c r="J282" s="77">
        <v>7</v>
      </c>
      <c r="K282" s="77">
        <v>0</v>
      </c>
      <c r="L282" s="6">
        <f>L278+L281</f>
        <v>2.916666666666667</v>
      </c>
      <c r="M282" s="6">
        <f t="shared" si="54"/>
        <v>3</v>
      </c>
      <c r="N282" s="78">
        <v>100</v>
      </c>
      <c r="O282">
        <f t="shared" si="50"/>
        <v>0.5</v>
      </c>
      <c r="P282" s="78">
        <v>50</v>
      </c>
      <c r="Q282">
        <f t="shared" si="51"/>
        <v>0.3</v>
      </c>
      <c r="R282" s="75">
        <v>15</v>
      </c>
      <c r="S282" s="6">
        <f t="shared" si="52"/>
        <v>0.15</v>
      </c>
    </row>
    <row r="283" spans="1:19" x14ac:dyDescent="0.25">
      <c r="A283" s="37" t="s">
        <v>72</v>
      </c>
      <c r="B283" s="6" t="s">
        <v>163</v>
      </c>
      <c r="C283" s="67">
        <v>7000</v>
      </c>
      <c r="D283" s="6">
        <f>(C283/12)*6</f>
        <v>3500</v>
      </c>
      <c r="E283" s="67">
        <v>0</v>
      </c>
      <c r="F283" s="6">
        <f>SUM(E278:E283)</f>
        <v>960</v>
      </c>
      <c r="G283" s="36" t="str">
        <f t="shared" si="49"/>
        <v>Farol Vermelho</v>
      </c>
      <c r="H283">
        <f t="shared" si="47"/>
        <v>2540</v>
      </c>
      <c r="I283" s="6">
        <f t="shared" si="48"/>
        <v>6</v>
      </c>
      <c r="J283" s="75">
        <v>7</v>
      </c>
      <c r="K283" s="75">
        <v>0</v>
      </c>
      <c r="L283" s="6">
        <f>$L278+L282</f>
        <v>3.5000000000000004</v>
      </c>
      <c r="M283" s="6">
        <f t="shared" si="54"/>
        <v>3</v>
      </c>
      <c r="N283" s="78">
        <v>100</v>
      </c>
      <c r="O283">
        <f t="shared" si="50"/>
        <v>0.5</v>
      </c>
      <c r="P283" s="78">
        <v>50</v>
      </c>
      <c r="Q283">
        <f t="shared" si="51"/>
        <v>0.3</v>
      </c>
      <c r="R283" s="75">
        <v>15</v>
      </c>
      <c r="S283" s="6">
        <f t="shared" si="52"/>
        <v>0.15</v>
      </c>
    </row>
    <row r="284" spans="1:19" x14ac:dyDescent="0.25">
      <c r="A284" s="37" t="s">
        <v>72</v>
      </c>
      <c r="B284" s="6" t="s">
        <v>164</v>
      </c>
      <c r="C284" s="67">
        <v>7000</v>
      </c>
      <c r="D284" s="6">
        <f>(C284/12)*7</f>
        <v>4083.3333333333335</v>
      </c>
      <c r="E284" s="67">
        <v>0</v>
      </c>
      <c r="F284" s="6">
        <f>SUM(E278:E284)</f>
        <v>960</v>
      </c>
      <c r="G284" s="36" t="str">
        <f t="shared" si="49"/>
        <v>Farol Vermelho</v>
      </c>
      <c r="H284">
        <f t="shared" si="47"/>
        <v>3123.3333333333335</v>
      </c>
      <c r="I284" s="6">
        <f t="shared" si="48"/>
        <v>7</v>
      </c>
      <c r="J284" s="77">
        <v>7</v>
      </c>
      <c r="K284" s="77">
        <v>0</v>
      </c>
      <c r="L284" s="6">
        <f>$L278+L283</f>
        <v>4.0833333333333339</v>
      </c>
      <c r="M284" s="6">
        <f t="shared" si="54"/>
        <v>3</v>
      </c>
      <c r="N284" s="78">
        <v>100</v>
      </c>
      <c r="O284">
        <f t="shared" si="50"/>
        <v>0.5</v>
      </c>
      <c r="P284" s="78">
        <v>50</v>
      </c>
      <c r="Q284">
        <f t="shared" si="51"/>
        <v>0.3</v>
      </c>
      <c r="R284" s="75">
        <v>15</v>
      </c>
      <c r="S284" s="6">
        <f t="shared" si="52"/>
        <v>0.15</v>
      </c>
    </row>
    <row r="285" spans="1:19" x14ac:dyDescent="0.25">
      <c r="A285" s="37" t="s">
        <v>72</v>
      </c>
      <c r="B285" s="6" t="s">
        <v>165</v>
      </c>
      <c r="C285" s="67">
        <v>7000</v>
      </c>
      <c r="D285" s="6">
        <f>(C285/12)*8</f>
        <v>4666.666666666667</v>
      </c>
      <c r="E285" s="67">
        <v>1290</v>
      </c>
      <c r="F285" s="6">
        <f>SUM(E278:E285)</f>
        <v>2250</v>
      </c>
      <c r="G285" s="36" t="str">
        <f t="shared" si="49"/>
        <v>Farol Vermelho</v>
      </c>
      <c r="H285">
        <f t="shared" si="47"/>
        <v>2416.666666666667</v>
      </c>
      <c r="I285" s="6">
        <f t="shared" si="48"/>
        <v>8</v>
      </c>
      <c r="J285" s="75">
        <v>7</v>
      </c>
      <c r="K285" s="75">
        <v>2</v>
      </c>
      <c r="L285" s="6">
        <f>L278+L284</f>
        <v>4.666666666666667</v>
      </c>
      <c r="M285" s="6">
        <f t="shared" si="54"/>
        <v>5</v>
      </c>
      <c r="N285" s="78">
        <v>100</v>
      </c>
      <c r="O285">
        <f t="shared" si="50"/>
        <v>0.5</v>
      </c>
      <c r="P285" s="78">
        <v>50</v>
      </c>
      <c r="Q285">
        <f t="shared" si="51"/>
        <v>0.3</v>
      </c>
      <c r="R285" s="75">
        <v>15</v>
      </c>
      <c r="S285" s="6">
        <f t="shared" si="52"/>
        <v>0.15</v>
      </c>
    </row>
    <row r="286" spans="1:19" x14ac:dyDescent="0.25">
      <c r="A286" s="37" t="s">
        <v>72</v>
      </c>
      <c r="B286" s="6" t="s">
        <v>166</v>
      </c>
      <c r="C286" s="67">
        <v>7000</v>
      </c>
      <c r="D286" s="6">
        <f>(C286/12)*9</f>
        <v>5250</v>
      </c>
      <c r="E286" s="67">
        <v>0</v>
      </c>
      <c r="F286" s="6">
        <f>SUM(E278:E286)</f>
        <v>2250</v>
      </c>
      <c r="G286" s="36" t="str">
        <f t="shared" si="49"/>
        <v>Farol Vermelho</v>
      </c>
      <c r="H286">
        <f t="shared" si="47"/>
        <v>3000</v>
      </c>
      <c r="I286" s="6">
        <f t="shared" si="48"/>
        <v>9</v>
      </c>
      <c r="J286" s="77">
        <v>7</v>
      </c>
      <c r="K286" s="77">
        <v>0</v>
      </c>
      <c r="L286" s="6">
        <f>$L278+L285</f>
        <v>5.25</v>
      </c>
      <c r="M286" s="6">
        <f t="shared" si="54"/>
        <v>5</v>
      </c>
      <c r="N286" s="78">
        <v>100</v>
      </c>
      <c r="O286">
        <f t="shared" si="50"/>
        <v>0.5</v>
      </c>
      <c r="P286" s="78">
        <v>50</v>
      </c>
      <c r="Q286">
        <f t="shared" si="51"/>
        <v>0.3</v>
      </c>
      <c r="R286" s="75">
        <v>15</v>
      </c>
      <c r="S286" s="6">
        <f t="shared" si="52"/>
        <v>0.15</v>
      </c>
    </row>
    <row r="287" spans="1:19" x14ac:dyDescent="0.25">
      <c r="A287" s="37" t="s">
        <v>72</v>
      </c>
      <c r="B287" s="6" t="s">
        <v>167</v>
      </c>
      <c r="C287" s="67">
        <v>7000</v>
      </c>
      <c r="D287" s="6">
        <f>(C287/12)*10</f>
        <v>5833.3333333333339</v>
      </c>
      <c r="E287" s="67">
        <v>0</v>
      </c>
      <c r="F287" s="6">
        <f>SUM(E278:E287)</f>
        <v>2250</v>
      </c>
      <c r="G287" s="36" t="str">
        <f t="shared" si="49"/>
        <v>Farol Vermelho</v>
      </c>
      <c r="H287">
        <f t="shared" si="47"/>
        <v>3583.3333333333339</v>
      </c>
      <c r="I287" s="6">
        <f t="shared" si="48"/>
        <v>10</v>
      </c>
      <c r="J287" s="75">
        <v>7</v>
      </c>
      <c r="K287" s="75">
        <v>0</v>
      </c>
      <c r="L287" s="6">
        <f>$L278+L286</f>
        <v>5.833333333333333</v>
      </c>
      <c r="M287" s="6">
        <f t="shared" si="54"/>
        <v>5</v>
      </c>
      <c r="N287" s="78">
        <v>100</v>
      </c>
      <c r="O287">
        <f t="shared" si="50"/>
        <v>0.5</v>
      </c>
      <c r="P287" s="78">
        <v>50</v>
      </c>
      <c r="Q287">
        <f t="shared" si="51"/>
        <v>0.3</v>
      </c>
      <c r="R287" s="75">
        <v>15</v>
      </c>
      <c r="S287" s="6">
        <f t="shared" si="52"/>
        <v>0.15</v>
      </c>
    </row>
    <row r="288" spans="1:19" x14ac:dyDescent="0.25">
      <c r="A288" s="37" t="s">
        <v>72</v>
      </c>
      <c r="B288" s="6" t="s">
        <v>168</v>
      </c>
      <c r="C288" s="67">
        <v>7000</v>
      </c>
      <c r="D288" s="6">
        <f>(C288/12)*11</f>
        <v>6416.666666666667</v>
      </c>
      <c r="E288" s="67">
        <v>0</v>
      </c>
      <c r="F288" s="6">
        <f>SUM(E278:E288)</f>
        <v>2250</v>
      </c>
      <c r="G288" s="36" t="str">
        <f t="shared" si="49"/>
        <v>Farol Vermelho</v>
      </c>
      <c r="H288">
        <f t="shared" si="47"/>
        <v>4166.666666666667</v>
      </c>
      <c r="I288" s="6">
        <f t="shared" si="48"/>
        <v>11</v>
      </c>
      <c r="J288" s="77">
        <v>7</v>
      </c>
      <c r="K288" s="77">
        <v>0</v>
      </c>
      <c r="L288" s="6">
        <f>L278+L287</f>
        <v>6.4166666666666661</v>
      </c>
      <c r="M288" s="6">
        <f t="shared" si="54"/>
        <v>5</v>
      </c>
      <c r="N288" s="78">
        <v>100</v>
      </c>
      <c r="O288">
        <f t="shared" si="50"/>
        <v>0.5</v>
      </c>
      <c r="P288" s="78">
        <v>50</v>
      </c>
      <c r="Q288">
        <f t="shared" si="51"/>
        <v>0.3</v>
      </c>
      <c r="R288" s="75">
        <v>15</v>
      </c>
      <c r="S288" s="6">
        <f t="shared" si="52"/>
        <v>0.15</v>
      </c>
    </row>
    <row r="289" spans="1:19" x14ac:dyDescent="0.25">
      <c r="A289" s="37" t="s">
        <v>72</v>
      </c>
      <c r="B289" s="6" t="s">
        <v>169</v>
      </c>
      <c r="C289" s="67">
        <v>7000</v>
      </c>
      <c r="D289" s="6">
        <f>(C289/12)*12</f>
        <v>7000</v>
      </c>
      <c r="E289" s="67">
        <v>0</v>
      </c>
      <c r="F289" s="6">
        <f>SUM(E278:E289)</f>
        <v>2250</v>
      </c>
      <c r="G289" s="36" t="str">
        <f t="shared" si="49"/>
        <v>Farol Vermelho</v>
      </c>
      <c r="H289">
        <f t="shared" si="47"/>
        <v>4750</v>
      </c>
      <c r="I289" s="6">
        <f t="shared" si="48"/>
        <v>12</v>
      </c>
      <c r="J289" s="75">
        <v>7</v>
      </c>
      <c r="K289" s="75">
        <v>0</v>
      </c>
      <c r="L289" s="6">
        <f>$L278+L288</f>
        <v>6.9999999999999991</v>
      </c>
      <c r="M289" s="6">
        <f t="shared" si="54"/>
        <v>5</v>
      </c>
      <c r="N289" s="78">
        <v>100</v>
      </c>
      <c r="O289">
        <f t="shared" si="50"/>
        <v>0.5</v>
      </c>
      <c r="P289" s="78">
        <v>50</v>
      </c>
      <c r="Q289">
        <f t="shared" si="51"/>
        <v>0.3</v>
      </c>
      <c r="R289" s="75">
        <v>15</v>
      </c>
      <c r="S289" s="6">
        <f t="shared" si="52"/>
        <v>0.15</v>
      </c>
    </row>
    <row r="290" spans="1:19" x14ac:dyDescent="0.25">
      <c r="A290" s="37" t="s">
        <v>76</v>
      </c>
      <c r="B290" s="6" t="s">
        <v>158</v>
      </c>
      <c r="C290" s="67">
        <v>40000</v>
      </c>
      <c r="D290" s="6">
        <f>(C290/12)*1</f>
        <v>3333.3333333333335</v>
      </c>
      <c r="E290" s="67">
        <v>6410.18</v>
      </c>
      <c r="F290" s="6">
        <f>E290</f>
        <v>6410.18</v>
      </c>
      <c r="G290" s="36" t="str">
        <f t="shared" si="49"/>
        <v>Farol Verde</v>
      </c>
      <c r="H290">
        <f t="shared" si="47"/>
        <v>0</v>
      </c>
      <c r="I290" s="6">
        <f t="shared" si="48"/>
        <v>1</v>
      </c>
      <c r="J290" s="77">
        <v>37</v>
      </c>
      <c r="K290" s="77">
        <v>5</v>
      </c>
      <c r="L290" s="6">
        <f>J290/12</f>
        <v>3.0833333333333335</v>
      </c>
      <c r="M290" s="6">
        <f>K290</f>
        <v>5</v>
      </c>
      <c r="N290" s="78">
        <v>100</v>
      </c>
      <c r="O290">
        <f t="shared" si="50"/>
        <v>0.5</v>
      </c>
      <c r="P290" s="78">
        <v>50</v>
      </c>
      <c r="Q290">
        <f t="shared" si="51"/>
        <v>0.3</v>
      </c>
      <c r="R290" s="75">
        <v>15</v>
      </c>
      <c r="S290" s="6">
        <f t="shared" si="52"/>
        <v>0.15</v>
      </c>
    </row>
    <row r="291" spans="1:19" x14ac:dyDescent="0.25">
      <c r="A291" s="37" t="s">
        <v>76</v>
      </c>
      <c r="B291" s="6" t="s">
        <v>159</v>
      </c>
      <c r="C291" s="67">
        <v>40000</v>
      </c>
      <c r="D291" s="6">
        <f>(C291/12)*2</f>
        <v>6666.666666666667</v>
      </c>
      <c r="E291" s="67">
        <v>1200</v>
      </c>
      <c r="F291" s="6">
        <f>SUM(E290:E291)</f>
        <v>7610.18</v>
      </c>
      <c r="G291" s="36" t="str">
        <f t="shared" si="49"/>
        <v>Farol Verde</v>
      </c>
      <c r="H291">
        <f t="shared" si="47"/>
        <v>0</v>
      </c>
      <c r="I291" s="6">
        <f t="shared" si="48"/>
        <v>2</v>
      </c>
      <c r="J291" s="75">
        <v>37</v>
      </c>
      <c r="K291" s="75">
        <v>3</v>
      </c>
      <c r="L291" s="6">
        <f>L290+L290</f>
        <v>6.166666666666667</v>
      </c>
      <c r="M291" s="6">
        <f>M290+K291</f>
        <v>8</v>
      </c>
      <c r="N291" s="78">
        <v>100</v>
      </c>
      <c r="O291">
        <f t="shared" si="50"/>
        <v>0.5</v>
      </c>
      <c r="P291" s="78">
        <v>50</v>
      </c>
      <c r="Q291">
        <f t="shared" si="51"/>
        <v>0.3</v>
      </c>
      <c r="R291" s="75">
        <v>15</v>
      </c>
      <c r="S291" s="6">
        <f t="shared" si="52"/>
        <v>0.15</v>
      </c>
    </row>
    <row r="292" spans="1:19" x14ac:dyDescent="0.25">
      <c r="A292" s="37" t="s">
        <v>76</v>
      </c>
      <c r="B292" s="6" t="s">
        <v>160</v>
      </c>
      <c r="C292" s="67">
        <v>40000</v>
      </c>
      <c r="D292" s="6">
        <f>(C292/12)*3</f>
        <v>10000</v>
      </c>
      <c r="E292" s="67">
        <v>1530</v>
      </c>
      <c r="F292" s="6">
        <f>SUM(E290:E292)</f>
        <v>9140.18</v>
      </c>
      <c r="G292" s="36" t="str">
        <f t="shared" si="49"/>
        <v>Farol Amarelo</v>
      </c>
      <c r="H292">
        <f t="shared" si="47"/>
        <v>859.81999999999971</v>
      </c>
      <c r="I292" s="6">
        <f t="shared" si="48"/>
        <v>3</v>
      </c>
      <c r="J292" s="77">
        <v>37</v>
      </c>
      <c r="K292" s="77">
        <v>2</v>
      </c>
      <c r="L292" s="6">
        <f>$L290+L291</f>
        <v>9.25</v>
      </c>
      <c r="M292" s="6">
        <f t="shared" ref="M292:M301" si="55">M291+K292</f>
        <v>10</v>
      </c>
      <c r="N292" s="78">
        <v>100</v>
      </c>
      <c r="O292">
        <f t="shared" si="50"/>
        <v>0.5</v>
      </c>
      <c r="P292" s="78">
        <v>50</v>
      </c>
      <c r="Q292">
        <f t="shared" si="51"/>
        <v>0.3</v>
      </c>
      <c r="R292" s="75">
        <v>15</v>
      </c>
      <c r="S292" s="6">
        <f t="shared" si="52"/>
        <v>0.15</v>
      </c>
    </row>
    <row r="293" spans="1:19" x14ac:dyDescent="0.25">
      <c r="A293" s="37" t="s">
        <v>76</v>
      </c>
      <c r="B293" s="6" t="s">
        <v>161</v>
      </c>
      <c r="C293" s="67">
        <v>40000</v>
      </c>
      <c r="D293" s="6">
        <f>(C293/12)*4</f>
        <v>13333.333333333334</v>
      </c>
      <c r="E293" s="67">
        <v>4</v>
      </c>
      <c r="F293" s="6">
        <f>SUM(E290:E293)</f>
        <v>9144.18</v>
      </c>
      <c r="G293" s="36" t="str">
        <f t="shared" si="49"/>
        <v>Farol Vermelho</v>
      </c>
      <c r="H293">
        <f t="shared" si="47"/>
        <v>4189.1533333333336</v>
      </c>
      <c r="I293" s="6">
        <f t="shared" si="48"/>
        <v>4</v>
      </c>
      <c r="J293" s="75">
        <v>37</v>
      </c>
      <c r="K293" s="75">
        <v>4</v>
      </c>
      <c r="L293" s="6">
        <f>$L290+L292</f>
        <v>12.333333333333334</v>
      </c>
      <c r="M293" s="6">
        <f t="shared" si="55"/>
        <v>14</v>
      </c>
      <c r="N293" s="78">
        <v>100</v>
      </c>
      <c r="O293">
        <f t="shared" si="50"/>
        <v>0.5</v>
      </c>
      <c r="P293" s="78">
        <v>50</v>
      </c>
      <c r="Q293">
        <f t="shared" si="51"/>
        <v>0.3</v>
      </c>
      <c r="R293" s="75">
        <v>15</v>
      </c>
      <c r="S293" s="6">
        <f t="shared" si="52"/>
        <v>0.15</v>
      </c>
    </row>
    <row r="294" spans="1:19" x14ac:dyDescent="0.25">
      <c r="A294" s="37" t="s">
        <v>76</v>
      </c>
      <c r="B294" s="6" t="s">
        <v>162</v>
      </c>
      <c r="C294" s="67">
        <v>40000</v>
      </c>
      <c r="D294" s="6">
        <f>(C294/12)*5</f>
        <v>16666.666666666668</v>
      </c>
      <c r="E294" s="67">
        <v>2628</v>
      </c>
      <c r="F294" s="6">
        <f>SUM(E290:E294)</f>
        <v>11772.18</v>
      </c>
      <c r="G294" s="36" t="str">
        <f t="shared" si="49"/>
        <v>Farol Vermelho</v>
      </c>
      <c r="H294">
        <f t="shared" si="47"/>
        <v>4894.4866666666676</v>
      </c>
      <c r="I294" s="6">
        <f t="shared" si="48"/>
        <v>5</v>
      </c>
      <c r="J294" s="77">
        <v>37</v>
      </c>
      <c r="K294" s="77">
        <v>2</v>
      </c>
      <c r="L294" s="6">
        <f>L290+L293</f>
        <v>15.416666666666668</v>
      </c>
      <c r="M294" s="6">
        <f t="shared" si="55"/>
        <v>16</v>
      </c>
      <c r="N294" s="78">
        <v>100</v>
      </c>
      <c r="O294">
        <f t="shared" si="50"/>
        <v>0.5</v>
      </c>
      <c r="P294" s="78">
        <v>50</v>
      </c>
      <c r="Q294">
        <f t="shared" si="51"/>
        <v>0.3</v>
      </c>
      <c r="R294" s="75">
        <v>15</v>
      </c>
      <c r="S294" s="6">
        <f t="shared" si="52"/>
        <v>0.15</v>
      </c>
    </row>
    <row r="295" spans="1:19" x14ac:dyDescent="0.25">
      <c r="A295" s="37" t="s">
        <v>76</v>
      </c>
      <c r="B295" s="6" t="s">
        <v>163</v>
      </c>
      <c r="C295" s="67">
        <v>40000</v>
      </c>
      <c r="D295" s="6">
        <f>(C295/12)*6</f>
        <v>20000</v>
      </c>
      <c r="E295" s="67">
        <v>710</v>
      </c>
      <c r="F295" s="6">
        <f>SUM(E290:E295)</f>
        <v>12482.18</v>
      </c>
      <c r="G295" s="36" t="str">
        <f t="shared" si="49"/>
        <v>Farol Vermelho</v>
      </c>
      <c r="H295">
        <f t="shared" si="47"/>
        <v>7517.82</v>
      </c>
      <c r="I295" s="6">
        <f t="shared" si="48"/>
        <v>6</v>
      </c>
      <c r="J295" s="75">
        <v>37</v>
      </c>
      <c r="K295" s="75">
        <v>1</v>
      </c>
      <c r="L295" s="6">
        <f>$L290+L294</f>
        <v>18.5</v>
      </c>
      <c r="M295" s="6">
        <f t="shared" si="55"/>
        <v>17</v>
      </c>
      <c r="N295" s="78">
        <v>100</v>
      </c>
      <c r="O295">
        <f t="shared" si="50"/>
        <v>0.5</v>
      </c>
      <c r="P295" s="78">
        <v>50</v>
      </c>
      <c r="Q295">
        <f t="shared" si="51"/>
        <v>0.3</v>
      </c>
      <c r="R295" s="75">
        <v>15</v>
      </c>
      <c r="S295" s="6">
        <f t="shared" si="52"/>
        <v>0.15</v>
      </c>
    </row>
    <row r="296" spans="1:19" x14ac:dyDescent="0.25">
      <c r="A296" s="37" t="s">
        <v>76</v>
      </c>
      <c r="B296" s="6" t="s">
        <v>164</v>
      </c>
      <c r="C296" s="67">
        <v>40000</v>
      </c>
      <c r="D296" s="6">
        <f>(C296/12)*7</f>
        <v>23333.333333333336</v>
      </c>
      <c r="E296" s="67">
        <v>3306</v>
      </c>
      <c r="F296" s="6">
        <f>SUM(E290:E296)</f>
        <v>15788.18</v>
      </c>
      <c r="G296" s="36" t="str">
        <f t="shared" si="49"/>
        <v>Farol Vermelho</v>
      </c>
      <c r="H296">
        <f t="shared" si="47"/>
        <v>7545.1533333333355</v>
      </c>
      <c r="I296" s="6">
        <f t="shared" si="48"/>
        <v>7</v>
      </c>
      <c r="J296" s="77">
        <v>37</v>
      </c>
      <c r="K296" s="77">
        <v>2</v>
      </c>
      <c r="L296" s="6">
        <f>$L290+L295</f>
        <v>21.583333333333332</v>
      </c>
      <c r="M296" s="6">
        <f t="shared" si="55"/>
        <v>19</v>
      </c>
      <c r="N296" s="78">
        <v>100</v>
      </c>
      <c r="O296">
        <f t="shared" si="50"/>
        <v>0.5</v>
      </c>
      <c r="P296" s="78">
        <v>50</v>
      </c>
      <c r="Q296">
        <f t="shared" si="51"/>
        <v>0.3</v>
      </c>
      <c r="R296" s="75">
        <v>15</v>
      </c>
      <c r="S296" s="6">
        <f t="shared" si="52"/>
        <v>0.15</v>
      </c>
    </row>
    <row r="297" spans="1:19" x14ac:dyDescent="0.25">
      <c r="A297" s="37" t="s">
        <v>76</v>
      </c>
      <c r="B297" s="6" t="s">
        <v>165</v>
      </c>
      <c r="C297" s="67">
        <v>40000</v>
      </c>
      <c r="D297" s="6">
        <f>(C297/12)*8</f>
        <v>26666.666666666668</v>
      </c>
      <c r="E297" s="67">
        <v>3300</v>
      </c>
      <c r="F297" s="6">
        <f>SUM(E290:E297)</f>
        <v>19088.18</v>
      </c>
      <c r="G297" s="36" t="str">
        <f t="shared" si="49"/>
        <v>Farol Vermelho</v>
      </c>
      <c r="H297">
        <f t="shared" si="47"/>
        <v>7578.4866666666676</v>
      </c>
      <c r="I297" s="6">
        <f t="shared" si="48"/>
        <v>8</v>
      </c>
      <c r="J297" s="75">
        <v>37</v>
      </c>
      <c r="K297" s="75">
        <v>3</v>
      </c>
      <c r="L297" s="6">
        <f>L290+L296</f>
        <v>24.666666666666664</v>
      </c>
      <c r="M297" s="6">
        <f t="shared" si="55"/>
        <v>22</v>
      </c>
      <c r="N297" s="78">
        <v>100</v>
      </c>
      <c r="O297">
        <f t="shared" si="50"/>
        <v>0.5</v>
      </c>
      <c r="P297" s="78">
        <v>50</v>
      </c>
      <c r="Q297">
        <f t="shared" si="51"/>
        <v>0.3</v>
      </c>
      <c r="R297" s="75">
        <v>15</v>
      </c>
      <c r="S297" s="6">
        <f t="shared" si="52"/>
        <v>0.15</v>
      </c>
    </row>
    <row r="298" spans="1:19" x14ac:dyDescent="0.25">
      <c r="A298" s="37" t="s">
        <v>76</v>
      </c>
      <c r="B298" s="6" t="s">
        <v>166</v>
      </c>
      <c r="C298" s="67">
        <v>40000</v>
      </c>
      <c r="D298" s="6">
        <f>(C298/12)*9</f>
        <v>30000</v>
      </c>
      <c r="E298" s="67">
        <v>1</v>
      </c>
      <c r="F298" s="6">
        <f>SUM(E290:E298)</f>
        <v>19089.18</v>
      </c>
      <c r="G298" s="36" t="str">
        <f t="shared" si="49"/>
        <v>Farol Vermelho</v>
      </c>
      <c r="H298">
        <f t="shared" si="47"/>
        <v>10910.82</v>
      </c>
      <c r="I298" s="6">
        <f t="shared" si="48"/>
        <v>9</v>
      </c>
      <c r="J298" s="77">
        <v>37</v>
      </c>
      <c r="K298" s="77">
        <v>1</v>
      </c>
      <c r="L298" s="6">
        <f>$L290+L297</f>
        <v>27.749999999999996</v>
      </c>
      <c r="M298" s="6">
        <f t="shared" si="55"/>
        <v>23</v>
      </c>
      <c r="N298" s="78">
        <v>100</v>
      </c>
      <c r="O298">
        <f t="shared" si="50"/>
        <v>0.5</v>
      </c>
      <c r="P298" s="78">
        <v>50</v>
      </c>
      <c r="Q298">
        <f t="shared" si="51"/>
        <v>0.3</v>
      </c>
      <c r="R298" s="75">
        <v>15</v>
      </c>
      <c r="S298" s="6">
        <f t="shared" si="52"/>
        <v>0.15</v>
      </c>
    </row>
    <row r="299" spans="1:19" x14ac:dyDescent="0.25">
      <c r="A299" s="37" t="s">
        <v>76</v>
      </c>
      <c r="B299" s="6" t="s">
        <v>167</v>
      </c>
      <c r="C299" s="67">
        <v>40000</v>
      </c>
      <c r="D299" s="6">
        <f>(C299/12)*10</f>
        <v>33333.333333333336</v>
      </c>
      <c r="E299" s="67">
        <v>1847</v>
      </c>
      <c r="F299" s="6">
        <f>SUM(E290:E299)</f>
        <v>20936.18</v>
      </c>
      <c r="G299" s="36" t="str">
        <f t="shared" si="49"/>
        <v>Farol Vermelho</v>
      </c>
      <c r="H299">
        <f t="shared" si="47"/>
        <v>12397.153333333335</v>
      </c>
      <c r="I299" s="6">
        <f t="shared" si="48"/>
        <v>10</v>
      </c>
      <c r="J299" s="75">
        <v>37</v>
      </c>
      <c r="K299" s="75">
        <v>4</v>
      </c>
      <c r="L299" s="6">
        <f>$L290+L298</f>
        <v>30.833333333333329</v>
      </c>
      <c r="M299" s="6">
        <f t="shared" si="55"/>
        <v>27</v>
      </c>
      <c r="N299" s="78">
        <v>100</v>
      </c>
      <c r="O299">
        <f t="shared" si="50"/>
        <v>0.5</v>
      </c>
      <c r="P299" s="78">
        <v>50</v>
      </c>
      <c r="Q299">
        <f t="shared" si="51"/>
        <v>0.3</v>
      </c>
      <c r="R299" s="75">
        <v>15</v>
      </c>
      <c r="S299" s="6">
        <f t="shared" si="52"/>
        <v>0.15</v>
      </c>
    </row>
    <row r="300" spans="1:19" x14ac:dyDescent="0.25">
      <c r="A300" s="37" t="s">
        <v>76</v>
      </c>
      <c r="B300" s="6" t="s">
        <v>168</v>
      </c>
      <c r="C300" s="67">
        <v>40000</v>
      </c>
      <c r="D300" s="6">
        <f>(C300/12)*11</f>
        <v>36666.666666666672</v>
      </c>
      <c r="E300" s="67">
        <v>14197.19</v>
      </c>
      <c r="F300" s="6">
        <f>SUM(E290:E300)</f>
        <v>35133.370000000003</v>
      </c>
      <c r="G300" s="36" t="str">
        <f t="shared" si="49"/>
        <v>Farol Amarelo</v>
      </c>
      <c r="H300">
        <f t="shared" si="47"/>
        <v>1533.2966666666689</v>
      </c>
      <c r="I300" s="6">
        <f t="shared" si="48"/>
        <v>11</v>
      </c>
      <c r="J300" s="77">
        <v>37</v>
      </c>
      <c r="K300" s="77">
        <v>10</v>
      </c>
      <c r="L300" s="6">
        <f>L290+L299</f>
        <v>33.916666666666664</v>
      </c>
      <c r="M300" s="6">
        <f t="shared" si="55"/>
        <v>37</v>
      </c>
      <c r="N300" s="78">
        <v>100</v>
      </c>
      <c r="O300">
        <f t="shared" si="50"/>
        <v>0.5</v>
      </c>
      <c r="P300" s="78">
        <v>50</v>
      </c>
      <c r="Q300">
        <f t="shared" si="51"/>
        <v>0.3</v>
      </c>
      <c r="R300" s="75">
        <v>15</v>
      </c>
      <c r="S300" s="6">
        <f t="shared" si="52"/>
        <v>0.15</v>
      </c>
    </row>
    <row r="301" spans="1:19" x14ac:dyDescent="0.25">
      <c r="A301" s="37" t="s">
        <v>76</v>
      </c>
      <c r="B301" s="6" t="s">
        <v>169</v>
      </c>
      <c r="C301" s="67">
        <v>40000</v>
      </c>
      <c r="D301" s="6">
        <f>(C301/12)*12</f>
        <v>40000</v>
      </c>
      <c r="E301" s="67">
        <v>11000</v>
      </c>
      <c r="F301" s="6">
        <f>SUM(E290:E301)</f>
        <v>46133.37</v>
      </c>
      <c r="G301" s="36" t="str">
        <f t="shared" si="49"/>
        <v>Farol Verde</v>
      </c>
      <c r="H301">
        <f t="shared" si="47"/>
        <v>0</v>
      </c>
      <c r="I301" s="6">
        <f t="shared" si="48"/>
        <v>12</v>
      </c>
      <c r="J301" s="75">
        <v>37</v>
      </c>
      <c r="K301" s="75">
        <v>4</v>
      </c>
      <c r="L301" s="6">
        <f>$L290+L300</f>
        <v>37</v>
      </c>
      <c r="M301" s="6">
        <f t="shared" si="55"/>
        <v>41</v>
      </c>
      <c r="N301" s="78">
        <v>100</v>
      </c>
      <c r="O301">
        <f t="shared" si="50"/>
        <v>0.5</v>
      </c>
      <c r="P301" s="78">
        <v>50</v>
      </c>
      <c r="Q301">
        <f t="shared" si="51"/>
        <v>0.3</v>
      </c>
      <c r="R301" s="75">
        <v>15</v>
      </c>
      <c r="S301" s="6">
        <f t="shared" si="52"/>
        <v>0.15</v>
      </c>
    </row>
    <row r="302" spans="1:19" x14ac:dyDescent="0.25">
      <c r="A302" s="37" t="s">
        <v>47</v>
      </c>
      <c r="B302" s="6" t="s">
        <v>158</v>
      </c>
      <c r="C302" s="67">
        <v>12068.25</v>
      </c>
      <c r="D302" s="6">
        <f>(C302/12)*1</f>
        <v>1005.6875</v>
      </c>
      <c r="E302" s="67">
        <v>0</v>
      </c>
      <c r="F302" s="6">
        <f>E302</f>
        <v>0</v>
      </c>
      <c r="G302" s="36" t="str">
        <f t="shared" si="49"/>
        <v>Farol Vermelho</v>
      </c>
      <c r="H302">
        <f t="shared" si="47"/>
        <v>1005.6875</v>
      </c>
      <c r="I302" s="6">
        <f t="shared" si="48"/>
        <v>1</v>
      </c>
      <c r="J302" s="77">
        <v>15</v>
      </c>
      <c r="K302" s="77">
        <v>0</v>
      </c>
      <c r="L302" s="6">
        <f>J302/12</f>
        <v>1.25</v>
      </c>
      <c r="M302" s="6">
        <f>K302</f>
        <v>0</v>
      </c>
      <c r="N302" s="78">
        <v>100</v>
      </c>
      <c r="O302">
        <f t="shared" si="50"/>
        <v>0.5</v>
      </c>
      <c r="P302" s="78">
        <v>50</v>
      </c>
      <c r="Q302">
        <f t="shared" si="51"/>
        <v>0.3</v>
      </c>
      <c r="R302" s="75">
        <v>15</v>
      </c>
      <c r="S302" s="6">
        <f t="shared" si="52"/>
        <v>0.15</v>
      </c>
    </row>
    <row r="303" spans="1:19" x14ac:dyDescent="0.25">
      <c r="A303" s="37" t="s">
        <v>47</v>
      </c>
      <c r="B303" s="6" t="s">
        <v>159</v>
      </c>
      <c r="C303" s="67">
        <v>12068.25</v>
      </c>
      <c r="D303" s="6">
        <f>(C303/12)*2</f>
        <v>2011.375</v>
      </c>
      <c r="E303" s="67">
        <v>0</v>
      </c>
      <c r="F303" s="6">
        <f>SUM(E302:E303)</f>
        <v>0</v>
      </c>
      <c r="G303" s="36" t="str">
        <f t="shared" si="49"/>
        <v>Farol Vermelho</v>
      </c>
      <c r="H303">
        <f t="shared" si="47"/>
        <v>2011.375</v>
      </c>
      <c r="I303" s="6">
        <f t="shared" si="48"/>
        <v>2</v>
      </c>
      <c r="J303" s="75">
        <v>15</v>
      </c>
      <c r="K303" s="75">
        <v>0</v>
      </c>
      <c r="L303" s="6">
        <f>L302+L302</f>
        <v>2.5</v>
      </c>
      <c r="M303" s="6">
        <f>M302+K303</f>
        <v>0</v>
      </c>
      <c r="N303" s="78">
        <v>100</v>
      </c>
      <c r="O303">
        <f t="shared" si="50"/>
        <v>0.5</v>
      </c>
      <c r="P303" s="78">
        <v>50</v>
      </c>
      <c r="Q303">
        <f t="shared" si="51"/>
        <v>0.3</v>
      </c>
      <c r="R303" s="75">
        <v>15</v>
      </c>
      <c r="S303" s="6">
        <f t="shared" si="52"/>
        <v>0.15</v>
      </c>
    </row>
    <row r="304" spans="1:19" x14ac:dyDescent="0.25">
      <c r="A304" s="37" t="s">
        <v>47</v>
      </c>
      <c r="B304" s="6" t="s">
        <v>160</v>
      </c>
      <c r="C304" s="67">
        <v>12068.25</v>
      </c>
      <c r="D304" s="6">
        <f>(C304/12)*3</f>
        <v>3017.0625</v>
      </c>
      <c r="E304" s="67">
        <v>1813.63</v>
      </c>
      <c r="F304" s="6">
        <f>SUM(E302:E304)</f>
        <v>1813.63</v>
      </c>
      <c r="G304" s="36" t="str">
        <f t="shared" si="49"/>
        <v>Farol Vermelho</v>
      </c>
      <c r="H304">
        <f t="shared" si="47"/>
        <v>1203.4324999999999</v>
      </c>
      <c r="I304" s="6">
        <f t="shared" si="48"/>
        <v>3</v>
      </c>
      <c r="J304" s="77">
        <v>15</v>
      </c>
      <c r="K304" s="77">
        <v>3</v>
      </c>
      <c r="L304" s="6">
        <f>$L302+L303</f>
        <v>3.75</v>
      </c>
      <c r="M304" s="6">
        <f t="shared" ref="M304:M313" si="56">M303+K304</f>
        <v>3</v>
      </c>
      <c r="N304" s="78">
        <v>100</v>
      </c>
      <c r="O304">
        <f t="shared" si="50"/>
        <v>0.5</v>
      </c>
      <c r="P304" s="78">
        <v>50</v>
      </c>
      <c r="Q304">
        <f t="shared" si="51"/>
        <v>0.3</v>
      </c>
      <c r="R304" s="75">
        <v>15</v>
      </c>
      <c r="S304" s="6">
        <f t="shared" si="52"/>
        <v>0.15</v>
      </c>
    </row>
    <row r="305" spans="1:19" x14ac:dyDescent="0.25">
      <c r="A305" s="37" t="s">
        <v>47</v>
      </c>
      <c r="B305" s="6" t="s">
        <v>161</v>
      </c>
      <c r="C305" s="67">
        <v>12068.25</v>
      </c>
      <c r="D305" s="6">
        <f>(C305/12)*4</f>
        <v>4022.75</v>
      </c>
      <c r="E305" s="67">
        <v>0</v>
      </c>
      <c r="F305" s="6">
        <f>SUM(E302:E305)</f>
        <v>1813.63</v>
      </c>
      <c r="G305" s="36" t="str">
        <f t="shared" si="49"/>
        <v>Farol Vermelho</v>
      </c>
      <c r="H305">
        <f t="shared" si="47"/>
        <v>2209.12</v>
      </c>
      <c r="I305" s="6">
        <f t="shared" si="48"/>
        <v>4</v>
      </c>
      <c r="J305" s="75">
        <v>15</v>
      </c>
      <c r="K305" s="75">
        <v>0</v>
      </c>
      <c r="L305" s="6">
        <f>$L302+L304</f>
        <v>5</v>
      </c>
      <c r="M305" s="6">
        <f t="shared" si="56"/>
        <v>3</v>
      </c>
      <c r="N305" s="78">
        <v>100</v>
      </c>
      <c r="O305">
        <f t="shared" si="50"/>
        <v>0.5</v>
      </c>
      <c r="P305" s="78">
        <v>50</v>
      </c>
      <c r="Q305">
        <f t="shared" si="51"/>
        <v>0.3</v>
      </c>
      <c r="R305" s="75">
        <v>15</v>
      </c>
      <c r="S305" s="6">
        <f t="shared" si="52"/>
        <v>0.15</v>
      </c>
    </row>
    <row r="306" spans="1:19" x14ac:dyDescent="0.25">
      <c r="A306" s="37" t="s">
        <v>47</v>
      </c>
      <c r="B306" s="6" t="s">
        <v>162</v>
      </c>
      <c r="C306" s="67">
        <v>12068.25</v>
      </c>
      <c r="D306" s="6">
        <f>(C306/12)*5</f>
        <v>5028.4375</v>
      </c>
      <c r="E306" s="67">
        <v>0</v>
      </c>
      <c r="F306" s="6">
        <f>SUM(E302:E306)</f>
        <v>1813.63</v>
      </c>
      <c r="G306" s="36" t="str">
        <f t="shared" si="49"/>
        <v>Farol Vermelho</v>
      </c>
      <c r="H306">
        <f t="shared" si="47"/>
        <v>3214.8074999999999</v>
      </c>
      <c r="I306" s="6">
        <f t="shared" si="48"/>
        <v>5</v>
      </c>
      <c r="J306" s="77">
        <v>15</v>
      </c>
      <c r="K306" s="77">
        <v>0</v>
      </c>
      <c r="L306" s="6">
        <f>L302+L305</f>
        <v>6.25</v>
      </c>
      <c r="M306" s="6">
        <f t="shared" si="56"/>
        <v>3</v>
      </c>
      <c r="N306" s="78">
        <v>100</v>
      </c>
      <c r="O306">
        <f t="shared" si="50"/>
        <v>0.5</v>
      </c>
      <c r="P306" s="78">
        <v>50</v>
      </c>
      <c r="Q306">
        <f t="shared" si="51"/>
        <v>0.3</v>
      </c>
      <c r="R306" s="75">
        <v>15</v>
      </c>
      <c r="S306" s="6">
        <f t="shared" si="52"/>
        <v>0.15</v>
      </c>
    </row>
    <row r="307" spans="1:19" x14ac:dyDescent="0.25">
      <c r="A307" s="37" t="s">
        <v>47</v>
      </c>
      <c r="B307" s="6" t="s">
        <v>163</v>
      </c>
      <c r="C307" s="67">
        <v>12068.25</v>
      </c>
      <c r="D307" s="6">
        <f>(C307/12)*6</f>
        <v>6034.125</v>
      </c>
      <c r="E307" s="67">
        <v>0</v>
      </c>
      <c r="F307" s="6">
        <f>SUM(E302:E307)</f>
        <v>1813.63</v>
      </c>
      <c r="G307" s="36" t="str">
        <f t="shared" si="49"/>
        <v>Farol Vermelho</v>
      </c>
      <c r="H307">
        <f t="shared" si="47"/>
        <v>4220.4949999999999</v>
      </c>
      <c r="I307" s="6">
        <f t="shared" si="48"/>
        <v>6</v>
      </c>
      <c r="J307" s="75">
        <v>15</v>
      </c>
      <c r="K307" s="75">
        <v>0</v>
      </c>
      <c r="L307" s="6">
        <f>$L302+L306</f>
        <v>7.5</v>
      </c>
      <c r="M307" s="6">
        <f t="shared" si="56"/>
        <v>3</v>
      </c>
      <c r="N307" s="78">
        <v>100</v>
      </c>
      <c r="O307">
        <f t="shared" si="50"/>
        <v>0.5</v>
      </c>
      <c r="P307" s="78">
        <v>50</v>
      </c>
      <c r="Q307">
        <f t="shared" si="51"/>
        <v>0.3</v>
      </c>
      <c r="R307" s="75">
        <v>15</v>
      </c>
      <c r="S307" s="6">
        <f t="shared" si="52"/>
        <v>0.15</v>
      </c>
    </row>
    <row r="308" spans="1:19" x14ac:dyDescent="0.25">
      <c r="A308" s="37" t="s">
        <v>47</v>
      </c>
      <c r="B308" s="6" t="s">
        <v>164</v>
      </c>
      <c r="C308" s="67">
        <v>12068.25</v>
      </c>
      <c r="D308" s="6">
        <f>(C308/12)*7</f>
        <v>7039.8125</v>
      </c>
      <c r="E308" s="67">
        <v>515</v>
      </c>
      <c r="F308" s="6">
        <f>SUM(E302:E308)</f>
        <v>2328.63</v>
      </c>
      <c r="G308" s="36" t="str">
        <f t="shared" si="49"/>
        <v>Farol Vermelho</v>
      </c>
      <c r="H308">
        <f t="shared" si="47"/>
        <v>4711.1824999999999</v>
      </c>
      <c r="I308" s="6">
        <f t="shared" si="48"/>
        <v>7</v>
      </c>
      <c r="J308" s="77">
        <v>15</v>
      </c>
      <c r="K308" s="77">
        <v>3</v>
      </c>
      <c r="L308" s="6">
        <f>$L302+L307</f>
        <v>8.75</v>
      </c>
      <c r="M308" s="6">
        <f t="shared" si="56"/>
        <v>6</v>
      </c>
      <c r="N308" s="78">
        <v>100</v>
      </c>
      <c r="O308">
        <f t="shared" si="50"/>
        <v>0.5</v>
      </c>
      <c r="P308" s="78">
        <v>50</v>
      </c>
      <c r="Q308">
        <f t="shared" si="51"/>
        <v>0.3</v>
      </c>
      <c r="R308" s="75">
        <v>15</v>
      </c>
      <c r="S308" s="6">
        <f t="shared" si="52"/>
        <v>0.15</v>
      </c>
    </row>
    <row r="309" spans="1:19" x14ac:dyDescent="0.25">
      <c r="A309" s="37" t="s">
        <v>47</v>
      </c>
      <c r="B309" s="6" t="s">
        <v>165</v>
      </c>
      <c r="C309" s="67">
        <v>12068.25</v>
      </c>
      <c r="D309" s="6">
        <f>(C309/12)*8</f>
        <v>8045.5</v>
      </c>
      <c r="E309" s="67">
        <v>2097</v>
      </c>
      <c r="F309" s="6">
        <f>SUM(E302:E309)</f>
        <v>4425.63</v>
      </c>
      <c r="G309" s="36" t="str">
        <f t="shared" si="49"/>
        <v>Farol Vermelho</v>
      </c>
      <c r="H309">
        <f t="shared" si="47"/>
        <v>3619.87</v>
      </c>
      <c r="I309" s="6">
        <f t="shared" si="48"/>
        <v>8</v>
      </c>
      <c r="J309" s="75">
        <v>15</v>
      </c>
      <c r="K309" s="75">
        <v>5</v>
      </c>
      <c r="L309" s="6">
        <f>L302+L308</f>
        <v>10</v>
      </c>
      <c r="M309" s="6">
        <f t="shared" si="56"/>
        <v>11</v>
      </c>
      <c r="N309" s="78">
        <v>100</v>
      </c>
      <c r="O309">
        <f t="shared" si="50"/>
        <v>0.5</v>
      </c>
      <c r="P309" s="78">
        <v>50</v>
      </c>
      <c r="Q309">
        <f t="shared" si="51"/>
        <v>0.3</v>
      </c>
      <c r="R309" s="75">
        <v>15</v>
      </c>
      <c r="S309" s="6">
        <f t="shared" si="52"/>
        <v>0.15</v>
      </c>
    </row>
    <row r="310" spans="1:19" x14ac:dyDescent="0.25">
      <c r="A310" s="37" t="s">
        <v>47</v>
      </c>
      <c r="B310" s="6" t="s">
        <v>166</v>
      </c>
      <c r="C310" s="67">
        <v>12068.25</v>
      </c>
      <c r="D310" s="6">
        <f>(C310/12)*9</f>
        <v>9051.1875</v>
      </c>
      <c r="E310" s="67">
        <v>0</v>
      </c>
      <c r="F310" s="6">
        <f>SUM(E302:E310)</f>
        <v>4425.63</v>
      </c>
      <c r="G310" s="36" t="str">
        <f t="shared" si="49"/>
        <v>Farol Vermelho</v>
      </c>
      <c r="H310">
        <f t="shared" si="47"/>
        <v>4625.5574999999999</v>
      </c>
      <c r="I310" s="6">
        <f t="shared" si="48"/>
        <v>9</v>
      </c>
      <c r="J310" s="77">
        <v>15</v>
      </c>
      <c r="K310" s="77">
        <v>0</v>
      </c>
      <c r="L310" s="6">
        <f>$L302+L309</f>
        <v>11.25</v>
      </c>
      <c r="M310" s="6">
        <f t="shared" si="56"/>
        <v>11</v>
      </c>
      <c r="N310" s="78">
        <v>100</v>
      </c>
      <c r="O310">
        <f t="shared" si="50"/>
        <v>0.5</v>
      </c>
      <c r="P310" s="78">
        <v>50</v>
      </c>
      <c r="Q310">
        <f t="shared" si="51"/>
        <v>0.3</v>
      </c>
      <c r="R310" s="75">
        <v>15</v>
      </c>
      <c r="S310" s="6">
        <f t="shared" si="52"/>
        <v>0.15</v>
      </c>
    </row>
    <row r="311" spans="1:19" x14ac:dyDescent="0.25">
      <c r="A311" s="37" t="s">
        <v>47</v>
      </c>
      <c r="B311" s="6" t="s">
        <v>167</v>
      </c>
      <c r="C311" s="67">
        <v>12068.25</v>
      </c>
      <c r="D311" s="6">
        <f>(C311/12)*10</f>
        <v>10056.875</v>
      </c>
      <c r="E311" s="67">
        <v>0</v>
      </c>
      <c r="F311" s="6">
        <f>SUM(E302:E311)</f>
        <v>4425.63</v>
      </c>
      <c r="G311" s="36" t="str">
        <f t="shared" si="49"/>
        <v>Farol Vermelho</v>
      </c>
      <c r="H311">
        <f t="shared" si="47"/>
        <v>5631.2449999999999</v>
      </c>
      <c r="I311" s="6">
        <f t="shared" si="48"/>
        <v>10</v>
      </c>
      <c r="J311" s="75">
        <v>15</v>
      </c>
      <c r="K311" s="75">
        <v>0</v>
      </c>
      <c r="L311" s="6">
        <f>$L302+L310</f>
        <v>12.5</v>
      </c>
      <c r="M311" s="6">
        <f t="shared" si="56"/>
        <v>11</v>
      </c>
      <c r="N311" s="78">
        <v>100</v>
      </c>
      <c r="O311">
        <f t="shared" si="50"/>
        <v>0.5</v>
      </c>
      <c r="P311" s="78">
        <v>50</v>
      </c>
      <c r="Q311">
        <f t="shared" si="51"/>
        <v>0.3</v>
      </c>
      <c r="R311" s="75">
        <v>15</v>
      </c>
      <c r="S311" s="6">
        <f t="shared" si="52"/>
        <v>0.15</v>
      </c>
    </row>
    <row r="312" spans="1:19" x14ac:dyDescent="0.25">
      <c r="A312" s="37" t="s">
        <v>47</v>
      </c>
      <c r="B312" s="6" t="s">
        <v>168</v>
      </c>
      <c r="C312" s="67">
        <v>12068.25</v>
      </c>
      <c r="D312" s="6">
        <f>(C312/12)*11</f>
        <v>11062.5625</v>
      </c>
      <c r="E312" s="67">
        <v>4330</v>
      </c>
      <c r="F312" s="6">
        <f>SUM(E302:E312)</f>
        <v>8755.630000000001</v>
      </c>
      <c r="G312" s="36" t="str">
        <f t="shared" si="49"/>
        <v>Farol Vermelho</v>
      </c>
      <c r="H312">
        <f t="shared" si="47"/>
        <v>2306.932499999999</v>
      </c>
      <c r="I312" s="6">
        <f t="shared" si="48"/>
        <v>11</v>
      </c>
      <c r="J312" s="77">
        <v>15</v>
      </c>
      <c r="K312" s="77">
        <v>3</v>
      </c>
      <c r="L312" s="6">
        <f>L302+L311</f>
        <v>13.75</v>
      </c>
      <c r="M312" s="6">
        <f t="shared" si="56"/>
        <v>14</v>
      </c>
      <c r="N312" s="78">
        <v>100</v>
      </c>
      <c r="O312">
        <f t="shared" si="50"/>
        <v>0.5</v>
      </c>
      <c r="P312" s="78">
        <v>50</v>
      </c>
      <c r="Q312">
        <f t="shared" si="51"/>
        <v>0.3</v>
      </c>
      <c r="R312" s="75">
        <v>15</v>
      </c>
      <c r="S312" s="6">
        <f t="shared" si="52"/>
        <v>0.15</v>
      </c>
    </row>
    <row r="313" spans="1:19" x14ac:dyDescent="0.25">
      <c r="A313" s="37" t="s">
        <v>47</v>
      </c>
      <c r="B313" s="6" t="s">
        <v>169</v>
      </c>
      <c r="C313" s="67">
        <v>12068.25</v>
      </c>
      <c r="D313" s="6">
        <f>(C313/12)*12</f>
        <v>12068.25</v>
      </c>
      <c r="E313" s="67">
        <v>3450.15</v>
      </c>
      <c r="F313" s="6">
        <f>SUM(E302:E313)</f>
        <v>12205.78</v>
      </c>
      <c r="G313" s="36" t="str">
        <f t="shared" si="49"/>
        <v>Farol Verde</v>
      </c>
      <c r="H313">
        <f t="shared" si="47"/>
        <v>0</v>
      </c>
      <c r="I313" s="6">
        <f t="shared" si="48"/>
        <v>12</v>
      </c>
      <c r="J313" s="75">
        <v>15</v>
      </c>
      <c r="K313" s="75">
        <v>2</v>
      </c>
      <c r="L313" s="6">
        <f>$L302+L312</f>
        <v>15</v>
      </c>
      <c r="M313" s="6">
        <f t="shared" si="56"/>
        <v>16</v>
      </c>
      <c r="N313" s="78">
        <v>100</v>
      </c>
      <c r="O313">
        <f t="shared" si="50"/>
        <v>0.5</v>
      </c>
      <c r="P313" s="78">
        <v>50</v>
      </c>
      <c r="Q313">
        <f t="shared" si="51"/>
        <v>0.3</v>
      </c>
      <c r="R313" s="75">
        <v>15</v>
      </c>
      <c r="S313" s="6">
        <f t="shared" si="52"/>
        <v>0.15</v>
      </c>
    </row>
    <row r="314" spans="1:19" x14ac:dyDescent="0.25">
      <c r="A314" s="37" t="s">
        <v>37</v>
      </c>
      <c r="B314" s="6" t="s">
        <v>158</v>
      </c>
      <c r="C314" s="67">
        <v>47330.400000000001</v>
      </c>
      <c r="D314" s="6">
        <f>(C314/12)*1</f>
        <v>3944.2000000000003</v>
      </c>
      <c r="E314" s="67">
        <v>7000</v>
      </c>
      <c r="F314" s="6">
        <f>E314</f>
        <v>7000</v>
      </c>
      <c r="G314" s="36" t="str">
        <f t="shared" si="49"/>
        <v>Farol Verde</v>
      </c>
      <c r="H314">
        <f t="shared" si="47"/>
        <v>0</v>
      </c>
      <c r="I314" s="6">
        <f t="shared" si="48"/>
        <v>1</v>
      </c>
      <c r="J314" s="77">
        <v>8</v>
      </c>
      <c r="K314" s="77">
        <v>1</v>
      </c>
      <c r="L314" s="6">
        <f>J314/12</f>
        <v>0.66666666666666663</v>
      </c>
      <c r="M314" s="6">
        <f>K314</f>
        <v>1</v>
      </c>
      <c r="N314" s="78">
        <v>100</v>
      </c>
      <c r="O314">
        <f t="shared" si="50"/>
        <v>0.5</v>
      </c>
      <c r="P314" s="78">
        <v>50</v>
      </c>
      <c r="Q314">
        <f t="shared" si="51"/>
        <v>0.3</v>
      </c>
      <c r="R314" s="75">
        <v>15</v>
      </c>
      <c r="S314" s="6">
        <f t="shared" si="52"/>
        <v>0.15</v>
      </c>
    </row>
    <row r="315" spans="1:19" x14ac:dyDescent="0.25">
      <c r="A315" s="37" t="s">
        <v>37</v>
      </c>
      <c r="B315" s="6" t="s">
        <v>159</v>
      </c>
      <c r="C315" s="67">
        <v>47330.400000000001</v>
      </c>
      <c r="D315" s="6">
        <f>(C315/12)*2</f>
        <v>7888.4000000000005</v>
      </c>
      <c r="E315" s="67">
        <v>0</v>
      </c>
      <c r="F315" s="6">
        <f>SUM(E314:E315)</f>
        <v>7000</v>
      </c>
      <c r="G315" s="36" t="str">
        <f t="shared" si="49"/>
        <v>Farol Amarelo</v>
      </c>
      <c r="H315">
        <f t="shared" si="47"/>
        <v>888.40000000000055</v>
      </c>
      <c r="I315" s="6">
        <f t="shared" si="48"/>
        <v>2</v>
      </c>
      <c r="J315" s="75">
        <v>8</v>
      </c>
      <c r="K315" s="75">
        <v>0</v>
      </c>
      <c r="L315" s="6">
        <f>L314+L314</f>
        <v>1.3333333333333333</v>
      </c>
      <c r="M315" s="6">
        <f>M314+K315</f>
        <v>1</v>
      </c>
      <c r="N315" s="78">
        <v>100</v>
      </c>
      <c r="O315">
        <f t="shared" si="50"/>
        <v>0.5</v>
      </c>
      <c r="P315" s="78">
        <v>50</v>
      </c>
      <c r="Q315">
        <f t="shared" si="51"/>
        <v>0.3</v>
      </c>
      <c r="R315" s="75">
        <v>15</v>
      </c>
      <c r="S315" s="6">
        <f t="shared" si="52"/>
        <v>0.15</v>
      </c>
    </row>
    <row r="316" spans="1:19" x14ac:dyDescent="0.25">
      <c r="A316" s="37" t="s">
        <v>37</v>
      </c>
      <c r="B316" s="6" t="s">
        <v>160</v>
      </c>
      <c r="C316" s="67">
        <v>47330.400000000001</v>
      </c>
      <c r="D316" s="6">
        <f>(C316/12)*3</f>
        <v>11832.6</v>
      </c>
      <c r="E316" s="67">
        <v>0</v>
      </c>
      <c r="F316" s="6">
        <f>SUM(E314:E316)</f>
        <v>7000</v>
      </c>
      <c r="G316" s="36" t="str">
        <f t="shared" si="49"/>
        <v>Farol Vermelho</v>
      </c>
      <c r="H316">
        <f t="shared" si="47"/>
        <v>4832.6000000000004</v>
      </c>
      <c r="I316" s="6">
        <f t="shared" si="48"/>
        <v>3</v>
      </c>
      <c r="J316" s="77">
        <v>8</v>
      </c>
      <c r="K316" s="77">
        <v>0</v>
      </c>
      <c r="L316" s="6">
        <f>$L314+L315</f>
        <v>2</v>
      </c>
      <c r="M316" s="6">
        <f t="shared" ref="M316:M325" si="57">M315+K316</f>
        <v>1</v>
      </c>
      <c r="N316" s="78">
        <v>100</v>
      </c>
      <c r="O316">
        <f t="shared" si="50"/>
        <v>0.5</v>
      </c>
      <c r="P316" s="78">
        <v>50</v>
      </c>
      <c r="Q316">
        <f t="shared" si="51"/>
        <v>0.3</v>
      </c>
      <c r="R316" s="75">
        <v>15</v>
      </c>
      <c r="S316" s="6">
        <f t="shared" si="52"/>
        <v>0.15</v>
      </c>
    </row>
    <row r="317" spans="1:19" x14ac:dyDescent="0.25">
      <c r="A317" s="37" t="s">
        <v>37</v>
      </c>
      <c r="B317" s="6" t="s">
        <v>161</v>
      </c>
      <c r="C317" s="67">
        <v>47330.400000000001</v>
      </c>
      <c r="D317" s="6">
        <f>(C317/12)*4</f>
        <v>15776.800000000001</v>
      </c>
      <c r="E317" s="67">
        <v>0</v>
      </c>
      <c r="F317" s="6">
        <f>SUM(E314:E317)</f>
        <v>7000</v>
      </c>
      <c r="G317" s="36" t="str">
        <f t="shared" si="49"/>
        <v>Farol Vermelho</v>
      </c>
      <c r="H317">
        <f t="shared" si="47"/>
        <v>8776.8000000000011</v>
      </c>
      <c r="I317" s="6">
        <f t="shared" si="48"/>
        <v>4</v>
      </c>
      <c r="J317" s="75">
        <v>8</v>
      </c>
      <c r="K317" s="75">
        <v>0</v>
      </c>
      <c r="L317" s="6">
        <f>$L314+L316</f>
        <v>2.6666666666666665</v>
      </c>
      <c r="M317" s="6">
        <f t="shared" si="57"/>
        <v>1</v>
      </c>
      <c r="N317" s="78">
        <v>100</v>
      </c>
      <c r="O317">
        <f t="shared" si="50"/>
        <v>0.5</v>
      </c>
      <c r="P317" s="78">
        <v>50</v>
      </c>
      <c r="Q317">
        <f t="shared" si="51"/>
        <v>0.3</v>
      </c>
      <c r="R317" s="75">
        <v>15</v>
      </c>
      <c r="S317" s="6">
        <f t="shared" si="52"/>
        <v>0.15</v>
      </c>
    </row>
    <row r="318" spans="1:19" x14ac:dyDescent="0.25">
      <c r="A318" s="37" t="s">
        <v>37</v>
      </c>
      <c r="B318" s="6" t="s">
        <v>162</v>
      </c>
      <c r="C318" s="67">
        <v>47330.400000000001</v>
      </c>
      <c r="D318" s="6">
        <f>(C318/12)*5</f>
        <v>19721</v>
      </c>
      <c r="E318" s="67">
        <v>0</v>
      </c>
      <c r="F318" s="6">
        <f>SUM(E314:E318)</f>
        <v>7000</v>
      </c>
      <c r="G318" s="36" t="str">
        <f t="shared" si="49"/>
        <v>Farol Vermelho</v>
      </c>
      <c r="H318">
        <f t="shared" si="47"/>
        <v>12721</v>
      </c>
      <c r="I318" s="6">
        <f t="shared" si="48"/>
        <v>5</v>
      </c>
      <c r="J318" s="77">
        <v>8</v>
      </c>
      <c r="K318" s="77">
        <v>0</v>
      </c>
      <c r="L318" s="6">
        <f>L314+L317</f>
        <v>3.333333333333333</v>
      </c>
      <c r="M318" s="6">
        <f t="shared" si="57"/>
        <v>1</v>
      </c>
      <c r="N318" s="78">
        <v>100</v>
      </c>
      <c r="O318">
        <f t="shared" si="50"/>
        <v>0.5</v>
      </c>
      <c r="P318" s="78">
        <v>50</v>
      </c>
      <c r="Q318">
        <f t="shared" si="51"/>
        <v>0.3</v>
      </c>
      <c r="R318" s="75">
        <v>15</v>
      </c>
      <c r="S318" s="6">
        <f t="shared" si="52"/>
        <v>0.15</v>
      </c>
    </row>
    <row r="319" spans="1:19" x14ac:dyDescent="0.25">
      <c r="A319" s="37" t="s">
        <v>37</v>
      </c>
      <c r="B319" s="6" t="s">
        <v>163</v>
      </c>
      <c r="C319" s="67">
        <v>47330.400000000001</v>
      </c>
      <c r="D319" s="6">
        <f>(C319/12)*6</f>
        <v>23665.200000000001</v>
      </c>
      <c r="E319" s="67">
        <v>4800</v>
      </c>
      <c r="F319" s="6">
        <f>SUM(E314:E319)</f>
        <v>11800</v>
      </c>
      <c r="G319" s="36" t="str">
        <f t="shared" si="49"/>
        <v>Farol Vermelho</v>
      </c>
      <c r="H319">
        <f t="shared" si="47"/>
        <v>11865.2</v>
      </c>
      <c r="I319" s="6">
        <f t="shared" si="48"/>
        <v>6</v>
      </c>
      <c r="J319" s="75">
        <v>8</v>
      </c>
      <c r="K319" s="75">
        <v>1</v>
      </c>
      <c r="L319" s="6">
        <f>$L314+L318</f>
        <v>3.9999999999999996</v>
      </c>
      <c r="M319" s="6">
        <f t="shared" si="57"/>
        <v>2</v>
      </c>
      <c r="N319" s="78">
        <v>100</v>
      </c>
      <c r="O319">
        <f t="shared" si="50"/>
        <v>0.5</v>
      </c>
      <c r="P319" s="78">
        <v>50</v>
      </c>
      <c r="Q319">
        <f t="shared" si="51"/>
        <v>0.3</v>
      </c>
      <c r="R319" s="75">
        <v>15</v>
      </c>
      <c r="S319" s="6">
        <f t="shared" si="52"/>
        <v>0.15</v>
      </c>
    </row>
    <row r="320" spans="1:19" x14ac:dyDescent="0.25">
      <c r="A320" s="37" t="s">
        <v>37</v>
      </c>
      <c r="B320" s="6" t="s">
        <v>164</v>
      </c>
      <c r="C320" s="67">
        <v>47330.400000000001</v>
      </c>
      <c r="D320" s="6">
        <f>(C320/12)*7</f>
        <v>27609.4</v>
      </c>
      <c r="E320" s="67">
        <v>0</v>
      </c>
      <c r="F320" s="6">
        <f>SUM(E314:E320)</f>
        <v>11800</v>
      </c>
      <c r="G320" s="36" t="str">
        <f t="shared" si="49"/>
        <v>Farol Vermelho</v>
      </c>
      <c r="H320">
        <f t="shared" si="47"/>
        <v>15809.400000000001</v>
      </c>
      <c r="I320" s="6">
        <f t="shared" si="48"/>
        <v>7</v>
      </c>
      <c r="J320" s="77">
        <v>8</v>
      </c>
      <c r="K320" s="77">
        <v>0</v>
      </c>
      <c r="L320" s="6">
        <f>$L314+L319</f>
        <v>4.6666666666666661</v>
      </c>
      <c r="M320" s="6">
        <f t="shared" si="57"/>
        <v>2</v>
      </c>
      <c r="N320" s="78">
        <v>100</v>
      </c>
      <c r="O320">
        <f t="shared" si="50"/>
        <v>0.5</v>
      </c>
      <c r="P320" s="78">
        <v>50</v>
      </c>
      <c r="Q320">
        <f t="shared" si="51"/>
        <v>0.3</v>
      </c>
      <c r="R320" s="75">
        <v>15</v>
      </c>
      <c r="S320" s="6">
        <f t="shared" si="52"/>
        <v>0.15</v>
      </c>
    </row>
    <row r="321" spans="1:19" x14ac:dyDescent="0.25">
      <c r="A321" s="37" t="s">
        <v>37</v>
      </c>
      <c r="B321" s="6" t="s">
        <v>165</v>
      </c>
      <c r="C321" s="67">
        <v>47330.400000000001</v>
      </c>
      <c r="D321" s="6">
        <f>(C321/12)*8</f>
        <v>31553.600000000002</v>
      </c>
      <c r="E321" s="67">
        <v>479.16</v>
      </c>
      <c r="F321" s="6">
        <f>SUM(E314:E321)</f>
        <v>12279.16</v>
      </c>
      <c r="G321" s="36" t="str">
        <f t="shared" si="49"/>
        <v>Farol Vermelho</v>
      </c>
      <c r="H321">
        <f t="shared" si="47"/>
        <v>19274.440000000002</v>
      </c>
      <c r="I321" s="6">
        <f t="shared" si="48"/>
        <v>8</v>
      </c>
      <c r="J321" s="75">
        <v>8</v>
      </c>
      <c r="K321" s="75">
        <v>1</v>
      </c>
      <c r="L321" s="6">
        <f>L314+L320</f>
        <v>5.333333333333333</v>
      </c>
      <c r="M321" s="6">
        <f t="shared" si="57"/>
        <v>3</v>
      </c>
      <c r="N321" s="78">
        <v>100</v>
      </c>
      <c r="O321">
        <f t="shared" si="50"/>
        <v>0.5</v>
      </c>
      <c r="P321" s="78">
        <v>50</v>
      </c>
      <c r="Q321">
        <f t="shared" si="51"/>
        <v>0.3</v>
      </c>
      <c r="R321" s="75">
        <v>15</v>
      </c>
      <c r="S321" s="6">
        <f t="shared" si="52"/>
        <v>0.15</v>
      </c>
    </row>
    <row r="322" spans="1:19" x14ac:dyDescent="0.25">
      <c r="A322" s="37" t="s">
        <v>37</v>
      </c>
      <c r="B322" s="6" t="s">
        <v>166</v>
      </c>
      <c r="C322" s="67">
        <v>47330.400000000001</v>
      </c>
      <c r="D322" s="6">
        <f>(C322/12)*9</f>
        <v>35497.800000000003</v>
      </c>
      <c r="E322" s="67">
        <v>0</v>
      </c>
      <c r="F322" s="6">
        <f>SUM(E314:E322)</f>
        <v>12279.16</v>
      </c>
      <c r="G322" s="36" t="str">
        <f t="shared" si="49"/>
        <v>Farol Vermelho</v>
      </c>
      <c r="H322">
        <f t="shared" ref="H322:H385" si="58">IF(D322-F322&lt;0,0,D322-F322)</f>
        <v>23218.640000000003</v>
      </c>
      <c r="I322" s="6">
        <f t="shared" ref="I322:I385" si="59">_xlfn.IFS(B322="Janeiro",1,B322="Fevereiro",2,B322="Março",3,B322="Abril",4,B322="Maio",5,B322="Junho",6,B322="Julho",7,B322="Agosto",8,B322="Setembro",9,B322="Outubro",10,B322="Novembro",11,B322="Dezembro",12,TRUE,0)</f>
        <v>9</v>
      </c>
      <c r="J322" s="77">
        <v>8</v>
      </c>
      <c r="K322" s="77">
        <v>0</v>
      </c>
      <c r="L322" s="6">
        <f>$L314+L321</f>
        <v>6</v>
      </c>
      <c r="M322" s="6">
        <f t="shared" si="57"/>
        <v>3</v>
      </c>
      <c r="N322" s="78">
        <v>100</v>
      </c>
      <c r="O322">
        <f t="shared" si="50"/>
        <v>0.5</v>
      </c>
      <c r="P322" s="78">
        <v>50</v>
      </c>
      <c r="Q322">
        <f t="shared" si="51"/>
        <v>0.3</v>
      </c>
      <c r="R322" s="75">
        <v>15</v>
      </c>
      <c r="S322" s="6">
        <f t="shared" si="52"/>
        <v>0.15</v>
      </c>
    </row>
    <row r="323" spans="1:19" x14ac:dyDescent="0.25">
      <c r="A323" s="37" t="s">
        <v>37</v>
      </c>
      <c r="B323" s="6" t="s">
        <v>167</v>
      </c>
      <c r="C323" s="67">
        <v>47330.400000000001</v>
      </c>
      <c r="D323" s="6">
        <f>(C323/12)*10</f>
        <v>39442</v>
      </c>
      <c r="E323" s="67">
        <v>0</v>
      </c>
      <c r="F323" s="6">
        <f>SUM(E314:E323)</f>
        <v>12279.16</v>
      </c>
      <c r="G323" s="36" t="str">
        <f t="shared" ref="G323:G386" si="60">_xlfn.IFS(F323&gt;D323,"Farol Verde",F323&gt;=D323*0.85,"Farol Amarelo",F323&lt;D323*0.85,"Farol Vermelho","Verdadeiro",0)</f>
        <v>Farol Vermelho</v>
      </c>
      <c r="H323">
        <f t="shared" si="58"/>
        <v>27162.84</v>
      </c>
      <c r="I323" s="6">
        <f t="shared" si="59"/>
        <v>10</v>
      </c>
      <c r="J323" s="75">
        <v>8</v>
      </c>
      <c r="K323" s="75">
        <v>0</v>
      </c>
      <c r="L323" s="6">
        <f>$L314+L322</f>
        <v>6.666666666666667</v>
      </c>
      <c r="M323" s="6">
        <f t="shared" si="57"/>
        <v>3</v>
      </c>
      <c r="N323" s="78">
        <v>100</v>
      </c>
      <c r="O323">
        <f t="shared" ref="O323:O386" si="61">P323/N323</f>
        <v>0.5</v>
      </c>
      <c r="P323" s="78">
        <v>50</v>
      </c>
      <c r="Q323">
        <f t="shared" ref="Q323:Q386" si="62">R323/P323</f>
        <v>0.3</v>
      </c>
      <c r="R323" s="75">
        <v>15</v>
      </c>
      <c r="S323" s="6">
        <f t="shared" ref="S323:S386" si="63">R323/N323</f>
        <v>0.15</v>
      </c>
    </row>
    <row r="324" spans="1:19" x14ac:dyDescent="0.25">
      <c r="A324" s="37" t="s">
        <v>37</v>
      </c>
      <c r="B324" s="6" t="s">
        <v>168</v>
      </c>
      <c r="C324" s="67">
        <v>47330.400000000001</v>
      </c>
      <c r="D324" s="6">
        <f>(C324/12)*11</f>
        <v>43386.200000000004</v>
      </c>
      <c r="E324" s="67">
        <v>0</v>
      </c>
      <c r="F324" s="6">
        <f>SUM(E314:E324)</f>
        <v>12279.16</v>
      </c>
      <c r="G324" s="36" t="str">
        <f t="shared" si="60"/>
        <v>Farol Vermelho</v>
      </c>
      <c r="H324">
        <f t="shared" si="58"/>
        <v>31107.040000000005</v>
      </c>
      <c r="I324" s="6">
        <f t="shared" si="59"/>
        <v>11</v>
      </c>
      <c r="J324" s="77">
        <v>8</v>
      </c>
      <c r="K324" s="77">
        <v>0</v>
      </c>
      <c r="L324" s="6">
        <f>L314+L323</f>
        <v>7.3333333333333339</v>
      </c>
      <c r="M324" s="6">
        <f t="shared" si="57"/>
        <v>3</v>
      </c>
      <c r="N324" s="78">
        <v>100</v>
      </c>
      <c r="O324">
        <f t="shared" si="61"/>
        <v>0.5</v>
      </c>
      <c r="P324" s="78">
        <v>50</v>
      </c>
      <c r="Q324">
        <f t="shared" si="62"/>
        <v>0.3</v>
      </c>
      <c r="R324" s="75">
        <v>15</v>
      </c>
      <c r="S324" s="6">
        <f t="shared" si="63"/>
        <v>0.15</v>
      </c>
    </row>
    <row r="325" spans="1:19" x14ac:dyDescent="0.25">
      <c r="A325" s="37" t="s">
        <v>37</v>
      </c>
      <c r="B325" s="6" t="s">
        <v>169</v>
      </c>
      <c r="C325" s="67">
        <v>47330.400000000001</v>
      </c>
      <c r="D325" s="6">
        <f>(C325/12)*12</f>
        <v>47330.400000000001</v>
      </c>
      <c r="E325" s="67">
        <v>0</v>
      </c>
      <c r="F325" s="6">
        <f>SUM(E314:E325)</f>
        <v>12279.16</v>
      </c>
      <c r="G325" s="36" t="str">
        <f t="shared" si="60"/>
        <v>Farol Vermelho</v>
      </c>
      <c r="H325">
        <f t="shared" si="58"/>
        <v>35051.240000000005</v>
      </c>
      <c r="I325" s="6">
        <f t="shared" si="59"/>
        <v>12</v>
      </c>
      <c r="J325" s="75">
        <v>8</v>
      </c>
      <c r="K325" s="75">
        <v>0</v>
      </c>
      <c r="L325" s="6">
        <f>$L314+L324</f>
        <v>8</v>
      </c>
      <c r="M325" s="6">
        <f t="shared" si="57"/>
        <v>3</v>
      </c>
      <c r="N325" s="78">
        <v>100</v>
      </c>
      <c r="O325">
        <f t="shared" si="61"/>
        <v>0.5</v>
      </c>
      <c r="P325" s="78">
        <v>50</v>
      </c>
      <c r="Q325">
        <f t="shared" si="62"/>
        <v>0.3</v>
      </c>
      <c r="R325" s="75">
        <v>15</v>
      </c>
      <c r="S325" s="6">
        <f t="shared" si="63"/>
        <v>0.15</v>
      </c>
    </row>
    <row r="326" spans="1:19" x14ac:dyDescent="0.25">
      <c r="A326" s="37" t="s">
        <v>86</v>
      </c>
      <c r="B326" s="6" t="s">
        <v>158</v>
      </c>
      <c r="C326" s="67">
        <v>0</v>
      </c>
      <c r="D326" s="6">
        <f>(C326/12)*1</f>
        <v>0</v>
      </c>
      <c r="E326" s="67">
        <v>0</v>
      </c>
      <c r="F326" s="6">
        <f>E326</f>
        <v>0</v>
      </c>
      <c r="G326" s="36" t="str">
        <f t="shared" si="60"/>
        <v>Farol Amarelo</v>
      </c>
      <c r="H326">
        <f t="shared" si="58"/>
        <v>0</v>
      </c>
      <c r="I326" s="6">
        <f t="shared" si="59"/>
        <v>1</v>
      </c>
      <c r="J326" s="77">
        <v>0</v>
      </c>
      <c r="K326" s="77">
        <v>0</v>
      </c>
      <c r="L326" s="6">
        <f>J326/12</f>
        <v>0</v>
      </c>
      <c r="M326" s="6">
        <f>K326</f>
        <v>0</v>
      </c>
      <c r="N326" s="78">
        <v>100</v>
      </c>
      <c r="O326">
        <f t="shared" si="61"/>
        <v>0.5</v>
      </c>
      <c r="P326" s="78">
        <v>50</v>
      </c>
      <c r="Q326">
        <f t="shared" si="62"/>
        <v>0.3</v>
      </c>
      <c r="R326" s="75">
        <v>15</v>
      </c>
      <c r="S326" s="6">
        <f t="shared" si="63"/>
        <v>0.15</v>
      </c>
    </row>
    <row r="327" spans="1:19" x14ac:dyDescent="0.25">
      <c r="A327" s="37" t="s">
        <v>86</v>
      </c>
      <c r="B327" s="6" t="s">
        <v>159</v>
      </c>
      <c r="C327" s="67">
        <v>0</v>
      </c>
      <c r="D327" s="6">
        <f>(C327/12)*2</f>
        <v>0</v>
      </c>
      <c r="E327" s="67">
        <v>0</v>
      </c>
      <c r="F327" s="6">
        <f>SUM(E326:E327)</f>
        <v>0</v>
      </c>
      <c r="G327" s="36" t="str">
        <f t="shared" si="60"/>
        <v>Farol Amarelo</v>
      </c>
      <c r="H327">
        <f t="shared" si="58"/>
        <v>0</v>
      </c>
      <c r="I327" s="6">
        <f t="shared" si="59"/>
        <v>2</v>
      </c>
      <c r="J327" s="75">
        <v>0</v>
      </c>
      <c r="K327" s="75">
        <v>0</v>
      </c>
      <c r="L327" s="6">
        <f>L326+L326</f>
        <v>0</v>
      </c>
      <c r="M327" s="6">
        <f>M326+K327</f>
        <v>0</v>
      </c>
      <c r="N327" s="78">
        <v>100</v>
      </c>
      <c r="O327">
        <f t="shared" si="61"/>
        <v>0.5</v>
      </c>
      <c r="P327" s="78">
        <v>50</v>
      </c>
      <c r="Q327">
        <f t="shared" si="62"/>
        <v>0.3</v>
      </c>
      <c r="R327" s="75">
        <v>15</v>
      </c>
      <c r="S327" s="6">
        <f t="shared" si="63"/>
        <v>0.15</v>
      </c>
    </row>
    <row r="328" spans="1:19" x14ac:dyDescent="0.25">
      <c r="A328" s="37" t="s">
        <v>86</v>
      </c>
      <c r="B328" s="6" t="s">
        <v>160</v>
      </c>
      <c r="C328" s="67">
        <v>0</v>
      </c>
      <c r="D328" s="6">
        <f>(C328/12)*3</f>
        <v>0</v>
      </c>
      <c r="E328" s="67">
        <v>0</v>
      </c>
      <c r="F328" s="6">
        <f>SUM(E326:E328)</f>
        <v>0</v>
      </c>
      <c r="G328" s="36" t="str">
        <f t="shared" si="60"/>
        <v>Farol Amarelo</v>
      </c>
      <c r="H328">
        <f t="shared" si="58"/>
        <v>0</v>
      </c>
      <c r="I328" s="6">
        <f t="shared" si="59"/>
        <v>3</v>
      </c>
      <c r="J328" s="77">
        <v>0</v>
      </c>
      <c r="K328" s="77">
        <v>0</v>
      </c>
      <c r="L328" s="6">
        <f>$L326+L327</f>
        <v>0</v>
      </c>
      <c r="M328" s="6">
        <f t="shared" ref="M328:M337" si="64">M327+K328</f>
        <v>0</v>
      </c>
      <c r="N328" s="78">
        <v>100</v>
      </c>
      <c r="O328">
        <f t="shared" si="61"/>
        <v>0.5</v>
      </c>
      <c r="P328" s="78">
        <v>50</v>
      </c>
      <c r="Q328">
        <f t="shared" si="62"/>
        <v>0.3</v>
      </c>
      <c r="R328" s="75">
        <v>15</v>
      </c>
      <c r="S328" s="6">
        <f t="shared" si="63"/>
        <v>0.15</v>
      </c>
    </row>
    <row r="329" spans="1:19" x14ac:dyDescent="0.25">
      <c r="A329" s="37" t="s">
        <v>86</v>
      </c>
      <c r="B329" s="6" t="s">
        <v>161</v>
      </c>
      <c r="C329" s="67">
        <v>0</v>
      </c>
      <c r="D329" s="6">
        <f>(C329/12)*4</f>
        <v>0</v>
      </c>
      <c r="E329" s="67">
        <v>800</v>
      </c>
      <c r="F329" s="6">
        <f>SUM(E326:E329)</f>
        <v>800</v>
      </c>
      <c r="G329" s="36" t="str">
        <f t="shared" si="60"/>
        <v>Farol Verde</v>
      </c>
      <c r="H329">
        <f t="shared" si="58"/>
        <v>0</v>
      </c>
      <c r="I329" s="6">
        <f t="shared" si="59"/>
        <v>4</v>
      </c>
      <c r="J329" s="75">
        <v>0</v>
      </c>
      <c r="K329" s="75">
        <v>1</v>
      </c>
      <c r="L329" s="6">
        <f>$L326+L328</f>
        <v>0</v>
      </c>
      <c r="M329" s="6">
        <f t="shared" si="64"/>
        <v>1</v>
      </c>
      <c r="N329" s="78">
        <v>100</v>
      </c>
      <c r="O329">
        <f t="shared" si="61"/>
        <v>0.5</v>
      </c>
      <c r="P329" s="78">
        <v>50</v>
      </c>
      <c r="Q329">
        <f t="shared" si="62"/>
        <v>0.3</v>
      </c>
      <c r="R329" s="75">
        <v>15</v>
      </c>
      <c r="S329" s="6">
        <f t="shared" si="63"/>
        <v>0.15</v>
      </c>
    </row>
    <row r="330" spans="1:19" x14ac:dyDescent="0.25">
      <c r="A330" s="37" t="s">
        <v>86</v>
      </c>
      <c r="B330" s="6" t="s">
        <v>162</v>
      </c>
      <c r="C330" s="67">
        <v>0</v>
      </c>
      <c r="D330" s="6">
        <f>(C330/12)*5</f>
        <v>0</v>
      </c>
      <c r="E330" s="67">
        <v>0</v>
      </c>
      <c r="F330" s="6">
        <f>SUM(E326:E330)</f>
        <v>800</v>
      </c>
      <c r="G330" s="36" t="str">
        <f t="shared" si="60"/>
        <v>Farol Verde</v>
      </c>
      <c r="H330">
        <f t="shared" si="58"/>
        <v>0</v>
      </c>
      <c r="I330" s="6">
        <f t="shared" si="59"/>
        <v>5</v>
      </c>
      <c r="J330" s="77">
        <v>0</v>
      </c>
      <c r="K330" s="77">
        <v>0</v>
      </c>
      <c r="L330" s="6">
        <f>L326+L329</f>
        <v>0</v>
      </c>
      <c r="M330" s="6">
        <f t="shared" si="64"/>
        <v>1</v>
      </c>
      <c r="N330" s="78">
        <v>100</v>
      </c>
      <c r="O330">
        <f t="shared" si="61"/>
        <v>0.5</v>
      </c>
      <c r="P330" s="78">
        <v>50</v>
      </c>
      <c r="Q330">
        <f t="shared" si="62"/>
        <v>0.3</v>
      </c>
      <c r="R330" s="75">
        <v>15</v>
      </c>
      <c r="S330" s="6">
        <f t="shared" si="63"/>
        <v>0.15</v>
      </c>
    </row>
    <row r="331" spans="1:19" x14ac:dyDescent="0.25">
      <c r="A331" s="37" t="s">
        <v>86</v>
      </c>
      <c r="B331" s="6" t="s">
        <v>163</v>
      </c>
      <c r="C331" s="67">
        <v>0</v>
      </c>
      <c r="D331" s="6">
        <f>(C331/12)*6</f>
        <v>0</v>
      </c>
      <c r="E331" s="67">
        <v>600</v>
      </c>
      <c r="F331" s="6">
        <f>SUM(E326:E331)</f>
        <v>1400</v>
      </c>
      <c r="G331" s="36" t="str">
        <f t="shared" si="60"/>
        <v>Farol Verde</v>
      </c>
      <c r="H331">
        <f t="shared" si="58"/>
        <v>0</v>
      </c>
      <c r="I331" s="6">
        <f t="shared" si="59"/>
        <v>6</v>
      </c>
      <c r="J331" s="75">
        <v>0</v>
      </c>
      <c r="K331" s="75">
        <v>1</v>
      </c>
      <c r="L331" s="6">
        <f>$L326+L330</f>
        <v>0</v>
      </c>
      <c r="M331" s="6">
        <f t="shared" si="64"/>
        <v>2</v>
      </c>
      <c r="N331" s="78">
        <v>100</v>
      </c>
      <c r="O331">
        <f t="shared" si="61"/>
        <v>0.5</v>
      </c>
      <c r="P331" s="78">
        <v>50</v>
      </c>
      <c r="Q331">
        <f t="shared" si="62"/>
        <v>0.3</v>
      </c>
      <c r="R331" s="75">
        <v>15</v>
      </c>
      <c r="S331" s="6">
        <f t="shared" si="63"/>
        <v>0.15</v>
      </c>
    </row>
    <row r="332" spans="1:19" x14ac:dyDescent="0.25">
      <c r="A332" s="37" t="s">
        <v>86</v>
      </c>
      <c r="B332" s="6" t="s">
        <v>164</v>
      </c>
      <c r="C332" s="67">
        <v>0</v>
      </c>
      <c r="D332" s="6">
        <f>(C332/12)*7</f>
        <v>0</v>
      </c>
      <c r="E332" s="67">
        <v>5800</v>
      </c>
      <c r="F332" s="6">
        <f>SUM(E326:E332)</f>
        <v>7200</v>
      </c>
      <c r="G332" s="36" t="str">
        <f t="shared" si="60"/>
        <v>Farol Verde</v>
      </c>
      <c r="H332">
        <f t="shared" si="58"/>
        <v>0</v>
      </c>
      <c r="I332" s="6">
        <f t="shared" si="59"/>
        <v>7</v>
      </c>
      <c r="J332" s="77">
        <v>0</v>
      </c>
      <c r="K332" s="77">
        <v>2</v>
      </c>
      <c r="L332" s="6">
        <f>$L326+L331</f>
        <v>0</v>
      </c>
      <c r="M332" s="6">
        <f t="shared" si="64"/>
        <v>4</v>
      </c>
      <c r="N332" s="78">
        <v>100</v>
      </c>
      <c r="O332">
        <f t="shared" si="61"/>
        <v>0.5</v>
      </c>
      <c r="P332" s="78">
        <v>50</v>
      </c>
      <c r="Q332">
        <f t="shared" si="62"/>
        <v>0.3</v>
      </c>
      <c r="R332" s="75">
        <v>15</v>
      </c>
      <c r="S332" s="6">
        <f t="shared" si="63"/>
        <v>0.15</v>
      </c>
    </row>
    <row r="333" spans="1:19" x14ac:dyDescent="0.25">
      <c r="A333" s="37" t="s">
        <v>86</v>
      </c>
      <c r="B333" s="6" t="s">
        <v>165</v>
      </c>
      <c r="C333" s="67">
        <v>0</v>
      </c>
      <c r="D333" s="6">
        <f>(C333/12)*8</f>
        <v>0</v>
      </c>
      <c r="E333" s="67">
        <v>0</v>
      </c>
      <c r="F333" s="6">
        <f>SUM(E326:E333)</f>
        <v>7200</v>
      </c>
      <c r="G333" s="36" t="str">
        <f t="shared" si="60"/>
        <v>Farol Verde</v>
      </c>
      <c r="H333">
        <f t="shared" si="58"/>
        <v>0</v>
      </c>
      <c r="I333" s="6">
        <f t="shared" si="59"/>
        <v>8</v>
      </c>
      <c r="J333" s="75">
        <v>0</v>
      </c>
      <c r="K333" s="75">
        <v>0</v>
      </c>
      <c r="L333" s="6">
        <f>L326+L332</f>
        <v>0</v>
      </c>
      <c r="M333" s="6">
        <f t="shared" si="64"/>
        <v>4</v>
      </c>
      <c r="N333" s="78">
        <v>100</v>
      </c>
      <c r="O333">
        <f t="shared" si="61"/>
        <v>0.5</v>
      </c>
      <c r="P333" s="78">
        <v>50</v>
      </c>
      <c r="Q333">
        <f t="shared" si="62"/>
        <v>0.3</v>
      </c>
      <c r="R333" s="75">
        <v>15</v>
      </c>
      <c r="S333" s="6">
        <f t="shared" si="63"/>
        <v>0.15</v>
      </c>
    </row>
    <row r="334" spans="1:19" x14ac:dyDescent="0.25">
      <c r="A334" s="37" t="s">
        <v>86</v>
      </c>
      <c r="B334" s="6" t="s">
        <v>166</v>
      </c>
      <c r="C334" s="67">
        <v>0</v>
      </c>
      <c r="D334" s="6">
        <f>(C334/12)*9</f>
        <v>0</v>
      </c>
      <c r="E334" s="67">
        <v>0</v>
      </c>
      <c r="F334" s="6">
        <f>SUM(E326:E334)</f>
        <v>7200</v>
      </c>
      <c r="G334" s="36" t="str">
        <f t="shared" si="60"/>
        <v>Farol Verde</v>
      </c>
      <c r="H334">
        <f t="shared" si="58"/>
        <v>0</v>
      </c>
      <c r="I334" s="6">
        <f t="shared" si="59"/>
        <v>9</v>
      </c>
      <c r="J334" s="77">
        <v>0</v>
      </c>
      <c r="K334" s="77">
        <v>0</v>
      </c>
      <c r="L334" s="6">
        <f>$L326+L333</f>
        <v>0</v>
      </c>
      <c r="M334" s="6">
        <f t="shared" si="64"/>
        <v>4</v>
      </c>
      <c r="N334" s="78">
        <v>100</v>
      </c>
      <c r="O334">
        <f t="shared" si="61"/>
        <v>0.5</v>
      </c>
      <c r="P334" s="78">
        <v>50</v>
      </c>
      <c r="Q334">
        <f t="shared" si="62"/>
        <v>0.3</v>
      </c>
      <c r="R334" s="75">
        <v>15</v>
      </c>
      <c r="S334" s="6">
        <f t="shared" si="63"/>
        <v>0.15</v>
      </c>
    </row>
    <row r="335" spans="1:19" x14ac:dyDescent="0.25">
      <c r="A335" s="37" t="s">
        <v>86</v>
      </c>
      <c r="B335" s="6" t="s">
        <v>167</v>
      </c>
      <c r="C335" s="67">
        <v>0</v>
      </c>
      <c r="D335" s="6">
        <f>(C335/12)*10</f>
        <v>0</v>
      </c>
      <c r="E335" s="67">
        <v>3300</v>
      </c>
      <c r="F335" s="6">
        <f>SUM(E326:E335)</f>
        <v>10500</v>
      </c>
      <c r="G335" s="36" t="str">
        <f t="shared" si="60"/>
        <v>Farol Verde</v>
      </c>
      <c r="H335">
        <f t="shared" si="58"/>
        <v>0</v>
      </c>
      <c r="I335" s="6">
        <f t="shared" si="59"/>
        <v>10</v>
      </c>
      <c r="J335" s="75">
        <v>0</v>
      </c>
      <c r="K335" s="75">
        <v>4</v>
      </c>
      <c r="L335" s="6">
        <f>$L326+L334</f>
        <v>0</v>
      </c>
      <c r="M335" s="6">
        <f t="shared" si="64"/>
        <v>8</v>
      </c>
      <c r="N335" s="78">
        <v>100</v>
      </c>
      <c r="O335">
        <f t="shared" si="61"/>
        <v>0.5</v>
      </c>
      <c r="P335" s="78">
        <v>50</v>
      </c>
      <c r="Q335">
        <f t="shared" si="62"/>
        <v>0.3</v>
      </c>
      <c r="R335" s="75">
        <v>15</v>
      </c>
      <c r="S335" s="6">
        <f t="shared" si="63"/>
        <v>0.15</v>
      </c>
    </row>
    <row r="336" spans="1:19" x14ac:dyDescent="0.25">
      <c r="A336" s="37" t="s">
        <v>86</v>
      </c>
      <c r="B336" s="6" t="s">
        <v>168</v>
      </c>
      <c r="C336" s="67">
        <v>0</v>
      </c>
      <c r="D336" s="6">
        <f>(C336/12)*11</f>
        <v>0</v>
      </c>
      <c r="E336" s="67">
        <v>0</v>
      </c>
      <c r="F336" s="6">
        <f>SUM(E326:E336)</f>
        <v>10500</v>
      </c>
      <c r="G336" s="36" t="str">
        <f t="shared" si="60"/>
        <v>Farol Verde</v>
      </c>
      <c r="H336">
        <f t="shared" si="58"/>
        <v>0</v>
      </c>
      <c r="I336" s="6">
        <f t="shared" si="59"/>
        <v>11</v>
      </c>
      <c r="J336" s="77">
        <v>0</v>
      </c>
      <c r="K336" s="77">
        <v>0</v>
      </c>
      <c r="L336" s="6">
        <f>L326+L335</f>
        <v>0</v>
      </c>
      <c r="M336" s="6">
        <f t="shared" si="64"/>
        <v>8</v>
      </c>
      <c r="N336" s="78">
        <v>100</v>
      </c>
      <c r="O336">
        <f t="shared" si="61"/>
        <v>0.5</v>
      </c>
      <c r="P336" s="78">
        <v>50</v>
      </c>
      <c r="Q336">
        <f t="shared" si="62"/>
        <v>0.3</v>
      </c>
      <c r="R336" s="75">
        <v>15</v>
      </c>
      <c r="S336" s="6">
        <f t="shared" si="63"/>
        <v>0.15</v>
      </c>
    </row>
    <row r="337" spans="1:19" x14ac:dyDescent="0.25">
      <c r="A337" s="37" t="s">
        <v>86</v>
      </c>
      <c r="B337" s="6" t="s">
        <v>169</v>
      </c>
      <c r="C337" s="67">
        <v>0</v>
      </c>
      <c r="D337" s="6">
        <f>(C337/12)*12</f>
        <v>0</v>
      </c>
      <c r="E337" s="67">
        <v>14842</v>
      </c>
      <c r="F337" s="6">
        <f>SUM(E326:E337)</f>
        <v>25342</v>
      </c>
      <c r="G337" s="36" t="str">
        <f t="shared" si="60"/>
        <v>Farol Verde</v>
      </c>
      <c r="H337">
        <f t="shared" si="58"/>
        <v>0</v>
      </c>
      <c r="I337" s="6">
        <f t="shared" si="59"/>
        <v>12</v>
      </c>
      <c r="J337" s="75">
        <v>0</v>
      </c>
      <c r="K337" s="75">
        <v>2</v>
      </c>
      <c r="L337" s="6">
        <f>$L326+L336</f>
        <v>0</v>
      </c>
      <c r="M337" s="6">
        <f t="shared" si="64"/>
        <v>10</v>
      </c>
      <c r="N337" s="78">
        <v>100</v>
      </c>
      <c r="O337">
        <f t="shared" si="61"/>
        <v>0.5</v>
      </c>
      <c r="P337" s="78">
        <v>50</v>
      </c>
      <c r="Q337">
        <f t="shared" si="62"/>
        <v>0.3</v>
      </c>
      <c r="R337" s="75">
        <v>15</v>
      </c>
      <c r="S337" s="6">
        <f t="shared" si="63"/>
        <v>0.15</v>
      </c>
    </row>
    <row r="338" spans="1:19" x14ac:dyDescent="0.25">
      <c r="A338" s="37" t="s">
        <v>65</v>
      </c>
      <c r="B338" s="6" t="s">
        <v>158</v>
      </c>
      <c r="C338" s="67">
        <v>44936.800000000003</v>
      </c>
      <c r="D338" s="6">
        <f>(C338/12)*1</f>
        <v>3744.7333333333336</v>
      </c>
      <c r="E338" s="67">
        <v>0</v>
      </c>
      <c r="F338" s="6">
        <f>E338</f>
        <v>0</v>
      </c>
      <c r="G338" s="36" t="str">
        <f t="shared" si="60"/>
        <v>Farol Vermelho</v>
      </c>
      <c r="H338">
        <f t="shared" si="58"/>
        <v>3744.7333333333336</v>
      </c>
      <c r="I338" s="6">
        <f t="shared" si="59"/>
        <v>1</v>
      </c>
      <c r="J338" s="77">
        <v>12</v>
      </c>
      <c r="K338" s="77">
        <v>0</v>
      </c>
      <c r="L338" s="6">
        <f>J338/12</f>
        <v>1</v>
      </c>
      <c r="M338" s="6">
        <f>K338</f>
        <v>0</v>
      </c>
      <c r="N338" s="78">
        <v>100</v>
      </c>
      <c r="O338">
        <f t="shared" si="61"/>
        <v>0.5</v>
      </c>
      <c r="P338" s="78">
        <v>50</v>
      </c>
      <c r="Q338">
        <f t="shared" si="62"/>
        <v>0.3</v>
      </c>
      <c r="R338" s="75">
        <v>15</v>
      </c>
      <c r="S338" s="6">
        <f t="shared" si="63"/>
        <v>0.15</v>
      </c>
    </row>
    <row r="339" spans="1:19" x14ac:dyDescent="0.25">
      <c r="A339" s="37" t="s">
        <v>65</v>
      </c>
      <c r="B339" s="6" t="s">
        <v>159</v>
      </c>
      <c r="C339" s="67">
        <v>44936.800000000003</v>
      </c>
      <c r="D339" s="6">
        <f>(C339/12)*2</f>
        <v>7489.4666666666672</v>
      </c>
      <c r="E339" s="67">
        <v>0</v>
      </c>
      <c r="F339" s="6">
        <f>SUM(E338:E339)</f>
        <v>0</v>
      </c>
      <c r="G339" s="36" t="str">
        <f t="shared" si="60"/>
        <v>Farol Vermelho</v>
      </c>
      <c r="H339">
        <f t="shared" si="58"/>
        <v>7489.4666666666672</v>
      </c>
      <c r="I339" s="6">
        <f t="shared" si="59"/>
        <v>2</v>
      </c>
      <c r="J339" s="75">
        <v>12</v>
      </c>
      <c r="K339" s="75">
        <v>0</v>
      </c>
      <c r="L339" s="6">
        <f>L338+L338</f>
        <v>2</v>
      </c>
      <c r="M339" s="6">
        <f>M338+K339</f>
        <v>0</v>
      </c>
      <c r="N339" s="78">
        <v>100</v>
      </c>
      <c r="O339">
        <f t="shared" si="61"/>
        <v>0.5</v>
      </c>
      <c r="P339" s="78">
        <v>50</v>
      </c>
      <c r="Q339">
        <f t="shared" si="62"/>
        <v>0.3</v>
      </c>
      <c r="R339" s="75">
        <v>15</v>
      </c>
      <c r="S339" s="6">
        <f t="shared" si="63"/>
        <v>0.15</v>
      </c>
    </row>
    <row r="340" spans="1:19" x14ac:dyDescent="0.25">
      <c r="A340" s="37" t="s">
        <v>65</v>
      </c>
      <c r="B340" s="6" t="s">
        <v>160</v>
      </c>
      <c r="C340" s="67">
        <v>44936.800000000003</v>
      </c>
      <c r="D340" s="6">
        <f>(C340/12)*3</f>
        <v>11234.2</v>
      </c>
      <c r="E340" s="67">
        <v>0</v>
      </c>
      <c r="F340" s="6">
        <f>SUM(E338:E340)</f>
        <v>0</v>
      </c>
      <c r="G340" s="36" t="str">
        <f t="shared" si="60"/>
        <v>Farol Vermelho</v>
      </c>
      <c r="H340">
        <f t="shared" si="58"/>
        <v>11234.2</v>
      </c>
      <c r="I340" s="6">
        <f t="shared" si="59"/>
        <v>3</v>
      </c>
      <c r="J340" s="77">
        <v>12</v>
      </c>
      <c r="K340" s="77">
        <v>0</v>
      </c>
      <c r="L340" s="6">
        <f>$L338+L339</f>
        <v>3</v>
      </c>
      <c r="M340" s="6">
        <f t="shared" ref="M340:M349" si="65">M339+K340</f>
        <v>0</v>
      </c>
      <c r="N340" s="78">
        <v>100</v>
      </c>
      <c r="O340">
        <f t="shared" si="61"/>
        <v>0.5</v>
      </c>
      <c r="P340" s="78">
        <v>50</v>
      </c>
      <c r="Q340">
        <f t="shared" si="62"/>
        <v>0.3</v>
      </c>
      <c r="R340" s="75">
        <v>15</v>
      </c>
      <c r="S340" s="6">
        <f t="shared" si="63"/>
        <v>0.15</v>
      </c>
    </row>
    <row r="341" spans="1:19" x14ac:dyDescent="0.25">
      <c r="A341" s="37" t="s">
        <v>65</v>
      </c>
      <c r="B341" s="6" t="s">
        <v>161</v>
      </c>
      <c r="C341" s="67">
        <v>44936.800000000003</v>
      </c>
      <c r="D341" s="6">
        <f>(C341/12)*4</f>
        <v>14978.933333333334</v>
      </c>
      <c r="E341" s="67">
        <v>0</v>
      </c>
      <c r="F341" s="6">
        <f>SUM(E338:E341)</f>
        <v>0</v>
      </c>
      <c r="G341" s="36" t="str">
        <f t="shared" si="60"/>
        <v>Farol Vermelho</v>
      </c>
      <c r="H341">
        <f t="shared" si="58"/>
        <v>14978.933333333334</v>
      </c>
      <c r="I341" s="6">
        <f t="shared" si="59"/>
        <v>4</v>
      </c>
      <c r="J341" s="75">
        <v>12</v>
      </c>
      <c r="K341" s="75">
        <v>0</v>
      </c>
      <c r="L341" s="6">
        <f>$L338+L340</f>
        <v>4</v>
      </c>
      <c r="M341" s="6">
        <f t="shared" si="65"/>
        <v>0</v>
      </c>
      <c r="N341" s="78">
        <v>100</v>
      </c>
      <c r="O341">
        <f t="shared" si="61"/>
        <v>0.5</v>
      </c>
      <c r="P341" s="78">
        <v>50</v>
      </c>
      <c r="Q341">
        <f t="shared" si="62"/>
        <v>0.3</v>
      </c>
      <c r="R341" s="75">
        <v>15</v>
      </c>
      <c r="S341" s="6">
        <f t="shared" si="63"/>
        <v>0.15</v>
      </c>
    </row>
    <row r="342" spans="1:19" x14ac:dyDescent="0.25">
      <c r="A342" s="37" t="s">
        <v>65</v>
      </c>
      <c r="B342" s="6" t="s">
        <v>162</v>
      </c>
      <c r="C342" s="67">
        <v>44936.800000000003</v>
      </c>
      <c r="D342" s="6">
        <f>(C342/12)*5</f>
        <v>18723.666666666668</v>
      </c>
      <c r="E342" s="67">
        <v>0</v>
      </c>
      <c r="F342" s="6">
        <f>SUM(E338:E342)</f>
        <v>0</v>
      </c>
      <c r="G342" s="36" t="str">
        <f t="shared" si="60"/>
        <v>Farol Vermelho</v>
      </c>
      <c r="H342">
        <f t="shared" si="58"/>
        <v>18723.666666666668</v>
      </c>
      <c r="I342" s="6">
        <f t="shared" si="59"/>
        <v>5</v>
      </c>
      <c r="J342" s="77">
        <v>12</v>
      </c>
      <c r="K342" s="77">
        <v>0</v>
      </c>
      <c r="L342" s="6">
        <f>L338+L341</f>
        <v>5</v>
      </c>
      <c r="M342" s="6">
        <f t="shared" si="65"/>
        <v>0</v>
      </c>
      <c r="N342" s="78">
        <v>100</v>
      </c>
      <c r="O342">
        <f t="shared" si="61"/>
        <v>0.5</v>
      </c>
      <c r="P342" s="78">
        <v>50</v>
      </c>
      <c r="Q342">
        <f t="shared" si="62"/>
        <v>0.3</v>
      </c>
      <c r="R342" s="75">
        <v>15</v>
      </c>
      <c r="S342" s="6">
        <f t="shared" si="63"/>
        <v>0.15</v>
      </c>
    </row>
    <row r="343" spans="1:19" x14ac:dyDescent="0.25">
      <c r="A343" s="37" t="s">
        <v>65</v>
      </c>
      <c r="B343" s="6" t="s">
        <v>163</v>
      </c>
      <c r="C343" s="67">
        <v>44936.800000000003</v>
      </c>
      <c r="D343" s="6">
        <f>(C343/12)*6</f>
        <v>22468.400000000001</v>
      </c>
      <c r="E343" s="67">
        <v>0</v>
      </c>
      <c r="F343" s="6">
        <f>SUM(E338:E343)</f>
        <v>0</v>
      </c>
      <c r="G343" s="36" t="str">
        <f t="shared" si="60"/>
        <v>Farol Vermelho</v>
      </c>
      <c r="H343">
        <f t="shared" si="58"/>
        <v>22468.400000000001</v>
      </c>
      <c r="I343" s="6">
        <f t="shared" si="59"/>
        <v>6</v>
      </c>
      <c r="J343" s="75">
        <v>12</v>
      </c>
      <c r="K343" s="75">
        <v>0</v>
      </c>
      <c r="L343" s="6">
        <f>$L338+L342</f>
        <v>6</v>
      </c>
      <c r="M343" s="6">
        <f t="shared" si="65"/>
        <v>0</v>
      </c>
      <c r="N343" s="78">
        <v>100</v>
      </c>
      <c r="O343">
        <f t="shared" si="61"/>
        <v>0.5</v>
      </c>
      <c r="P343" s="78">
        <v>50</v>
      </c>
      <c r="Q343">
        <f t="shared" si="62"/>
        <v>0.3</v>
      </c>
      <c r="R343" s="75">
        <v>15</v>
      </c>
      <c r="S343" s="6">
        <f t="shared" si="63"/>
        <v>0.15</v>
      </c>
    </row>
    <row r="344" spans="1:19" x14ac:dyDescent="0.25">
      <c r="A344" s="37" t="s">
        <v>65</v>
      </c>
      <c r="B344" s="6" t="s">
        <v>164</v>
      </c>
      <c r="C344" s="67">
        <v>44936.800000000003</v>
      </c>
      <c r="D344" s="6">
        <f>(C344/12)*7</f>
        <v>26213.133333333335</v>
      </c>
      <c r="E344" s="67">
        <v>1500</v>
      </c>
      <c r="F344" s="6">
        <f>SUM(E338:E344)</f>
        <v>1500</v>
      </c>
      <c r="G344" s="36" t="str">
        <f t="shared" si="60"/>
        <v>Farol Vermelho</v>
      </c>
      <c r="H344">
        <f t="shared" si="58"/>
        <v>24713.133333333335</v>
      </c>
      <c r="I344" s="6">
        <f t="shared" si="59"/>
        <v>7</v>
      </c>
      <c r="J344" s="77">
        <v>12</v>
      </c>
      <c r="K344" s="77">
        <v>2</v>
      </c>
      <c r="L344" s="6">
        <f>$L338+L343</f>
        <v>7</v>
      </c>
      <c r="M344" s="6">
        <f t="shared" si="65"/>
        <v>2</v>
      </c>
      <c r="N344" s="78">
        <v>100</v>
      </c>
      <c r="O344">
        <f t="shared" si="61"/>
        <v>0.5</v>
      </c>
      <c r="P344" s="78">
        <v>50</v>
      </c>
      <c r="Q344">
        <f t="shared" si="62"/>
        <v>0.3</v>
      </c>
      <c r="R344" s="75">
        <v>15</v>
      </c>
      <c r="S344" s="6">
        <f t="shared" si="63"/>
        <v>0.15</v>
      </c>
    </row>
    <row r="345" spans="1:19" x14ac:dyDescent="0.25">
      <c r="A345" s="37" t="s">
        <v>65</v>
      </c>
      <c r="B345" s="6" t="s">
        <v>165</v>
      </c>
      <c r="C345" s="67">
        <v>44936.800000000003</v>
      </c>
      <c r="D345" s="6">
        <f>(C345/12)*8</f>
        <v>29957.866666666669</v>
      </c>
      <c r="E345" s="67">
        <v>0</v>
      </c>
      <c r="F345" s="6">
        <f>SUM(E338:E345)</f>
        <v>1500</v>
      </c>
      <c r="G345" s="36" t="str">
        <f t="shared" si="60"/>
        <v>Farol Vermelho</v>
      </c>
      <c r="H345">
        <f t="shared" si="58"/>
        <v>28457.866666666669</v>
      </c>
      <c r="I345" s="6">
        <f t="shared" si="59"/>
        <v>8</v>
      </c>
      <c r="J345" s="75">
        <v>12</v>
      </c>
      <c r="K345" s="75">
        <v>0</v>
      </c>
      <c r="L345" s="6">
        <f>L338+L344</f>
        <v>8</v>
      </c>
      <c r="M345" s="6">
        <f t="shared" si="65"/>
        <v>2</v>
      </c>
      <c r="N345" s="78">
        <v>100</v>
      </c>
      <c r="O345">
        <f t="shared" si="61"/>
        <v>0.5</v>
      </c>
      <c r="P345" s="78">
        <v>50</v>
      </c>
      <c r="Q345">
        <f t="shared" si="62"/>
        <v>0.3</v>
      </c>
      <c r="R345" s="75">
        <v>15</v>
      </c>
      <c r="S345" s="6">
        <f t="shared" si="63"/>
        <v>0.15</v>
      </c>
    </row>
    <row r="346" spans="1:19" x14ac:dyDescent="0.25">
      <c r="A346" s="37" t="s">
        <v>65</v>
      </c>
      <c r="B346" s="6" t="s">
        <v>166</v>
      </c>
      <c r="C346" s="67">
        <v>44936.800000000003</v>
      </c>
      <c r="D346" s="6">
        <f>(C346/12)*9</f>
        <v>33702.600000000006</v>
      </c>
      <c r="E346" s="67">
        <v>16850</v>
      </c>
      <c r="F346" s="6">
        <f>SUM(E338:E346)</f>
        <v>18350</v>
      </c>
      <c r="G346" s="36" t="str">
        <f t="shared" si="60"/>
        <v>Farol Vermelho</v>
      </c>
      <c r="H346">
        <f t="shared" si="58"/>
        <v>15352.600000000006</v>
      </c>
      <c r="I346" s="6">
        <f t="shared" si="59"/>
        <v>9</v>
      </c>
      <c r="J346" s="77">
        <v>12</v>
      </c>
      <c r="K346" s="77">
        <v>2</v>
      </c>
      <c r="L346" s="6">
        <f>$L338+L345</f>
        <v>9</v>
      </c>
      <c r="M346" s="6">
        <f t="shared" si="65"/>
        <v>4</v>
      </c>
      <c r="N346" s="78">
        <v>100</v>
      </c>
      <c r="O346">
        <f t="shared" si="61"/>
        <v>0.5</v>
      </c>
      <c r="P346" s="78">
        <v>50</v>
      </c>
      <c r="Q346">
        <f t="shared" si="62"/>
        <v>0.3</v>
      </c>
      <c r="R346" s="75">
        <v>15</v>
      </c>
      <c r="S346" s="6">
        <f t="shared" si="63"/>
        <v>0.15</v>
      </c>
    </row>
    <row r="347" spans="1:19" x14ac:dyDescent="0.25">
      <c r="A347" s="37" t="s">
        <v>65</v>
      </c>
      <c r="B347" s="6" t="s">
        <v>167</v>
      </c>
      <c r="C347" s="67">
        <v>44936.800000000003</v>
      </c>
      <c r="D347" s="6">
        <f>(C347/12)*10</f>
        <v>37447.333333333336</v>
      </c>
      <c r="E347" s="67">
        <v>0</v>
      </c>
      <c r="F347" s="6">
        <f>SUM(E338:E347)</f>
        <v>18350</v>
      </c>
      <c r="G347" s="36" t="str">
        <f t="shared" si="60"/>
        <v>Farol Vermelho</v>
      </c>
      <c r="H347">
        <f t="shared" si="58"/>
        <v>19097.333333333336</v>
      </c>
      <c r="I347" s="6">
        <f t="shared" si="59"/>
        <v>10</v>
      </c>
      <c r="J347" s="75">
        <v>12</v>
      </c>
      <c r="K347" s="75">
        <v>0</v>
      </c>
      <c r="L347" s="6">
        <f>$L338+L346</f>
        <v>10</v>
      </c>
      <c r="M347" s="6">
        <f t="shared" si="65"/>
        <v>4</v>
      </c>
      <c r="N347" s="78">
        <v>100</v>
      </c>
      <c r="O347">
        <f t="shared" si="61"/>
        <v>0.5</v>
      </c>
      <c r="P347" s="78">
        <v>50</v>
      </c>
      <c r="Q347">
        <f t="shared" si="62"/>
        <v>0.3</v>
      </c>
      <c r="R347" s="75">
        <v>15</v>
      </c>
      <c r="S347" s="6">
        <f t="shared" si="63"/>
        <v>0.15</v>
      </c>
    </row>
    <row r="348" spans="1:19" x14ac:dyDescent="0.25">
      <c r="A348" s="37" t="s">
        <v>65</v>
      </c>
      <c r="B348" s="6" t="s">
        <v>168</v>
      </c>
      <c r="C348" s="67">
        <v>44936.800000000003</v>
      </c>
      <c r="D348" s="6">
        <f>(C348/12)*11</f>
        <v>41192.066666666666</v>
      </c>
      <c r="E348" s="67">
        <v>3025</v>
      </c>
      <c r="F348" s="6">
        <f>SUM(E338:E348)</f>
        <v>21375</v>
      </c>
      <c r="G348" s="36" t="str">
        <f t="shared" si="60"/>
        <v>Farol Vermelho</v>
      </c>
      <c r="H348">
        <f t="shared" si="58"/>
        <v>19817.066666666666</v>
      </c>
      <c r="I348" s="6">
        <f t="shared" si="59"/>
        <v>11</v>
      </c>
      <c r="J348" s="77">
        <v>12</v>
      </c>
      <c r="K348" s="77">
        <v>3</v>
      </c>
      <c r="L348" s="6">
        <f>L338+L347</f>
        <v>11</v>
      </c>
      <c r="M348" s="6">
        <f t="shared" si="65"/>
        <v>7</v>
      </c>
      <c r="N348" s="78">
        <v>100</v>
      </c>
      <c r="O348">
        <f t="shared" si="61"/>
        <v>0.5</v>
      </c>
      <c r="P348" s="78">
        <v>50</v>
      </c>
      <c r="Q348">
        <f t="shared" si="62"/>
        <v>0.3</v>
      </c>
      <c r="R348" s="75">
        <v>15</v>
      </c>
      <c r="S348" s="6">
        <f t="shared" si="63"/>
        <v>0.15</v>
      </c>
    </row>
    <row r="349" spans="1:19" x14ac:dyDescent="0.25">
      <c r="A349" s="37" t="s">
        <v>65</v>
      </c>
      <c r="B349" s="6" t="s">
        <v>169</v>
      </c>
      <c r="C349" s="67">
        <v>44936.800000000003</v>
      </c>
      <c r="D349" s="6">
        <f>(C349/12)*12</f>
        <v>44936.800000000003</v>
      </c>
      <c r="E349" s="67">
        <v>23751.64</v>
      </c>
      <c r="F349" s="6">
        <f>SUM(E338:E349)</f>
        <v>45126.64</v>
      </c>
      <c r="G349" s="36" t="str">
        <f t="shared" si="60"/>
        <v>Farol Verde</v>
      </c>
      <c r="H349">
        <f t="shared" si="58"/>
        <v>0</v>
      </c>
      <c r="I349" s="6">
        <f t="shared" si="59"/>
        <v>12</v>
      </c>
      <c r="J349" s="75">
        <v>12</v>
      </c>
      <c r="K349" s="75">
        <v>6</v>
      </c>
      <c r="L349" s="6">
        <f>$L338+L348</f>
        <v>12</v>
      </c>
      <c r="M349" s="6">
        <f t="shared" si="65"/>
        <v>13</v>
      </c>
      <c r="N349" s="78">
        <v>100</v>
      </c>
      <c r="O349">
        <f t="shared" si="61"/>
        <v>0.5</v>
      </c>
      <c r="P349" s="78">
        <v>50</v>
      </c>
      <c r="Q349">
        <f t="shared" si="62"/>
        <v>0.3</v>
      </c>
      <c r="R349" s="75">
        <v>15</v>
      </c>
      <c r="S349" s="6">
        <f t="shared" si="63"/>
        <v>0.15</v>
      </c>
    </row>
    <row r="350" spans="1:19" x14ac:dyDescent="0.25">
      <c r="A350" s="37" t="s">
        <v>142</v>
      </c>
      <c r="B350" s="6" t="s">
        <v>158</v>
      </c>
      <c r="C350" s="67">
        <v>0</v>
      </c>
      <c r="D350" s="6">
        <f>(C350/12)*1</f>
        <v>0</v>
      </c>
      <c r="E350" s="67">
        <v>0</v>
      </c>
      <c r="F350" s="6">
        <f>E350</f>
        <v>0</v>
      </c>
      <c r="G350" s="36" t="str">
        <f t="shared" si="60"/>
        <v>Farol Amarelo</v>
      </c>
      <c r="H350">
        <f t="shared" si="58"/>
        <v>0</v>
      </c>
      <c r="I350" s="6">
        <f t="shared" si="59"/>
        <v>1</v>
      </c>
      <c r="J350" s="77">
        <v>0</v>
      </c>
      <c r="K350" s="77">
        <v>0</v>
      </c>
      <c r="L350" s="6">
        <f>J350/12</f>
        <v>0</v>
      </c>
      <c r="M350" s="6">
        <f>K350</f>
        <v>0</v>
      </c>
      <c r="N350" s="78">
        <v>100</v>
      </c>
      <c r="O350">
        <f t="shared" si="61"/>
        <v>0.5</v>
      </c>
      <c r="P350" s="78">
        <v>50</v>
      </c>
      <c r="Q350">
        <f t="shared" si="62"/>
        <v>0.3</v>
      </c>
      <c r="R350" s="75">
        <v>15</v>
      </c>
      <c r="S350" s="6">
        <f t="shared" si="63"/>
        <v>0.15</v>
      </c>
    </row>
    <row r="351" spans="1:19" x14ac:dyDescent="0.25">
      <c r="A351" s="37" t="s">
        <v>142</v>
      </c>
      <c r="B351" s="6" t="s">
        <v>159</v>
      </c>
      <c r="C351" s="67">
        <v>0</v>
      </c>
      <c r="D351" s="6">
        <f>(C351/12)*2</f>
        <v>0</v>
      </c>
      <c r="E351" s="67">
        <v>0</v>
      </c>
      <c r="F351" s="6">
        <f>SUM(E350:E351)</f>
        <v>0</v>
      </c>
      <c r="G351" s="36" t="str">
        <f t="shared" si="60"/>
        <v>Farol Amarelo</v>
      </c>
      <c r="H351">
        <f t="shared" si="58"/>
        <v>0</v>
      </c>
      <c r="I351" s="6">
        <f t="shared" si="59"/>
        <v>2</v>
      </c>
      <c r="J351" s="75">
        <v>0</v>
      </c>
      <c r="K351" s="75">
        <v>0</v>
      </c>
      <c r="L351" s="6">
        <f>L350+L350</f>
        <v>0</v>
      </c>
      <c r="M351" s="6">
        <f>M350+K351</f>
        <v>0</v>
      </c>
      <c r="N351" s="78">
        <v>100</v>
      </c>
      <c r="O351">
        <f t="shared" si="61"/>
        <v>0.5</v>
      </c>
      <c r="P351" s="78">
        <v>50</v>
      </c>
      <c r="Q351">
        <f t="shared" si="62"/>
        <v>0.3</v>
      </c>
      <c r="R351" s="75">
        <v>15</v>
      </c>
      <c r="S351" s="6">
        <f t="shared" si="63"/>
        <v>0.15</v>
      </c>
    </row>
    <row r="352" spans="1:19" x14ac:dyDescent="0.25">
      <c r="A352" s="37" t="s">
        <v>142</v>
      </c>
      <c r="B352" s="6" t="s">
        <v>160</v>
      </c>
      <c r="C352" s="67">
        <v>0</v>
      </c>
      <c r="D352" s="6">
        <f>(C352/12)*3</f>
        <v>0</v>
      </c>
      <c r="E352" s="67">
        <v>0</v>
      </c>
      <c r="F352" s="6">
        <f>SUM(E350:E352)</f>
        <v>0</v>
      </c>
      <c r="G352" s="36" t="str">
        <f t="shared" si="60"/>
        <v>Farol Amarelo</v>
      </c>
      <c r="H352">
        <f t="shared" si="58"/>
        <v>0</v>
      </c>
      <c r="I352" s="6">
        <f t="shared" si="59"/>
        <v>3</v>
      </c>
      <c r="J352" s="77">
        <v>0</v>
      </c>
      <c r="K352" s="77">
        <v>0</v>
      </c>
      <c r="L352" s="6">
        <f>$L350+L351</f>
        <v>0</v>
      </c>
      <c r="M352" s="6">
        <f t="shared" ref="M352:M361" si="66">M351+K352</f>
        <v>0</v>
      </c>
      <c r="N352" s="78">
        <v>100</v>
      </c>
      <c r="O352">
        <f t="shared" si="61"/>
        <v>0.5</v>
      </c>
      <c r="P352" s="78">
        <v>50</v>
      </c>
      <c r="Q352">
        <f t="shared" si="62"/>
        <v>0.3</v>
      </c>
      <c r="R352" s="75">
        <v>15</v>
      </c>
      <c r="S352" s="6">
        <f t="shared" si="63"/>
        <v>0.15</v>
      </c>
    </row>
    <row r="353" spans="1:19" x14ac:dyDescent="0.25">
      <c r="A353" s="37" t="s">
        <v>142</v>
      </c>
      <c r="B353" s="6" t="s">
        <v>161</v>
      </c>
      <c r="C353" s="67">
        <v>0</v>
      </c>
      <c r="D353" s="6">
        <f>(C353/12)*4</f>
        <v>0</v>
      </c>
      <c r="E353" s="67">
        <v>0</v>
      </c>
      <c r="F353" s="6">
        <f>SUM(E350:E353)</f>
        <v>0</v>
      </c>
      <c r="G353" s="36" t="str">
        <f t="shared" si="60"/>
        <v>Farol Amarelo</v>
      </c>
      <c r="H353">
        <f t="shared" si="58"/>
        <v>0</v>
      </c>
      <c r="I353" s="6">
        <f t="shared" si="59"/>
        <v>4</v>
      </c>
      <c r="J353" s="75">
        <v>0</v>
      </c>
      <c r="K353" s="75">
        <v>0</v>
      </c>
      <c r="L353" s="6">
        <f>$L350+L352</f>
        <v>0</v>
      </c>
      <c r="M353" s="6">
        <f t="shared" si="66"/>
        <v>0</v>
      </c>
      <c r="N353" s="78">
        <v>100</v>
      </c>
      <c r="O353">
        <f t="shared" si="61"/>
        <v>0.5</v>
      </c>
      <c r="P353" s="78">
        <v>50</v>
      </c>
      <c r="Q353">
        <f t="shared" si="62"/>
        <v>0.3</v>
      </c>
      <c r="R353" s="75">
        <v>15</v>
      </c>
      <c r="S353" s="6">
        <f t="shared" si="63"/>
        <v>0.15</v>
      </c>
    </row>
    <row r="354" spans="1:19" x14ac:dyDescent="0.25">
      <c r="A354" s="37" t="s">
        <v>142</v>
      </c>
      <c r="B354" s="6" t="s">
        <v>162</v>
      </c>
      <c r="C354" s="67">
        <v>0</v>
      </c>
      <c r="D354" s="6">
        <f>(C354/12)*5</f>
        <v>0</v>
      </c>
      <c r="E354" s="67">
        <v>0</v>
      </c>
      <c r="F354" s="6">
        <f>SUM(E350:E354)</f>
        <v>0</v>
      </c>
      <c r="G354" s="36" t="str">
        <f t="shared" si="60"/>
        <v>Farol Amarelo</v>
      </c>
      <c r="H354">
        <f t="shared" si="58"/>
        <v>0</v>
      </c>
      <c r="I354" s="6">
        <f t="shared" si="59"/>
        <v>5</v>
      </c>
      <c r="J354" s="77">
        <v>0</v>
      </c>
      <c r="K354" s="77">
        <v>0</v>
      </c>
      <c r="L354" s="6">
        <f>L350+L353</f>
        <v>0</v>
      </c>
      <c r="M354" s="6">
        <f t="shared" si="66"/>
        <v>0</v>
      </c>
      <c r="N354" s="78">
        <v>100</v>
      </c>
      <c r="O354">
        <f t="shared" si="61"/>
        <v>0.5</v>
      </c>
      <c r="P354" s="78">
        <v>50</v>
      </c>
      <c r="Q354">
        <f t="shared" si="62"/>
        <v>0.3</v>
      </c>
      <c r="R354" s="75">
        <v>15</v>
      </c>
      <c r="S354" s="6">
        <f t="shared" si="63"/>
        <v>0.15</v>
      </c>
    </row>
    <row r="355" spans="1:19" x14ac:dyDescent="0.25">
      <c r="A355" s="37" t="s">
        <v>142</v>
      </c>
      <c r="B355" s="6" t="s">
        <v>163</v>
      </c>
      <c r="C355" s="67">
        <v>0</v>
      </c>
      <c r="D355" s="6">
        <f>(C355/12)*6</f>
        <v>0</v>
      </c>
      <c r="E355" s="67">
        <v>0</v>
      </c>
      <c r="F355" s="6">
        <f>SUM(E350:E355)</f>
        <v>0</v>
      </c>
      <c r="G355" s="36" t="str">
        <f t="shared" si="60"/>
        <v>Farol Amarelo</v>
      </c>
      <c r="H355">
        <f t="shared" si="58"/>
        <v>0</v>
      </c>
      <c r="I355" s="6">
        <f t="shared" si="59"/>
        <v>6</v>
      </c>
      <c r="J355" s="75">
        <v>0</v>
      </c>
      <c r="K355" s="75">
        <v>0</v>
      </c>
      <c r="L355" s="6">
        <f>$L350+L354</f>
        <v>0</v>
      </c>
      <c r="M355" s="6">
        <f t="shared" si="66"/>
        <v>0</v>
      </c>
      <c r="N355" s="78">
        <v>100</v>
      </c>
      <c r="O355">
        <f t="shared" si="61"/>
        <v>0.5</v>
      </c>
      <c r="P355" s="78">
        <v>50</v>
      </c>
      <c r="Q355">
        <f t="shared" si="62"/>
        <v>0.3</v>
      </c>
      <c r="R355" s="75">
        <v>15</v>
      </c>
      <c r="S355" s="6">
        <f t="shared" si="63"/>
        <v>0.15</v>
      </c>
    </row>
    <row r="356" spans="1:19" x14ac:dyDescent="0.25">
      <c r="A356" s="37" t="s">
        <v>142</v>
      </c>
      <c r="B356" s="6" t="s">
        <v>164</v>
      </c>
      <c r="C356" s="67">
        <v>0</v>
      </c>
      <c r="D356" s="6">
        <f>(C356/12)*7</f>
        <v>0</v>
      </c>
      <c r="E356" s="67">
        <v>0</v>
      </c>
      <c r="F356" s="6">
        <f>SUM(E350:E356)</f>
        <v>0</v>
      </c>
      <c r="G356" s="36" t="str">
        <f t="shared" si="60"/>
        <v>Farol Amarelo</v>
      </c>
      <c r="H356">
        <f t="shared" si="58"/>
        <v>0</v>
      </c>
      <c r="I356" s="6">
        <f t="shared" si="59"/>
        <v>7</v>
      </c>
      <c r="J356" s="77">
        <v>0</v>
      </c>
      <c r="K356" s="77">
        <v>0</v>
      </c>
      <c r="L356" s="6">
        <f>$L350+L355</f>
        <v>0</v>
      </c>
      <c r="M356" s="6">
        <f t="shared" si="66"/>
        <v>0</v>
      </c>
      <c r="N356" s="78">
        <v>100</v>
      </c>
      <c r="O356">
        <f t="shared" si="61"/>
        <v>0.5</v>
      </c>
      <c r="P356" s="78">
        <v>50</v>
      </c>
      <c r="Q356">
        <f t="shared" si="62"/>
        <v>0.3</v>
      </c>
      <c r="R356" s="75">
        <v>15</v>
      </c>
      <c r="S356" s="6">
        <f t="shared" si="63"/>
        <v>0.15</v>
      </c>
    </row>
    <row r="357" spans="1:19" x14ac:dyDescent="0.25">
      <c r="A357" s="37" t="s">
        <v>142</v>
      </c>
      <c r="B357" s="6" t="s">
        <v>165</v>
      </c>
      <c r="C357" s="67">
        <v>0</v>
      </c>
      <c r="D357" s="6">
        <f>(C357/12)*8</f>
        <v>0</v>
      </c>
      <c r="E357" s="67">
        <v>0</v>
      </c>
      <c r="F357" s="6">
        <f>SUM(E350:E357)</f>
        <v>0</v>
      </c>
      <c r="G357" s="36" t="str">
        <f t="shared" si="60"/>
        <v>Farol Amarelo</v>
      </c>
      <c r="H357">
        <f t="shared" si="58"/>
        <v>0</v>
      </c>
      <c r="I357" s="6">
        <f t="shared" si="59"/>
        <v>8</v>
      </c>
      <c r="J357" s="75">
        <v>0</v>
      </c>
      <c r="K357" s="75">
        <v>0</v>
      </c>
      <c r="L357" s="6">
        <f>L350+L356</f>
        <v>0</v>
      </c>
      <c r="M357" s="6">
        <f t="shared" si="66"/>
        <v>0</v>
      </c>
      <c r="N357" s="78">
        <v>100</v>
      </c>
      <c r="O357">
        <f t="shared" si="61"/>
        <v>0.5</v>
      </c>
      <c r="P357" s="78">
        <v>50</v>
      </c>
      <c r="Q357">
        <f t="shared" si="62"/>
        <v>0.3</v>
      </c>
      <c r="R357" s="75">
        <v>15</v>
      </c>
      <c r="S357" s="6">
        <f t="shared" si="63"/>
        <v>0.15</v>
      </c>
    </row>
    <row r="358" spans="1:19" x14ac:dyDescent="0.25">
      <c r="A358" s="37" t="s">
        <v>142</v>
      </c>
      <c r="B358" s="6" t="s">
        <v>166</v>
      </c>
      <c r="C358" s="67">
        <v>0</v>
      </c>
      <c r="D358" s="6">
        <f>(C358/12)*9</f>
        <v>0</v>
      </c>
      <c r="E358" s="67">
        <v>0</v>
      </c>
      <c r="F358" s="6">
        <f>SUM(E350:E358)</f>
        <v>0</v>
      </c>
      <c r="G358" s="36" t="str">
        <f t="shared" si="60"/>
        <v>Farol Amarelo</v>
      </c>
      <c r="H358">
        <f t="shared" si="58"/>
        <v>0</v>
      </c>
      <c r="I358" s="6">
        <f t="shared" si="59"/>
        <v>9</v>
      </c>
      <c r="J358" s="77">
        <v>0</v>
      </c>
      <c r="K358" s="77">
        <v>0</v>
      </c>
      <c r="L358" s="6">
        <f>$L350+L357</f>
        <v>0</v>
      </c>
      <c r="M358" s="6">
        <f t="shared" si="66"/>
        <v>0</v>
      </c>
      <c r="N358" s="78">
        <v>100</v>
      </c>
      <c r="O358">
        <f t="shared" si="61"/>
        <v>0.5</v>
      </c>
      <c r="P358" s="78">
        <v>50</v>
      </c>
      <c r="Q358">
        <f t="shared" si="62"/>
        <v>0.3</v>
      </c>
      <c r="R358" s="75">
        <v>15</v>
      </c>
      <c r="S358" s="6">
        <f t="shared" si="63"/>
        <v>0.15</v>
      </c>
    </row>
    <row r="359" spans="1:19" x14ac:dyDescent="0.25">
      <c r="A359" s="37" t="s">
        <v>142</v>
      </c>
      <c r="B359" s="6" t="s">
        <v>167</v>
      </c>
      <c r="C359" s="67">
        <v>0</v>
      </c>
      <c r="D359" s="6">
        <f>(C359/12)*10</f>
        <v>0</v>
      </c>
      <c r="E359" s="67">
        <v>0</v>
      </c>
      <c r="F359" s="6">
        <f>SUM(E350:E359)</f>
        <v>0</v>
      </c>
      <c r="G359" s="36" t="str">
        <f t="shared" si="60"/>
        <v>Farol Amarelo</v>
      </c>
      <c r="H359">
        <f t="shared" si="58"/>
        <v>0</v>
      </c>
      <c r="I359" s="6">
        <f t="shared" si="59"/>
        <v>10</v>
      </c>
      <c r="J359" s="75">
        <v>0</v>
      </c>
      <c r="K359" s="75">
        <v>0</v>
      </c>
      <c r="L359" s="6">
        <f>$L350+L358</f>
        <v>0</v>
      </c>
      <c r="M359" s="6">
        <f t="shared" si="66"/>
        <v>0</v>
      </c>
      <c r="N359" s="78">
        <v>100</v>
      </c>
      <c r="O359">
        <f t="shared" si="61"/>
        <v>0.5</v>
      </c>
      <c r="P359" s="78">
        <v>50</v>
      </c>
      <c r="Q359">
        <f t="shared" si="62"/>
        <v>0.3</v>
      </c>
      <c r="R359" s="75">
        <v>15</v>
      </c>
      <c r="S359" s="6">
        <f t="shared" si="63"/>
        <v>0.15</v>
      </c>
    </row>
    <row r="360" spans="1:19" x14ac:dyDescent="0.25">
      <c r="A360" s="37" t="s">
        <v>142</v>
      </c>
      <c r="B360" s="6" t="s">
        <v>168</v>
      </c>
      <c r="C360" s="67">
        <v>0</v>
      </c>
      <c r="D360" s="6">
        <f>(C360/12)*11</f>
        <v>0</v>
      </c>
      <c r="E360" s="67">
        <v>0</v>
      </c>
      <c r="F360" s="6">
        <f>SUM(E350:E360)</f>
        <v>0</v>
      </c>
      <c r="G360" s="36" t="str">
        <f t="shared" si="60"/>
        <v>Farol Amarelo</v>
      </c>
      <c r="H360">
        <f t="shared" si="58"/>
        <v>0</v>
      </c>
      <c r="I360" s="6">
        <f t="shared" si="59"/>
        <v>11</v>
      </c>
      <c r="J360" s="77">
        <v>0</v>
      </c>
      <c r="K360" s="77">
        <v>0</v>
      </c>
      <c r="L360" s="6">
        <f>L350+L359</f>
        <v>0</v>
      </c>
      <c r="M360" s="6">
        <f t="shared" si="66"/>
        <v>0</v>
      </c>
      <c r="N360" s="78">
        <v>100</v>
      </c>
      <c r="O360">
        <f t="shared" si="61"/>
        <v>0.5</v>
      </c>
      <c r="P360" s="78">
        <v>50</v>
      </c>
      <c r="Q360">
        <f t="shared" si="62"/>
        <v>0.3</v>
      </c>
      <c r="R360" s="75">
        <v>15</v>
      </c>
      <c r="S360" s="6">
        <f t="shared" si="63"/>
        <v>0.15</v>
      </c>
    </row>
    <row r="361" spans="1:19" x14ac:dyDescent="0.25">
      <c r="A361" s="37" t="s">
        <v>142</v>
      </c>
      <c r="B361" s="6" t="s">
        <v>169</v>
      </c>
      <c r="C361" s="67">
        <v>0</v>
      </c>
      <c r="D361" s="6">
        <f>(C361/12)*12</f>
        <v>0</v>
      </c>
      <c r="E361" s="67">
        <v>0</v>
      </c>
      <c r="F361" s="6">
        <f>SUM(E350:E361)</f>
        <v>0</v>
      </c>
      <c r="G361" s="36" t="str">
        <f t="shared" si="60"/>
        <v>Farol Amarelo</v>
      </c>
      <c r="H361">
        <f t="shared" si="58"/>
        <v>0</v>
      </c>
      <c r="I361" s="6">
        <f t="shared" si="59"/>
        <v>12</v>
      </c>
      <c r="J361" s="75">
        <v>0</v>
      </c>
      <c r="K361" s="75">
        <v>0</v>
      </c>
      <c r="L361" s="6">
        <f>$L350+L360</f>
        <v>0</v>
      </c>
      <c r="M361" s="6">
        <f t="shared" si="66"/>
        <v>0</v>
      </c>
      <c r="N361" s="78">
        <v>100</v>
      </c>
      <c r="O361">
        <f t="shared" si="61"/>
        <v>0.5</v>
      </c>
      <c r="P361" s="78">
        <v>50</v>
      </c>
      <c r="Q361">
        <f t="shared" si="62"/>
        <v>0.3</v>
      </c>
      <c r="R361" s="75">
        <v>15</v>
      </c>
      <c r="S361" s="6">
        <f t="shared" si="63"/>
        <v>0.15</v>
      </c>
    </row>
    <row r="362" spans="1:19" x14ac:dyDescent="0.25">
      <c r="A362" s="37" t="s">
        <v>107</v>
      </c>
      <c r="B362" s="6" t="s">
        <v>158</v>
      </c>
      <c r="C362" s="67">
        <v>132641.13</v>
      </c>
      <c r="D362" s="6">
        <f>(C362/12)*1</f>
        <v>11053.4275</v>
      </c>
      <c r="E362" s="67">
        <v>11396.38</v>
      </c>
      <c r="F362" s="6">
        <f>E362</f>
        <v>11396.38</v>
      </c>
      <c r="G362" s="36" t="str">
        <f t="shared" si="60"/>
        <v>Farol Verde</v>
      </c>
      <c r="H362">
        <f t="shared" si="58"/>
        <v>0</v>
      </c>
      <c r="I362" s="6">
        <f t="shared" si="59"/>
        <v>1</v>
      </c>
      <c r="J362" s="77">
        <v>40</v>
      </c>
      <c r="K362" s="77">
        <v>4</v>
      </c>
      <c r="L362" s="6">
        <f>J362/12</f>
        <v>3.3333333333333335</v>
      </c>
      <c r="M362" s="6">
        <f>K362</f>
        <v>4</v>
      </c>
      <c r="N362" s="78">
        <v>100</v>
      </c>
      <c r="O362">
        <f t="shared" si="61"/>
        <v>0.5</v>
      </c>
      <c r="P362" s="78">
        <v>50</v>
      </c>
      <c r="Q362">
        <f t="shared" si="62"/>
        <v>0.3</v>
      </c>
      <c r="R362" s="75">
        <v>15</v>
      </c>
      <c r="S362" s="6">
        <f t="shared" si="63"/>
        <v>0.15</v>
      </c>
    </row>
    <row r="363" spans="1:19" x14ac:dyDescent="0.25">
      <c r="A363" s="37" t="s">
        <v>107</v>
      </c>
      <c r="B363" s="6" t="s">
        <v>159</v>
      </c>
      <c r="C363" s="67">
        <v>132641.13</v>
      </c>
      <c r="D363" s="6">
        <f>(C363/12)*2</f>
        <v>22106.855</v>
      </c>
      <c r="E363" s="67">
        <v>0</v>
      </c>
      <c r="F363" s="6">
        <f>SUM(E362:E363)</f>
        <v>11396.38</v>
      </c>
      <c r="G363" s="36" t="str">
        <f t="shared" si="60"/>
        <v>Farol Vermelho</v>
      </c>
      <c r="H363">
        <f t="shared" si="58"/>
        <v>10710.475</v>
      </c>
      <c r="I363" s="6">
        <f t="shared" si="59"/>
        <v>2</v>
      </c>
      <c r="J363" s="75">
        <v>40</v>
      </c>
      <c r="K363" s="75">
        <v>0</v>
      </c>
      <c r="L363" s="6">
        <f>L362+L362</f>
        <v>6.666666666666667</v>
      </c>
      <c r="M363" s="6">
        <f>M362+K363</f>
        <v>4</v>
      </c>
      <c r="N363" s="78">
        <v>100</v>
      </c>
      <c r="O363">
        <f t="shared" si="61"/>
        <v>0.5</v>
      </c>
      <c r="P363" s="78">
        <v>50</v>
      </c>
      <c r="Q363">
        <f t="shared" si="62"/>
        <v>0.3</v>
      </c>
      <c r="R363" s="75">
        <v>15</v>
      </c>
      <c r="S363" s="6">
        <f t="shared" si="63"/>
        <v>0.15</v>
      </c>
    </row>
    <row r="364" spans="1:19" x14ac:dyDescent="0.25">
      <c r="A364" s="37" t="s">
        <v>107</v>
      </c>
      <c r="B364" s="6" t="s">
        <v>160</v>
      </c>
      <c r="C364" s="67">
        <v>132641.13</v>
      </c>
      <c r="D364" s="6">
        <f>(C364/12)*3</f>
        <v>33160.282500000001</v>
      </c>
      <c r="E364" s="67">
        <v>0</v>
      </c>
      <c r="F364" s="6">
        <f>SUM(E362:E364)</f>
        <v>11396.38</v>
      </c>
      <c r="G364" s="36" t="str">
        <f t="shared" si="60"/>
        <v>Farol Vermelho</v>
      </c>
      <c r="H364">
        <f t="shared" si="58"/>
        <v>21763.902500000004</v>
      </c>
      <c r="I364" s="6">
        <f t="shared" si="59"/>
        <v>3</v>
      </c>
      <c r="J364" s="77">
        <v>40</v>
      </c>
      <c r="K364" s="77">
        <v>0</v>
      </c>
      <c r="L364" s="6">
        <f>$L362+L363</f>
        <v>10</v>
      </c>
      <c r="M364" s="6">
        <f t="shared" ref="M364:M373" si="67">M363+K364</f>
        <v>4</v>
      </c>
      <c r="N364" s="78">
        <v>100</v>
      </c>
      <c r="O364">
        <f t="shared" si="61"/>
        <v>0.5</v>
      </c>
      <c r="P364" s="78">
        <v>50</v>
      </c>
      <c r="Q364">
        <f t="shared" si="62"/>
        <v>0.3</v>
      </c>
      <c r="R364" s="75">
        <v>15</v>
      </c>
      <c r="S364" s="6">
        <f t="shared" si="63"/>
        <v>0.15</v>
      </c>
    </row>
    <row r="365" spans="1:19" x14ac:dyDescent="0.25">
      <c r="A365" s="37" t="s">
        <v>107</v>
      </c>
      <c r="B365" s="6" t="s">
        <v>161</v>
      </c>
      <c r="C365" s="67">
        <v>132641.13</v>
      </c>
      <c r="D365" s="6">
        <f>(C365/12)*4</f>
        <v>44213.71</v>
      </c>
      <c r="E365" s="67">
        <v>8500</v>
      </c>
      <c r="F365" s="6">
        <f>SUM(E362:E365)</f>
        <v>19896.379999999997</v>
      </c>
      <c r="G365" s="36" t="str">
        <f t="shared" si="60"/>
        <v>Farol Vermelho</v>
      </c>
      <c r="H365">
        <f t="shared" si="58"/>
        <v>24317.33</v>
      </c>
      <c r="I365" s="6">
        <f t="shared" si="59"/>
        <v>4</v>
      </c>
      <c r="J365" s="75">
        <v>40</v>
      </c>
      <c r="K365" s="75">
        <v>4</v>
      </c>
      <c r="L365" s="6">
        <f>$L362+L364</f>
        <v>13.333333333333334</v>
      </c>
      <c r="M365" s="6">
        <f t="shared" si="67"/>
        <v>8</v>
      </c>
      <c r="N365" s="78">
        <v>100</v>
      </c>
      <c r="O365">
        <f t="shared" si="61"/>
        <v>0.5</v>
      </c>
      <c r="P365" s="78">
        <v>50</v>
      </c>
      <c r="Q365">
        <f t="shared" si="62"/>
        <v>0.3</v>
      </c>
      <c r="R365" s="75">
        <v>15</v>
      </c>
      <c r="S365" s="6">
        <f t="shared" si="63"/>
        <v>0.15</v>
      </c>
    </row>
    <row r="366" spans="1:19" x14ac:dyDescent="0.25">
      <c r="A366" s="37" t="s">
        <v>107</v>
      </c>
      <c r="B366" s="6" t="s">
        <v>162</v>
      </c>
      <c r="C366" s="67">
        <v>132641.13</v>
      </c>
      <c r="D366" s="6">
        <f>(C366/12)*5</f>
        <v>55267.137499999997</v>
      </c>
      <c r="E366" s="67">
        <v>5100</v>
      </c>
      <c r="F366" s="6">
        <f>SUM(E362:E366)</f>
        <v>24996.379999999997</v>
      </c>
      <c r="G366" s="36" t="str">
        <f t="shared" si="60"/>
        <v>Farol Vermelho</v>
      </c>
      <c r="H366">
        <f t="shared" si="58"/>
        <v>30270.7575</v>
      </c>
      <c r="I366" s="6">
        <f t="shared" si="59"/>
        <v>5</v>
      </c>
      <c r="J366" s="77">
        <v>40</v>
      </c>
      <c r="K366" s="77">
        <v>2</v>
      </c>
      <c r="L366" s="6">
        <f>L362+L365</f>
        <v>16.666666666666668</v>
      </c>
      <c r="M366" s="6">
        <f t="shared" si="67"/>
        <v>10</v>
      </c>
      <c r="N366" s="78">
        <v>100</v>
      </c>
      <c r="O366">
        <f t="shared" si="61"/>
        <v>0.5</v>
      </c>
      <c r="P366" s="78">
        <v>50</v>
      </c>
      <c r="Q366">
        <f t="shared" si="62"/>
        <v>0.3</v>
      </c>
      <c r="R366" s="75">
        <v>15</v>
      </c>
      <c r="S366" s="6">
        <f t="shared" si="63"/>
        <v>0.15</v>
      </c>
    </row>
    <row r="367" spans="1:19" x14ac:dyDescent="0.25">
      <c r="A367" s="37" t="s">
        <v>107</v>
      </c>
      <c r="B367" s="6" t="s">
        <v>163</v>
      </c>
      <c r="C367" s="67">
        <v>132641.13</v>
      </c>
      <c r="D367" s="6">
        <f>(C367/12)*6</f>
        <v>66320.565000000002</v>
      </c>
      <c r="E367" s="67">
        <v>20137.439999999999</v>
      </c>
      <c r="F367" s="6">
        <f>SUM(E362:E367)</f>
        <v>45133.819999999992</v>
      </c>
      <c r="G367" s="36" t="str">
        <f t="shared" si="60"/>
        <v>Farol Vermelho</v>
      </c>
      <c r="H367">
        <f t="shared" si="58"/>
        <v>21186.74500000001</v>
      </c>
      <c r="I367" s="6">
        <f t="shared" si="59"/>
        <v>6</v>
      </c>
      <c r="J367" s="75">
        <v>40</v>
      </c>
      <c r="K367" s="75">
        <v>5</v>
      </c>
      <c r="L367" s="6">
        <f>$L362+L366</f>
        <v>20</v>
      </c>
      <c r="M367" s="6">
        <f t="shared" si="67"/>
        <v>15</v>
      </c>
      <c r="N367" s="78">
        <v>100</v>
      </c>
      <c r="O367">
        <f t="shared" si="61"/>
        <v>0.5</v>
      </c>
      <c r="P367" s="78">
        <v>50</v>
      </c>
      <c r="Q367">
        <f t="shared" si="62"/>
        <v>0.3</v>
      </c>
      <c r="R367" s="75">
        <v>15</v>
      </c>
      <c r="S367" s="6">
        <f t="shared" si="63"/>
        <v>0.15</v>
      </c>
    </row>
    <row r="368" spans="1:19" x14ac:dyDescent="0.25">
      <c r="A368" s="37" t="s">
        <v>107</v>
      </c>
      <c r="B368" s="6" t="s">
        <v>164</v>
      </c>
      <c r="C368" s="67">
        <v>132641.13</v>
      </c>
      <c r="D368" s="6">
        <f>(C368/12)*7</f>
        <v>77373.992499999993</v>
      </c>
      <c r="E368" s="67">
        <v>5050.2</v>
      </c>
      <c r="F368" s="6">
        <f>SUM(E362:E368)</f>
        <v>50184.01999999999</v>
      </c>
      <c r="G368" s="36" t="str">
        <f t="shared" si="60"/>
        <v>Farol Vermelho</v>
      </c>
      <c r="H368">
        <f t="shared" si="58"/>
        <v>27189.972500000003</v>
      </c>
      <c r="I368" s="6">
        <f t="shared" si="59"/>
        <v>7</v>
      </c>
      <c r="J368" s="77">
        <v>40</v>
      </c>
      <c r="K368" s="77">
        <v>2</v>
      </c>
      <c r="L368" s="6">
        <f>$L362+L367</f>
        <v>23.333333333333332</v>
      </c>
      <c r="M368" s="6">
        <f t="shared" si="67"/>
        <v>17</v>
      </c>
      <c r="N368" s="78">
        <v>100</v>
      </c>
      <c r="O368">
        <f t="shared" si="61"/>
        <v>0.5</v>
      </c>
      <c r="P368" s="78">
        <v>50</v>
      </c>
      <c r="Q368">
        <f t="shared" si="62"/>
        <v>0.3</v>
      </c>
      <c r="R368" s="75">
        <v>15</v>
      </c>
      <c r="S368" s="6">
        <f t="shared" si="63"/>
        <v>0.15</v>
      </c>
    </row>
    <row r="369" spans="1:19" x14ac:dyDescent="0.25">
      <c r="A369" s="37" t="s">
        <v>107</v>
      </c>
      <c r="B369" s="6" t="s">
        <v>165</v>
      </c>
      <c r="C369" s="67">
        <v>132641.13</v>
      </c>
      <c r="D369" s="6">
        <f>(C369/12)*8</f>
        <v>88427.42</v>
      </c>
      <c r="E369" s="67">
        <v>14475</v>
      </c>
      <c r="F369" s="6">
        <f>SUM(E362:E369)</f>
        <v>64659.01999999999</v>
      </c>
      <c r="G369" s="36" t="str">
        <f t="shared" si="60"/>
        <v>Farol Vermelho</v>
      </c>
      <c r="H369">
        <f t="shared" si="58"/>
        <v>23768.400000000009</v>
      </c>
      <c r="I369" s="6">
        <f t="shared" si="59"/>
        <v>8</v>
      </c>
      <c r="J369" s="75">
        <v>40</v>
      </c>
      <c r="K369" s="75">
        <v>4</v>
      </c>
      <c r="L369" s="6">
        <f>L362+L368</f>
        <v>26.666666666666664</v>
      </c>
      <c r="M369" s="6">
        <f t="shared" si="67"/>
        <v>21</v>
      </c>
      <c r="N369" s="78">
        <v>100</v>
      </c>
      <c r="O369">
        <f t="shared" si="61"/>
        <v>0.5</v>
      </c>
      <c r="P369" s="78">
        <v>50</v>
      </c>
      <c r="Q369">
        <f t="shared" si="62"/>
        <v>0.3</v>
      </c>
      <c r="R369" s="75">
        <v>15</v>
      </c>
      <c r="S369" s="6">
        <f t="shared" si="63"/>
        <v>0.15</v>
      </c>
    </row>
    <row r="370" spans="1:19" x14ac:dyDescent="0.25">
      <c r="A370" s="37" t="s">
        <v>107</v>
      </c>
      <c r="B370" s="6" t="s">
        <v>166</v>
      </c>
      <c r="C370" s="67">
        <v>132641.13</v>
      </c>
      <c r="D370" s="6">
        <f>(C370/12)*9</f>
        <v>99480.847500000003</v>
      </c>
      <c r="E370" s="67">
        <v>5000.57</v>
      </c>
      <c r="F370" s="6">
        <f>SUM(E362:E370)</f>
        <v>69659.59</v>
      </c>
      <c r="G370" s="36" t="str">
        <f t="shared" si="60"/>
        <v>Farol Vermelho</v>
      </c>
      <c r="H370">
        <f t="shared" si="58"/>
        <v>29821.257500000007</v>
      </c>
      <c r="I370" s="6">
        <f t="shared" si="59"/>
        <v>9</v>
      </c>
      <c r="J370" s="77">
        <v>40</v>
      </c>
      <c r="K370" s="77">
        <v>3</v>
      </c>
      <c r="L370" s="6">
        <f>$L362+L369</f>
        <v>29.999999999999996</v>
      </c>
      <c r="M370" s="6">
        <f t="shared" si="67"/>
        <v>24</v>
      </c>
      <c r="N370" s="78">
        <v>100</v>
      </c>
      <c r="O370">
        <f t="shared" si="61"/>
        <v>0.5</v>
      </c>
      <c r="P370" s="78">
        <v>50</v>
      </c>
      <c r="Q370">
        <f t="shared" si="62"/>
        <v>0.3</v>
      </c>
      <c r="R370" s="75">
        <v>15</v>
      </c>
      <c r="S370" s="6">
        <f t="shared" si="63"/>
        <v>0.15</v>
      </c>
    </row>
    <row r="371" spans="1:19" x14ac:dyDescent="0.25">
      <c r="A371" s="37" t="s">
        <v>107</v>
      </c>
      <c r="B371" s="6" t="s">
        <v>167</v>
      </c>
      <c r="C371" s="67">
        <v>132641.13</v>
      </c>
      <c r="D371" s="6">
        <f>(C371/12)*10</f>
        <v>110534.27499999999</v>
      </c>
      <c r="E371" s="67">
        <v>14000.57</v>
      </c>
      <c r="F371" s="6">
        <f>SUM(E362:E371)</f>
        <v>83660.160000000003</v>
      </c>
      <c r="G371" s="36" t="str">
        <f t="shared" si="60"/>
        <v>Farol Vermelho</v>
      </c>
      <c r="H371">
        <f t="shared" si="58"/>
        <v>26874.114999999991</v>
      </c>
      <c r="I371" s="6">
        <f t="shared" si="59"/>
        <v>10</v>
      </c>
      <c r="J371" s="75">
        <v>40</v>
      </c>
      <c r="K371" s="75">
        <v>5</v>
      </c>
      <c r="L371" s="6">
        <f>$L362+L370</f>
        <v>33.333333333333329</v>
      </c>
      <c r="M371" s="6">
        <f t="shared" si="67"/>
        <v>29</v>
      </c>
      <c r="N371" s="78">
        <v>100</v>
      </c>
      <c r="O371">
        <f t="shared" si="61"/>
        <v>0.5</v>
      </c>
      <c r="P371" s="78">
        <v>50</v>
      </c>
      <c r="Q371">
        <f t="shared" si="62"/>
        <v>0.3</v>
      </c>
      <c r="R371" s="75">
        <v>15</v>
      </c>
      <c r="S371" s="6">
        <f t="shared" si="63"/>
        <v>0.15</v>
      </c>
    </row>
    <row r="372" spans="1:19" x14ac:dyDescent="0.25">
      <c r="A372" s="37" t="s">
        <v>107</v>
      </c>
      <c r="B372" s="6" t="s">
        <v>168</v>
      </c>
      <c r="C372" s="67">
        <v>132641.13</v>
      </c>
      <c r="D372" s="6">
        <f>(C372/12)*11</f>
        <v>121587.7025</v>
      </c>
      <c r="E372" s="67">
        <v>20041.2</v>
      </c>
      <c r="F372" s="6">
        <f>SUM(E362:E372)</f>
        <v>103701.36</v>
      </c>
      <c r="G372" s="36" t="str">
        <f t="shared" si="60"/>
        <v>Farol Amarelo</v>
      </c>
      <c r="H372">
        <f t="shared" si="58"/>
        <v>17886.342499999999</v>
      </c>
      <c r="I372" s="6">
        <f t="shared" si="59"/>
        <v>11</v>
      </c>
      <c r="J372" s="77">
        <v>40</v>
      </c>
      <c r="K372" s="77">
        <v>8</v>
      </c>
      <c r="L372" s="6">
        <f>L362+L371</f>
        <v>36.666666666666664</v>
      </c>
      <c r="M372" s="6">
        <f t="shared" si="67"/>
        <v>37</v>
      </c>
      <c r="N372" s="78">
        <v>100</v>
      </c>
      <c r="O372">
        <f t="shared" si="61"/>
        <v>0.5</v>
      </c>
      <c r="P372" s="78">
        <v>50</v>
      </c>
      <c r="Q372">
        <f t="shared" si="62"/>
        <v>0.3</v>
      </c>
      <c r="R372" s="75">
        <v>15</v>
      </c>
      <c r="S372" s="6">
        <f t="shared" si="63"/>
        <v>0.15</v>
      </c>
    </row>
    <row r="373" spans="1:19" x14ac:dyDescent="0.25">
      <c r="A373" s="37" t="s">
        <v>107</v>
      </c>
      <c r="B373" s="6" t="s">
        <v>169</v>
      </c>
      <c r="C373" s="67">
        <v>132641.13</v>
      </c>
      <c r="D373" s="6">
        <f>(C373/12)*12</f>
        <v>132641.13</v>
      </c>
      <c r="E373" s="67">
        <v>34227.21</v>
      </c>
      <c r="F373" s="6">
        <f>SUM(E362:E373)</f>
        <v>137928.57</v>
      </c>
      <c r="G373" s="36" t="str">
        <f t="shared" si="60"/>
        <v>Farol Verde</v>
      </c>
      <c r="H373">
        <f t="shared" si="58"/>
        <v>0</v>
      </c>
      <c r="I373" s="6">
        <f t="shared" si="59"/>
        <v>12</v>
      </c>
      <c r="J373" s="75">
        <v>40</v>
      </c>
      <c r="K373" s="75">
        <v>15</v>
      </c>
      <c r="L373" s="6">
        <f>$L362+L372</f>
        <v>40</v>
      </c>
      <c r="M373" s="6">
        <f t="shared" si="67"/>
        <v>52</v>
      </c>
      <c r="N373" s="78">
        <v>100</v>
      </c>
      <c r="O373">
        <f t="shared" si="61"/>
        <v>0.5</v>
      </c>
      <c r="P373" s="78">
        <v>50</v>
      </c>
      <c r="Q373">
        <f t="shared" si="62"/>
        <v>0.3</v>
      </c>
      <c r="R373" s="75">
        <v>15</v>
      </c>
      <c r="S373" s="6">
        <f t="shared" si="63"/>
        <v>0.15</v>
      </c>
    </row>
    <row r="374" spans="1:19" x14ac:dyDescent="0.25">
      <c r="A374" s="37" t="s">
        <v>89</v>
      </c>
      <c r="B374" s="6" t="s">
        <v>158</v>
      </c>
      <c r="C374" s="67">
        <v>0</v>
      </c>
      <c r="D374" s="6">
        <f>(C374/12)*1</f>
        <v>0</v>
      </c>
      <c r="E374" s="67">
        <v>0</v>
      </c>
      <c r="F374" s="6">
        <f>E374</f>
        <v>0</v>
      </c>
      <c r="G374" s="36" t="str">
        <f t="shared" si="60"/>
        <v>Farol Amarelo</v>
      </c>
      <c r="H374">
        <f t="shared" si="58"/>
        <v>0</v>
      </c>
      <c r="I374" s="6">
        <f t="shared" si="59"/>
        <v>1</v>
      </c>
      <c r="J374" s="77">
        <v>0</v>
      </c>
      <c r="K374" s="77">
        <v>0</v>
      </c>
      <c r="L374" s="6">
        <f>J374/12</f>
        <v>0</v>
      </c>
      <c r="M374" s="6">
        <f>K374</f>
        <v>0</v>
      </c>
      <c r="N374" s="78">
        <v>100</v>
      </c>
      <c r="O374">
        <f t="shared" si="61"/>
        <v>0.5</v>
      </c>
      <c r="P374" s="78">
        <v>50</v>
      </c>
      <c r="Q374">
        <f t="shared" si="62"/>
        <v>0.3</v>
      </c>
      <c r="R374" s="75">
        <v>15</v>
      </c>
      <c r="S374" s="6">
        <f t="shared" si="63"/>
        <v>0.15</v>
      </c>
    </row>
    <row r="375" spans="1:19" x14ac:dyDescent="0.25">
      <c r="A375" s="37" t="s">
        <v>89</v>
      </c>
      <c r="B375" s="6" t="s">
        <v>159</v>
      </c>
      <c r="C375" s="67">
        <v>0</v>
      </c>
      <c r="D375" s="6">
        <f>(C375/12)*2</f>
        <v>0</v>
      </c>
      <c r="E375" s="67">
        <v>0</v>
      </c>
      <c r="F375" s="6">
        <f>SUM(E374:E375)</f>
        <v>0</v>
      </c>
      <c r="G375" s="36" t="str">
        <f t="shared" si="60"/>
        <v>Farol Amarelo</v>
      </c>
      <c r="H375">
        <f t="shared" si="58"/>
        <v>0</v>
      </c>
      <c r="I375" s="6">
        <f t="shared" si="59"/>
        <v>2</v>
      </c>
      <c r="J375" s="75">
        <v>0</v>
      </c>
      <c r="K375" s="75">
        <v>0</v>
      </c>
      <c r="L375" s="6">
        <f>L374+L374</f>
        <v>0</v>
      </c>
      <c r="M375" s="6">
        <f>M374+K375</f>
        <v>0</v>
      </c>
      <c r="N375" s="78">
        <v>100</v>
      </c>
      <c r="O375">
        <f t="shared" si="61"/>
        <v>0.5</v>
      </c>
      <c r="P375" s="78">
        <v>50</v>
      </c>
      <c r="Q375">
        <f t="shared" si="62"/>
        <v>0.3</v>
      </c>
      <c r="R375" s="75">
        <v>15</v>
      </c>
      <c r="S375" s="6">
        <f t="shared" si="63"/>
        <v>0.15</v>
      </c>
    </row>
    <row r="376" spans="1:19" x14ac:dyDescent="0.25">
      <c r="A376" s="37" t="s">
        <v>89</v>
      </c>
      <c r="B376" s="6" t="s">
        <v>160</v>
      </c>
      <c r="C376" s="67">
        <v>0</v>
      </c>
      <c r="D376" s="6">
        <f>(C376/12)*3</f>
        <v>0</v>
      </c>
      <c r="E376" s="67">
        <v>0</v>
      </c>
      <c r="F376" s="6">
        <f>SUM(E374:E376)</f>
        <v>0</v>
      </c>
      <c r="G376" s="36" t="str">
        <f t="shared" si="60"/>
        <v>Farol Amarelo</v>
      </c>
      <c r="H376">
        <f t="shared" si="58"/>
        <v>0</v>
      </c>
      <c r="I376" s="6">
        <f t="shared" si="59"/>
        <v>3</v>
      </c>
      <c r="J376" s="77">
        <v>0</v>
      </c>
      <c r="K376" s="77">
        <v>0</v>
      </c>
      <c r="L376" s="6">
        <f>$L374+L375</f>
        <v>0</v>
      </c>
      <c r="M376" s="6">
        <f t="shared" ref="M376:M385" si="68">M375+K376</f>
        <v>0</v>
      </c>
      <c r="N376" s="78">
        <v>100</v>
      </c>
      <c r="O376">
        <f t="shared" si="61"/>
        <v>0.5</v>
      </c>
      <c r="P376" s="78">
        <v>50</v>
      </c>
      <c r="Q376">
        <f t="shared" si="62"/>
        <v>0.3</v>
      </c>
      <c r="R376" s="75">
        <v>15</v>
      </c>
      <c r="S376" s="6">
        <f t="shared" si="63"/>
        <v>0.15</v>
      </c>
    </row>
    <row r="377" spans="1:19" x14ac:dyDescent="0.25">
      <c r="A377" s="37" t="s">
        <v>89</v>
      </c>
      <c r="B377" s="6" t="s">
        <v>161</v>
      </c>
      <c r="C377" s="67">
        <v>0</v>
      </c>
      <c r="D377" s="6">
        <f>(C377/12)*4</f>
        <v>0</v>
      </c>
      <c r="E377" s="67">
        <v>0</v>
      </c>
      <c r="F377" s="6">
        <f>SUM(E374:E377)</f>
        <v>0</v>
      </c>
      <c r="G377" s="36" t="str">
        <f t="shared" si="60"/>
        <v>Farol Amarelo</v>
      </c>
      <c r="H377">
        <f t="shared" si="58"/>
        <v>0</v>
      </c>
      <c r="I377" s="6">
        <f t="shared" si="59"/>
        <v>4</v>
      </c>
      <c r="J377" s="75">
        <v>0</v>
      </c>
      <c r="K377" s="75">
        <v>0</v>
      </c>
      <c r="L377" s="6">
        <f>$L374+L376</f>
        <v>0</v>
      </c>
      <c r="M377" s="6">
        <f t="shared" si="68"/>
        <v>0</v>
      </c>
      <c r="N377" s="78">
        <v>100</v>
      </c>
      <c r="O377">
        <f t="shared" si="61"/>
        <v>0.5</v>
      </c>
      <c r="P377" s="78">
        <v>50</v>
      </c>
      <c r="Q377">
        <f t="shared" si="62"/>
        <v>0.3</v>
      </c>
      <c r="R377" s="75">
        <v>15</v>
      </c>
      <c r="S377" s="6">
        <f t="shared" si="63"/>
        <v>0.15</v>
      </c>
    </row>
    <row r="378" spans="1:19" x14ac:dyDescent="0.25">
      <c r="A378" s="37" t="s">
        <v>89</v>
      </c>
      <c r="B378" s="6" t="s">
        <v>162</v>
      </c>
      <c r="C378" s="67">
        <v>0</v>
      </c>
      <c r="D378" s="6">
        <f>(C378/12)*5</f>
        <v>0</v>
      </c>
      <c r="E378" s="67">
        <v>0</v>
      </c>
      <c r="F378" s="6">
        <f>SUM(E374:E378)</f>
        <v>0</v>
      </c>
      <c r="G378" s="36" t="str">
        <f t="shared" si="60"/>
        <v>Farol Amarelo</v>
      </c>
      <c r="H378">
        <f t="shared" si="58"/>
        <v>0</v>
      </c>
      <c r="I378" s="6">
        <f t="shared" si="59"/>
        <v>5</v>
      </c>
      <c r="J378" s="77">
        <v>0</v>
      </c>
      <c r="K378" s="77">
        <v>0</v>
      </c>
      <c r="L378" s="6">
        <f>L374+L377</f>
        <v>0</v>
      </c>
      <c r="M378" s="6">
        <f t="shared" si="68"/>
        <v>0</v>
      </c>
      <c r="N378" s="78">
        <v>100</v>
      </c>
      <c r="O378">
        <f t="shared" si="61"/>
        <v>0.5</v>
      </c>
      <c r="P378" s="78">
        <v>50</v>
      </c>
      <c r="Q378">
        <f t="shared" si="62"/>
        <v>0.3</v>
      </c>
      <c r="R378" s="75">
        <v>15</v>
      </c>
      <c r="S378" s="6">
        <f t="shared" si="63"/>
        <v>0.15</v>
      </c>
    </row>
    <row r="379" spans="1:19" x14ac:dyDescent="0.25">
      <c r="A379" s="37" t="s">
        <v>89</v>
      </c>
      <c r="B379" s="6" t="s">
        <v>163</v>
      </c>
      <c r="C379" s="67">
        <v>0</v>
      </c>
      <c r="D379" s="6">
        <f>(C379/12)*6</f>
        <v>0</v>
      </c>
      <c r="E379" s="67">
        <v>0</v>
      </c>
      <c r="F379" s="6">
        <f>SUM(E374:E379)</f>
        <v>0</v>
      </c>
      <c r="G379" s="36" t="str">
        <f t="shared" si="60"/>
        <v>Farol Amarelo</v>
      </c>
      <c r="H379">
        <f t="shared" si="58"/>
        <v>0</v>
      </c>
      <c r="I379" s="6">
        <f t="shared" si="59"/>
        <v>6</v>
      </c>
      <c r="J379" s="75">
        <v>0</v>
      </c>
      <c r="K379" s="75">
        <v>0</v>
      </c>
      <c r="L379" s="6">
        <f>$L374+L378</f>
        <v>0</v>
      </c>
      <c r="M379" s="6">
        <f t="shared" si="68"/>
        <v>0</v>
      </c>
      <c r="N379" s="78">
        <v>100</v>
      </c>
      <c r="O379">
        <f t="shared" si="61"/>
        <v>0.5</v>
      </c>
      <c r="P379" s="78">
        <v>50</v>
      </c>
      <c r="Q379">
        <f t="shared" si="62"/>
        <v>0.3</v>
      </c>
      <c r="R379" s="75">
        <v>15</v>
      </c>
      <c r="S379" s="6">
        <f t="shared" si="63"/>
        <v>0.15</v>
      </c>
    </row>
    <row r="380" spans="1:19" x14ac:dyDescent="0.25">
      <c r="A380" s="37" t="s">
        <v>89</v>
      </c>
      <c r="B380" s="6" t="s">
        <v>164</v>
      </c>
      <c r="C380" s="67">
        <v>0</v>
      </c>
      <c r="D380" s="6">
        <f>(C380/12)*7</f>
        <v>0</v>
      </c>
      <c r="E380" s="67">
        <v>0</v>
      </c>
      <c r="F380" s="6">
        <f>SUM(E374:E380)</f>
        <v>0</v>
      </c>
      <c r="G380" s="36" t="str">
        <f t="shared" si="60"/>
        <v>Farol Amarelo</v>
      </c>
      <c r="H380">
        <f t="shared" si="58"/>
        <v>0</v>
      </c>
      <c r="I380" s="6">
        <f t="shared" si="59"/>
        <v>7</v>
      </c>
      <c r="J380" s="77">
        <v>0</v>
      </c>
      <c r="K380" s="77">
        <v>0</v>
      </c>
      <c r="L380" s="6">
        <f>$L374+L379</f>
        <v>0</v>
      </c>
      <c r="M380" s="6">
        <f t="shared" si="68"/>
        <v>0</v>
      </c>
      <c r="N380" s="78">
        <v>100</v>
      </c>
      <c r="O380">
        <f t="shared" si="61"/>
        <v>0.5</v>
      </c>
      <c r="P380" s="78">
        <v>50</v>
      </c>
      <c r="Q380">
        <f t="shared" si="62"/>
        <v>0.3</v>
      </c>
      <c r="R380" s="75">
        <v>15</v>
      </c>
      <c r="S380" s="6">
        <f t="shared" si="63"/>
        <v>0.15</v>
      </c>
    </row>
    <row r="381" spans="1:19" x14ac:dyDescent="0.25">
      <c r="A381" s="37" t="s">
        <v>89</v>
      </c>
      <c r="B381" s="6" t="s">
        <v>165</v>
      </c>
      <c r="C381" s="67">
        <v>0</v>
      </c>
      <c r="D381" s="6">
        <f>(C381/12)*8</f>
        <v>0</v>
      </c>
      <c r="E381" s="67">
        <v>0</v>
      </c>
      <c r="F381" s="6">
        <f>SUM(E374:E381)</f>
        <v>0</v>
      </c>
      <c r="G381" s="36" t="str">
        <f t="shared" si="60"/>
        <v>Farol Amarelo</v>
      </c>
      <c r="H381">
        <f t="shared" si="58"/>
        <v>0</v>
      </c>
      <c r="I381" s="6">
        <f t="shared" si="59"/>
        <v>8</v>
      </c>
      <c r="J381" s="75">
        <v>0</v>
      </c>
      <c r="K381" s="75">
        <v>0</v>
      </c>
      <c r="L381" s="6">
        <f>L374+L380</f>
        <v>0</v>
      </c>
      <c r="M381" s="6">
        <f t="shared" si="68"/>
        <v>0</v>
      </c>
      <c r="N381" s="78">
        <v>100</v>
      </c>
      <c r="O381">
        <f t="shared" si="61"/>
        <v>0.5</v>
      </c>
      <c r="P381" s="78">
        <v>50</v>
      </c>
      <c r="Q381">
        <f t="shared" si="62"/>
        <v>0.3</v>
      </c>
      <c r="R381" s="75">
        <v>15</v>
      </c>
      <c r="S381" s="6">
        <f t="shared" si="63"/>
        <v>0.15</v>
      </c>
    </row>
    <row r="382" spans="1:19" x14ac:dyDescent="0.25">
      <c r="A382" s="37" t="s">
        <v>89</v>
      </c>
      <c r="B382" s="6" t="s">
        <v>166</v>
      </c>
      <c r="C382" s="67">
        <v>0</v>
      </c>
      <c r="D382" s="6">
        <f>(C382/12)*9</f>
        <v>0</v>
      </c>
      <c r="E382" s="67">
        <v>355</v>
      </c>
      <c r="F382" s="6">
        <f>SUM(E374:E382)</f>
        <v>355</v>
      </c>
      <c r="G382" s="36" t="str">
        <f t="shared" si="60"/>
        <v>Farol Verde</v>
      </c>
      <c r="H382">
        <f t="shared" si="58"/>
        <v>0</v>
      </c>
      <c r="I382" s="6">
        <f t="shared" si="59"/>
        <v>9</v>
      </c>
      <c r="J382" s="77">
        <v>0</v>
      </c>
      <c r="K382" s="77">
        <v>3</v>
      </c>
      <c r="L382" s="6">
        <f>$L374+L381</f>
        <v>0</v>
      </c>
      <c r="M382" s="6">
        <f t="shared" si="68"/>
        <v>3</v>
      </c>
      <c r="N382" s="78">
        <v>100</v>
      </c>
      <c r="O382">
        <f t="shared" si="61"/>
        <v>0.5</v>
      </c>
      <c r="P382" s="78">
        <v>50</v>
      </c>
      <c r="Q382">
        <f t="shared" si="62"/>
        <v>0.3</v>
      </c>
      <c r="R382" s="75">
        <v>15</v>
      </c>
      <c r="S382" s="6">
        <f t="shared" si="63"/>
        <v>0.15</v>
      </c>
    </row>
    <row r="383" spans="1:19" x14ac:dyDescent="0.25">
      <c r="A383" s="37" t="s">
        <v>89</v>
      </c>
      <c r="B383" s="6" t="s">
        <v>167</v>
      </c>
      <c r="C383" s="67">
        <v>0</v>
      </c>
      <c r="D383" s="6">
        <f>(C383/12)*10</f>
        <v>0</v>
      </c>
      <c r="E383" s="67">
        <v>200</v>
      </c>
      <c r="F383" s="6">
        <f>SUM(E374:E383)</f>
        <v>555</v>
      </c>
      <c r="G383" s="36" t="str">
        <f t="shared" si="60"/>
        <v>Farol Verde</v>
      </c>
      <c r="H383">
        <f t="shared" si="58"/>
        <v>0</v>
      </c>
      <c r="I383" s="6">
        <f t="shared" si="59"/>
        <v>10</v>
      </c>
      <c r="J383" s="75">
        <v>0</v>
      </c>
      <c r="K383" s="75">
        <v>1</v>
      </c>
      <c r="L383" s="6">
        <f>$L374+L382</f>
        <v>0</v>
      </c>
      <c r="M383" s="6">
        <f t="shared" si="68"/>
        <v>4</v>
      </c>
      <c r="N383" s="78">
        <v>100</v>
      </c>
      <c r="O383">
        <f t="shared" si="61"/>
        <v>0.5</v>
      </c>
      <c r="P383" s="78">
        <v>50</v>
      </c>
      <c r="Q383">
        <f t="shared" si="62"/>
        <v>0.3</v>
      </c>
      <c r="R383" s="75">
        <v>15</v>
      </c>
      <c r="S383" s="6">
        <f t="shared" si="63"/>
        <v>0.15</v>
      </c>
    </row>
    <row r="384" spans="1:19" x14ac:dyDescent="0.25">
      <c r="A384" s="37" t="s">
        <v>89</v>
      </c>
      <c r="B384" s="6" t="s">
        <v>168</v>
      </c>
      <c r="C384" s="67">
        <v>0</v>
      </c>
      <c r="D384" s="6">
        <f>(C384/12)*11</f>
        <v>0</v>
      </c>
      <c r="E384" s="67">
        <v>3240</v>
      </c>
      <c r="F384" s="6">
        <f>SUM(E374:E384)</f>
        <v>3795</v>
      </c>
      <c r="G384" s="36" t="str">
        <f t="shared" si="60"/>
        <v>Farol Verde</v>
      </c>
      <c r="H384">
        <f t="shared" si="58"/>
        <v>0</v>
      </c>
      <c r="I384" s="6">
        <f t="shared" si="59"/>
        <v>11</v>
      </c>
      <c r="J384" s="77">
        <v>0</v>
      </c>
      <c r="K384" s="77">
        <v>7</v>
      </c>
      <c r="L384" s="6">
        <f>L374+L383</f>
        <v>0</v>
      </c>
      <c r="M384" s="6">
        <f t="shared" si="68"/>
        <v>11</v>
      </c>
      <c r="N384" s="78">
        <v>100</v>
      </c>
      <c r="O384">
        <f t="shared" si="61"/>
        <v>0.5</v>
      </c>
      <c r="P384" s="78">
        <v>50</v>
      </c>
      <c r="Q384">
        <f t="shared" si="62"/>
        <v>0.3</v>
      </c>
      <c r="R384" s="75">
        <v>15</v>
      </c>
      <c r="S384" s="6">
        <f t="shared" si="63"/>
        <v>0.15</v>
      </c>
    </row>
    <row r="385" spans="1:19" x14ac:dyDescent="0.25">
      <c r="A385" s="37" t="s">
        <v>89</v>
      </c>
      <c r="B385" s="6" t="s">
        <v>169</v>
      </c>
      <c r="C385" s="67">
        <v>0</v>
      </c>
      <c r="D385" s="6">
        <f>(C385/12)*12</f>
        <v>0</v>
      </c>
      <c r="E385" s="67">
        <v>200</v>
      </c>
      <c r="F385" s="6">
        <f>SUM(E374:E385)</f>
        <v>3995</v>
      </c>
      <c r="G385" s="36" t="str">
        <f t="shared" si="60"/>
        <v>Farol Verde</v>
      </c>
      <c r="H385">
        <f t="shared" si="58"/>
        <v>0</v>
      </c>
      <c r="I385" s="6">
        <f t="shared" si="59"/>
        <v>12</v>
      </c>
      <c r="J385" s="75">
        <v>0</v>
      </c>
      <c r="K385" s="75">
        <v>2</v>
      </c>
      <c r="L385" s="6">
        <f>$L374+L384</f>
        <v>0</v>
      </c>
      <c r="M385" s="6">
        <f t="shared" si="68"/>
        <v>13</v>
      </c>
      <c r="N385" s="78">
        <v>100</v>
      </c>
      <c r="O385">
        <f t="shared" si="61"/>
        <v>0.5</v>
      </c>
      <c r="P385" s="78">
        <v>50</v>
      </c>
      <c r="Q385">
        <f t="shared" si="62"/>
        <v>0.3</v>
      </c>
      <c r="R385" s="75">
        <v>15</v>
      </c>
      <c r="S385" s="6">
        <f t="shared" si="63"/>
        <v>0.15</v>
      </c>
    </row>
    <row r="386" spans="1:19" x14ac:dyDescent="0.25">
      <c r="A386" s="37" t="s">
        <v>127</v>
      </c>
      <c r="B386" s="6" t="s">
        <v>158</v>
      </c>
      <c r="C386" s="67">
        <v>48000</v>
      </c>
      <c r="D386" s="6">
        <f>(C386/12)*1</f>
        <v>4000</v>
      </c>
      <c r="E386" s="67">
        <v>135500</v>
      </c>
      <c r="F386" s="6">
        <f>E386</f>
        <v>135500</v>
      </c>
      <c r="G386" s="36" t="str">
        <f t="shared" si="60"/>
        <v>Farol Verde</v>
      </c>
      <c r="H386">
        <f t="shared" ref="H386:H449" si="69">IF(D386-F386&lt;0,0,D386-F386)</f>
        <v>0</v>
      </c>
      <c r="I386" s="6">
        <f t="shared" ref="I386:I449" si="70">_xlfn.IFS(B386="Janeiro",1,B386="Fevereiro",2,B386="Março",3,B386="Abril",4,B386="Maio",5,B386="Junho",6,B386="Julho",7,B386="Agosto",8,B386="Setembro",9,B386="Outubro",10,B386="Novembro",11,B386="Dezembro",12,TRUE,0)</f>
        <v>1</v>
      </c>
      <c r="J386" s="77">
        <v>10</v>
      </c>
      <c r="K386" s="77">
        <v>5</v>
      </c>
      <c r="L386" s="6">
        <f>J386/12</f>
        <v>0.83333333333333337</v>
      </c>
      <c r="M386" s="6">
        <f>K386</f>
        <v>5</v>
      </c>
      <c r="N386" s="78">
        <v>100</v>
      </c>
      <c r="O386">
        <f t="shared" si="61"/>
        <v>0.5</v>
      </c>
      <c r="P386" s="78">
        <v>50</v>
      </c>
      <c r="Q386">
        <f t="shared" si="62"/>
        <v>0.3</v>
      </c>
      <c r="R386" s="75">
        <v>15</v>
      </c>
      <c r="S386" s="6">
        <f t="shared" si="63"/>
        <v>0.15</v>
      </c>
    </row>
    <row r="387" spans="1:19" x14ac:dyDescent="0.25">
      <c r="A387" s="37" t="s">
        <v>127</v>
      </c>
      <c r="B387" s="6" t="s">
        <v>159</v>
      </c>
      <c r="C387" s="67">
        <v>48000</v>
      </c>
      <c r="D387" s="6">
        <f>(C387/12)*2</f>
        <v>8000</v>
      </c>
      <c r="E387" s="67">
        <v>0</v>
      </c>
      <c r="F387" s="6">
        <f>SUM(E386:E387)</f>
        <v>135500</v>
      </c>
      <c r="G387" s="36" t="str">
        <f t="shared" ref="G387:G450" si="71">_xlfn.IFS(F387&gt;D387,"Farol Verde",F387&gt;=D387*0.85,"Farol Amarelo",F387&lt;D387*0.85,"Farol Vermelho","Verdadeiro",0)</f>
        <v>Farol Verde</v>
      </c>
      <c r="H387">
        <f t="shared" si="69"/>
        <v>0</v>
      </c>
      <c r="I387" s="6">
        <f t="shared" si="70"/>
        <v>2</v>
      </c>
      <c r="J387" s="75">
        <v>10</v>
      </c>
      <c r="K387" s="75">
        <v>0</v>
      </c>
      <c r="L387" s="6">
        <f>L386+L386</f>
        <v>1.6666666666666667</v>
      </c>
      <c r="M387" s="6">
        <f>M386+K387</f>
        <v>5</v>
      </c>
      <c r="N387" s="78">
        <v>100</v>
      </c>
      <c r="O387">
        <f t="shared" ref="O387:O450" si="72">P387/N387</f>
        <v>0.5</v>
      </c>
      <c r="P387" s="78">
        <v>50</v>
      </c>
      <c r="Q387">
        <f t="shared" ref="Q387:Q450" si="73">R387/P387</f>
        <v>0.3</v>
      </c>
      <c r="R387" s="75">
        <v>15</v>
      </c>
      <c r="S387" s="6">
        <f t="shared" ref="S387:S450" si="74">R387/N387</f>
        <v>0.15</v>
      </c>
    </row>
    <row r="388" spans="1:19" x14ac:dyDescent="0.25">
      <c r="A388" s="37" t="s">
        <v>127</v>
      </c>
      <c r="B388" s="6" t="s">
        <v>160</v>
      </c>
      <c r="C388" s="67">
        <v>48000</v>
      </c>
      <c r="D388" s="6">
        <f>(C388/12)*3</f>
        <v>12000</v>
      </c>
      <c r="E388" s="67">
        <v>0</v>
      </c>
      <c r="F388" s="6">
        <f>SUM(E386:E388)</f>
        <v>135500</v>
      </c>
      <c r="G388" s="36" t="str">
        <f t="shared" si="71"/>
        <v>Farol Verde</v>
      </c>
      <c r="H388">
        <f t="shared" si="69"/>
        <v>0</v>
      </c>
      <c r="I388" s="6">
        <f t="shared" si="70"/>
        <v>3</v>
      </c>
      <c r="J388" s="77">
        <v>10</v>
      </c>
      <c r="K388" s="77">
        <v>0</v>
      </c>
      <c r="L388" s="6">
        <f>$L386+L387</f>
        <v>2.5</v>
      </c>
      <c r="M388" s="6">
        <f t="shared" ref="M388:M397" si="75">M387+K388</f>
        <v>5</v>
      </c>
      <c r="N388" s="78">
        <v>100</v>
      </c>
      <c r="O388">
        <f t="shared" si="72"/>
        <v>0.5</v>
      </c>
      <c r="P388" s="78">
        <v>50</v>
      </c>
      <c r="Q388">
        <f t="shared" si="73"/>
        <v>0.3</v>
      </c>
      <c r="R388" s="75">
        <v>15</v>
      </c>
      <c r="S388" s="6">
        <f t="shared" si="74"/>
        <v>0.15</v>
      </c>
    </row>
    <row r="389" spans="1:19" x14ac:dyDescent="0.25">
      <c r="A389" s="37" t="s">
        <v>127</v>
      </c>
      <c r="B389" s="6" t="s">
        <v>161</v>
      </c>
      <c r="C389" s="67">
        <v>48000</v>
      </c>
      <c r="D389" s="6">
        <f>(C389/12)*4</f>
        <v>16000</v>
      </c>
      <c r="E389" s="67">
        <v>17500</v>
      </c>
      <c r="F389" s="6">
        <f>SUM(E386:E389)</f>
        <v>153000</v>
      </c>
      <c r="G389" s="36" t="str">
        <f t="shared" si="71"/>
        <v>Farol Verde</v>
      </c>
      <c r="H389">
        <f t="shared" si="69"/>
        <v>0</v>
      </c>
      <c r="I389" s="6">
        <f t="shared" si="70"/>
        <v>4</v>
      </c>
      <c r="J389" s="75">
        <v>10</v>
      </c>
      <c r="K389" s="75">
        <v>4</v>
      </c>
      <c r="L389" s="6">
        <f>$L386+L388</f>
        <v>3.3333333333333335</v>
      </c>
      <c r="M389" s="6">
        <f t="shared" si="75"/>
        <v>9</v>
      </c>
      <c r="N389" s="78">
        <v>100</v>
      </c>
      <c r="O389">
        <f t="shared" si="72"/>
        <v>0.5</v>
      </c>
      <c r="P389" s="78">
        <v>50</v>
      </c>
      <c r="Q389">
        <f t="shared" si="73"/>
        <v>0.3</v>
      </c>
      <c r="R389" s="75">
        <v>15</v>
      </c>
      <c r="S389" s="6">
        <f t="shared" si="74"/>
        <v>0.15</v>
      </c>
    </row>
    <row r="390" spans="1:19" x14ac:dyDescent="0.25">
      <c r="A390" s="37" t="s">
        <v>127</v>
      </c>
      <c r="B390" s="6" t="s">
        <v>162</v>
      </c>
      <c r="C390" s="67">
        <v>48000</v>
      </c>
      <c r="D390" s="6">
        <f>(C390/12)*5</f>
        <v>20000</v>
      </c>
      <c r="E390" s="67">
        <v>0</v>
      </c>
      <c r="F390" s="6">
        <f>SUM(E386:E390)</f>
        <v>153000</v>
      </c>
      <c r="G390" s="36" t="str">
        <f t="shared" si="71"/>
        <v>Farol Verde</v>
      </c>
      <c r="H390">
        <f t="shared" si="69"/>
        <v>0</v>
      </c>
      <c r="I390" s="6">
        <f t="shared" si="70"/>
        <v>5</v>
      </c>
      <c r="J390" s="77">
        <v>10</v>
      </c>
      <c r="K390" s="77">
        <v>0</v>
      </c>
      <c r="L390" s="6">
        <f>L386+L389</f>
        <v>4.166666666666667</v>
      </c>
      <c r="M390" s="6">
        <f t="shared" si="75"/>
        <v>9</v>
      </c>
      <c r="N390" s="78">
        <v>100</v>
      </c>
      <c r="O390">
        <f t="shared" si="72"/>
        <v>0.5</v>
      </c>
      <c r="P390" s="78">
        <v>50</v>
      </c>
      <c r="Q390">
        <f t="shared" si="73"/>
        <v>0.3</v>
      </c>
      <c r="R390" s="75">
        <v>15</v>
      </c>
      <c r="S390" s="6">
        <f t="shared" si="74"/>
        <v>0.15</v>
      </c>
    </row>
    <row r="391" spans="1:19" x14ac:dyDescent="0.25">
      <c r="A391" s="37" t="s">
        <v>127</v>
      </c>
      <c r="B391" s="6" t="s">
        <v>163</v>
      </c>
      <c r="C391" s="67">
        <v>48000</v>
      </c>
      <c r="D391" s="6">
        <f>(C391/12)*6</f>
        <v>24000</v>
      </c>
      <c r="E391" s="67">
        <v>1100</v>
      </c>
      <c r="F391" s="6">
        <f>SUM(E386:E391)</f>
        <v>154100</v>
      </c>
      <c r="G391" s="36" t="str">
        <f t="shared" si="71"/>
        <v>Farol Verde</v>
      </c>
      <c r="H391">
        <f t="shared" si="69"/>
        <v>0</v>
      </c>
      <c r="I391" s="6">
        <f t="shared" si="70"/>
        <v>6</v>
      </c>
      <c r="J391" s="75">
        <v>10</v>
      </c>
      <c r="K391" s="75">
        <v>1</v>
      </c>
      <c r="L391" s="6">
        <f>$L386+L390</f>
        <v>5</v>
      </c>
      <c r="M391" s="6">
        <f t="shared" si="75"/>
        <v>10</v>
      </c>
      <c r="N391" s="78">
        <v>100</v>
      </c>
      <c r="O391">
        <f t="shared" si="72"/>
        <v>0.5</v>
      </c>
      <c r="P391" s="78">
        <v>50</v>
      </c>
      <c r="Q391">
        <f t="shared" si="73"/>
        <v>0.3</v>
      </c>
      <c r="R391" s="75">
        <v>15</v>
      </c>
      <c r="S391" s="6">
        <f t="shared" si="74"/>
        <v>0.15</v>
      </c>
    </row>
    <row r="392" spans="1:19" x14ac:dyDescent="0.25">
      <c r="A392" s="37" t="s">
        <v>127</v>
      </c>
      <c r="B392" s="6" t="s">
        <v>164</v>
      </c>
      <c r="C392" s="67">
        <v>48000</v>
      </c>
      <c r="D392" s="6">
        <f>(C392/12)*7</f>
        <v>28000</v>
      </c>
      <c r="E392" s="67">
        <v>0</v>
      </c>
      <c r="F392" s="6">
        <f>SUM(E386:E392)</f>
        <v>154100</v>
      </c>
      <c r="G392" s="36" t="str">
        <f t="shared" si="71"/>
        <v>Farol Verde</v>
      </c>
      <c r="H392">
        <f t="shared" si="69"/>
        <v>0</v>
      </c>
      <c r="I392" s="6">
        <f t="shared" si="70"/>
        <v>7</v>
      </c>
      <c r="J392" s="77">
        <v>10</v>
      </c>
      <c r="K392" s="77">
        <v>0</v>
      </c>
      <c r="L392" s="6">
        <f>$L386+L391</f>
        <v>5.833333333333333</v>
      </c>
      <c r="M392" s="6">
        <f t="shared" si="75"/>
        <v>10</v>
      </c>
      <c r="N392" s="78">
        <v>100</v>
      </c>
      <c r="O392">
        <f t="shared" si="72"/>
        <v>0.5</v>
      </c>
      <c r="P392" s="78">
        <v>50</v>
      </c>
      <c r="Q392">
        <f t="shared" si="73"/>
        <v>0.3</v>
      </c>
      <c r="R392" s="75">
        <v>15</v>
      </c>
      <c r="S392" s="6">
        <f t="shared" si="74"/>
        <v>0.15</v>
      </c>
    </row>
    <row r="393" spans="1:19" x14ac:dyDescent="0.25">
      <c r="A393" s="37" t="s">
        <v>127</v>
      </c>
      <c r="B393" s="6" t="s">
        <v>165</v>
      </c>
      <c r="C393" s="67">
        <v>48000</v>
      </c>
      <c r="D393" s="6">
        <f>(C393/12)*8</f>
        <v>32000</v>
      </c>
      <c r="E393" s="67">
        <v>2800</v>
      </c>
      <c r="F393" s="6">
        <f>SUM(E386:E393)</f>
        <v>156900</v>
      </c>
      <c r="G393" s="36" t="str">
        <f t="shared" si="71"/>
        <v>Farol Verde</v>
      </c>
      <c r="H393">
        <f t="shared" si="69"/>
        <v>0</v>
      </c>
      <c r="I393" s="6">
        <f t="shared" si="70"/>
        <v>8</v>
      </c>
      <c r="J393" s="75">
        <v>10</v>
      </c>
      <c r="K393" s="75">
        <v>1</v>
      </c>
      <c r="L393" s="6">
        <f>L386+L392</f>
        <v>6.6666666666666661</v>
      </c>
      <c r="M393" s="6">
        <f t="shared" si="75"/>
        <v>11</v>
      </c>
      <c r="N393" s="78">
        <v>100</v>
      </c>
      <c r="O393">
        <f t="shared" si="72"/>
        <v>0.5</v>
      </c>
      <c r="P393" s="78">
        <v>50</v>
      </c>
      <c r="Q393">
        <f t="shared" si="73"/>
        <v>0.3</v>
      </c>
      <c r="R393" s="75">
        <v>15</v>
      </c>
      <c r="S393" s="6">
        <f t="shared" si="74"/>
        <v>0.15</v>
      </c>
    </row>
    <row r="394" spans="1:19" x14ac:dyDescent="0.25">
      <c r="A394" s="37" t="s">
        <v>127</v>
      </c>
      <c r="B394" s="6" t="s">
        <v>166</v>
      </c>
      <c r="C394" s="67">
        <v>48000</v>
      </c>
      <c r="D394" s="6">
        <f>(C394/12)*9</f>
        <v>36000</v>
      </c>
      <c r="E394" s="67">
        <v>0</v>
      </c>
      <c r="F394" s="6">
        <f>SUM(E386:E394)</f>
        <v>156900</v>
      </c>
      <c r="G394" s="36" t="str">
        <f t="shared" si="71"/>
        <v>Farol Verde</v>
      </c>
      <c r="H394">
        <f t="shared" si="69"/>
        <v>0</v>
      </c>
      <c r="I394" s="6">
        <f t="shared" si="70"/>
        <v>9</v>
      </c>
      <c r="J394" s="77">
        <v>10</v>
      </c>
      <c r="K394" s="77">
        <v>0</v>
      </c>
      <c r="L394" s="6">
        <f>$L386+L393</f>
        <v>7.4999999999999991</v>
      </c>
      <c r="M394" s="6">
        <f t="shared" si="75"/>
        <v>11</v>
      </c>
      <c r="N394" s="78">
        <v>100</v>
      </c>
      <c r="O394">
        <f t="shared" si="72"/>
        <v>0.5</v>
      </c>
      <c r="P394" s="78">
        <v>50</v>
      </c>
      <c r="Q394">
        <f t="shared" si="73"/>
        <v>0.3</v>
      </c>
      <c r="R394" s="75">
        <v>15</v>
      </c>
      <c r="S394" s="6">
        <f t="shared" si="74"/>
        <v>0.15</v>
      </c>
    </row>
    <row r="395" spans="1:19" x14ac:dyDescent="0.25">
      <c r="A395" s="37" t="s">
        <v>127</v>
      </c>
      <c r="B395" s="6" t="s">
        <v>167</v>
      </c>
      <c r="C395" s="67">
        <v>48000</v>
      </c>
      <c r="D395" s="6">
        <f>(C395/12)*10</f>
        <v>40000</v>
      </c>
      <c r="E395" s="67">
        <v>0</v>
      </c>
      <c r="F395" s="6">
        <f>SUM(E386:E395)</f>
        <v>156900</v>
      </c>
      <c r="G395" s="36" t="str">
        <f t="shared" si="71"/>
        <v>Farol Verde</v>
      </c>
      <c r="H395">
        <f t="shared" si="69"/>
        <v>0</v>
      </c>
      <c r="I395" s="6">
        <f t="shared" si="70"/>
        <v>10</v>
      </c>
      <c r="J395" s="75">
        <v>10</v>
      </c>
      <c r="K395" s="75">
        <v>0</v>
      </c>
      <c r="L395" s="6">
        <f>$L386+L394</f>
        <v>8.3333333333333321</v>
      </c>
      <c r="M395" s="6">
        <f t="shared" si="75"/>
        <v>11</v>
      </c>
      <c r="N395" s="78">
        <v>100</v>
      </c>
      <c r="O395">
        <f t="shared" si="72"/>
        <v>0.5</v>
      </c>
      <c r="P395" s="78">
        <v>50</v>
      </c>
      <c r="Q395">
        <f t="shared" si="73"/>
        <v>0.3</v>
      </c>
      <c r="R395" s="75">
        <v>15</v>
      </c>
      <c r="S395" s="6">
        <f t="shared" si="74"/>
        <v>0.15</v>
      </c>
    </row>
    <row r="396" spans="1:19" x14ac:dyDescent="0.25">
      <c r="A396" s="37" t="s">
        <v>127</v>
      </c>
      <c r="B396" s="6" t="s">
        <v>168</v>
      </c>
      <c r="C396" s="67">
        <v>48000</v>
      </c>
      <c r="D396" s="6">
        <f>(C396/12)*11</f>
        <v>44000</v>
      </c>
      <c r="E396" s="67">
        <v>0</v>
      </c>
      <c r="F396" s="6">
        <f>SUM(E386:E396)</f>
        <v>156900</v>
      </c>
      <c r="G396" s="36" t="str">
        <f t="shared" si="71"/>
        <v>Farol Verde</v>
      </c>
      <c r="H396">
        <f t="shared" si="69"/>
        <v>0</v>
      </c>
      <c r="I396" s="6">
        <f t="shared" si="70"/>
        <v>11</v>
      </c>
      <c r="J396" s="77">
        <v>10</v>
      </c>
      <c r="K396" s="77">
        <v>0</v>
      </c>
      <c r="L396" s="6">
        <f>L386+L395</f>
        <v>9.1666666666666661</v>
      </c>
      <c r="M396" s="6">
        <f t="shared" si="75"/>
        <v>11</v>
      </c>
      <c r="N396" s="78">
        <v>100</v>
      </c>
      <c r="O396">
        <f t="shared" si="72"/>
        <v>0.5</v>
      </c>
      <c r="P396" s="78">
        <v>50</v>
      </c>
      <c r="Q396">
        <f t="shared" si="73"/>
        <v>0.3</v>
      </c>
      <c r="R396" s="75">
        <v>15</v>
      </c>
      <c r="S396" s="6">
        <f t="shared" si="74"/>
        <v>0.15</v>
      </c>
    </row>
    <row r="397" spans="1:19" x14ac:dyDescent="0.25">
      <c r="A397" s="37" t="s">
        <v>127</v>
      </c>
      <c r="B397" s="6" t="s">
        <v>169</v>
      </c>
      <c r="C397" s="67">
        <v>48000</v>
      </c>
      <c r="D397" s="6">
        <f>(C397/12)*12</f>
        <v>48000</v>
      </c>
      <c r="E397" s="67">
        <v>4149.95</v>
      </c>
      <c r="F397" s="6">
        <f>SUM(E386:E397)</f>
        <v>161049.95000000001</v>
      </c>
      <c r="G397" s="36" t="str">
        <f t="shared" si="71"/>
        <v>Farol Verde</v>
      </c>
      <c r="H397">
        <f t="shared" si="69"/>
        <v>0</v>
      </c>
      <c r="I397" s="6">
        <f t="shared" si="70"/>
        <v>12</v>
      </c>
      <c r="J397" s="75">
        <v>10</v>
      </c>
      <c r="K397" s="75">
        <v>2</v>
      </c>
      <c r="L397" s="6">
        <f>$L386+L396</f>
        <v>10</v>
      </c>
      <c r="M397" s="6">
        <f t="shared" si="75"/>
        <v>13</v>
      </c>
      <c r="N397" s="78">
        <v>100</v>
      </c>
      <c r="O397">
        <f t="shared" si="72"/>
        <v>0.5</v>
      </c>
      <c r="P397" s="78">
        <v>50</v>
      </c>
      <c r="Q397">
        <f t="shared" si="73"/>
        <v>0.3</v>
      </c>
      <c r="R397" s="75">
        <v>15</v>
      </c>
      <c r="S397" s="6">
        <f t="shared" si="74"/>
        <v>0.15</v>
      </c>
    </row>
    <row r="398" spans="1:19" x14ac:dyDescent="0.25">
      <c r="A398" s="37" t="s">
        <v>122</v>
      </c>
      <c r="B398" s="6" t="s">
        <v>158</v>
      </c>
      <c r="C398" s="67">
        <v>35000</v>
      </c>
      <c r="D398" s="6">
        <f>(C398/12)*1</f>
        <v>2916.6666666666665</v>
      </c>
      <c r="E398" s="67">
        <v>0</v>
      </c>
      <c r="F398" s="6">
        <f>E398</f>
        <v>0</v>
      </c>
      <c r="G398" s="36" t="str">
        <f t="shared" si="71"/>
        <v>Farol Vermelho</v>
      </c>
      <c r="H398">
        <f t="shared" si="69"/>
        <v>2916.6666666666665</v>
      </c>
      <c r="I398" s="6">
        <f t="shared" si="70"/>
        <v>1</v>
      </c>
      <c r="J398" s="77">
        <v>14</v>
      </c>
      <c r="K398" s="77">
        <v>0</v>
      </c>
      <c r="L398" s="6">
        <f>J398/12</f>
        <v>1.1666666666666667</v>
      </c>
      <c r="M398" s="6">
        <f>K398</f>
        <v>0</v>
      </c>
      <c r="N398" s="78">
        <v>100</v>
      </c>
      <c r="O398">
        <f t="shared" si="72"/>
        <v>0.5</v>
      </c>
      <c r="P398" s="78">
        <v>50</v>
      </c>
      <c r="Q398">
        <f t="shared" si="73"/>
        <v>0.3</v>
      </c>
      <c r="R398" s="75">
        <v>15</v>
      </c>
      <c r="S398" s="6">
        <f t="shared" si="74"/>
        <v>0.15</v>
      </c>
    </row>
    <row r="399" spans="1:19" x14ac:dyDescent="0.25">
      <c r="A399" s="37" t="s">
        <v>122</v>
      </c>
      <c r="B399" s="6" t="s">
        <v>159</v>
      </c>
      <c r="C399" s="67">
        <v>35000</v>
      </c>
      <c r="D399" s="6">
        <f>(C399/12)*2</f>
        <v>5833.333333333333</v>
      </c>
      <c r="E399" s="67">
        <v>0</v>
      </c>
      <c r="F399" s="6">
        <f>SUM(E398:E399)</f>
        <v>0</v>
      </c>
      <c r="G399" s="36" t="str">
        <f t="shared" si="71"/>
        <v>Farol Vermelho</v>
      </c>
      <c r="H399">
        <f t="shared" si="69"/>
        <v>5833.333333333333</v>
      </c>
      <c r="I399" s="6">
        <f t="shared" si="70"/>
        <v>2</v>
      </c>
      <c r="J399" s="75">
        <v>14</v>
      </c>
      <c r="K399" s="75">
        <v>0</v>
      </c>
      <c r="L399" s="6">
        <f>L398+L398</f>
        <v>2.3333333333333335</v>
      </c>
      <c r="M399" s="6">
        <f>M398+K399</f>
        <v>0</v>
      </c>
      <c r="N399" s="78">
        <v>100</v>
      </c>
      <c r="O399">
        <f t="shared" si="72"/>
        <v>0.5</v>
      </c>
      <c r="P399" s="78">
        <v>50</v>
      </c>
      <c r="Q399">
        <f t="shared" si="73"/>
        <v>0.3</v>
      </c>
      <c r="R399" s="75">
        <v>15</v>
      </c>
      <c r="S399" s="6">
        <f t="shared" si="74"/>
        <v>0.15</v>
      </c>
    </row>
    <row r="400" spans="1:19" x14ac:dyDescent="0.25">
      <c r="A400" s="37" t="s">
        <v>122</v>
      </c>
      <c r="B400" s="6" t="s">
        <v>160</v>
      </c>
      <c r="C400" s="67">
        <v>35000</v>
      </c>
      <c r="D400" s="6">
        <f>(C400/12)*3</f>
        <v>8750</v>
      </c>
      <c r="E400" s="67">
        <v>0</v>
      </c>
      <c r="F400" s="6">
        <f>SUM(E398:E400)</f>
        <v>0</v>
      </c>
      <c r="G400" s="36" t="str">
        <f t="shared" si="71"/>
        <v>Farol Vermelho</v>
      </c>
      <c r="H400">
        <f t="shared" si="69"/>
        <v>8750</v>
      </c>
      <c r="I400" s="6">
        <f t="shared" si="70"/>
        <v>3</v>
      </c>
      <c r="J400" s="77">
        <v>14</v>
      </c>
      <c r="K400" s="77">
        <v>0</v>
      </c>
      <c r="L400" s="6">
        <f>$L398+L399</f>
        <v>3.5</v>
      </c>
      <c r="M400" s="6">
        <f t="shared" ref="M400:M409" si="76">M399+K400</f>
        <v>0</v>
      </c>
      <c r="N400" s="78">
        <v>100</v>
      </c>
      <c r="O400">
        <f t="shared" si="72"/>
        <v>0.5</v>
      </c>
      <c r="P400" s="78">
        <v>50</v>
      </c>
      <c r="Q400">
        <f t="shared" si="73"/>
        <v>0.3</v>
      </c>
      <c r="R400" s="75">
        <v>15</v>
      </c>
      <c r="S400" s="6">
        <f t="shared" si="74"/>
        <v>0.15</v>
      </c>
    </row>
    <row r="401" spans="1:19" x14ac:dyDescent="0.25">
      <c r="A401" s="37" t="s">
        <v>122</v>
      </c>
      <c r="B401" s="6" t="s">
        <v>161</v>
      </c>
      <c r="C401" s="67">
        <v>35000</v>
      </c>
      <c r="D401" s="6">
        <f>(C401/12)*4</f>
        <v>11666.666666666666</v>
      </c>
      <c r="E401" s="67">
        <v>9032</v>
      </c>
      <c r="F401" s="6">
        <f>SUM(E398:E401)</f>
        <v>9032</v>
      </c>
      <c r="G401" s="36" t="str">
        <f t="shared" si="71"/>
        <v>Farol Vermelho</v>
      </c>
      <c r="H401">
        <f t="shared" si="69"/>
        <v>2634.6666666666661</v>
      </c>
      <c r="I401" s="6">
        <f t="shared" si="70"/>
        <v>4</v>
      </c>
      <c r="J401" s="75">
        <v>14</v>
      </c>
      <c r="K401" s="75">
        <v>3</v>
      </c>
      <c r="L401" s="6">
        <f>$L398+L400</f>
        <v>4.666666666666667</v>
      </c>
      <c r="M401" s="6">
        <f t="shared" si="76"/>
        <v>3</v>
      </c>
      <c r="N401" s="78">
        <v>100</v>
      </c>
      <c r="O401">
        <f t="shared" si="72"/>
        <v>0.5</v>
      </c>
      <c r="P401" s="78">
        <v>50</v>
      </c>
      <c r="Q401">
        <f t="shared" si="73"/>
        <v>0.3</v>
      </c>
      <c r="R401" s="75">
        <v>15</v>
      </c>
      <c r="S401" s="6">
        <f t="shared" si="74"/>
        <v>0.15</v>
      </c>
    </row>
    <row r="402" spans="1:19" x14ac:dyDescent="0.25">
      <c r="A402" s="37" t="s">
        <v>122</v>
      </c>
      <c r="B402" s="6" t="s">
        <v>162</v>
      </c>
      <c r="C402" s="67">
        <v>35000</v>
      </c>
      <c r="D402" s="6">
        <f>(C402/12)*5</f>
        <v>14583.333333333332</v>
      </c>
      <c r="E402" s="67">
        <v>0</v>
      </c>
      <c r="F402" s="6">
        <f>SUM(E398:E402)</f>
        <v>9032</v>
      </c>
      <c r="G402" s="36" t="str">
        <f t="shared" si="71"/>
        <v>Farol Vermelho</v>
      </c>
      <c r="H402">
        <f t="shared" si="69"/>
        <v>5551.3333333333321</v>
      </c>
      <c r="I402" s="6">
        <f t="shared" si="70"/>
        <v>5</v>
      </c>
      <c r="J402" s="77">
        <v>14</v>
      </c>
      <c r="K402" s="77">
        <v>0</v>
      </c>
      <c r="L402" s="6">
        <f>L398+L401</f>
        <v>5.8333333333333339</v>
      </c>
      <c r="M402" s="6">
        <f t="shared" si="76"/>
        <v>3</v>
      </c>
      <c r="N402" s="78">
        <v>100</v>
      </c>
      <c r="O402">
        <f t="shared" si="72"/>
        <v>0.5</v>
      </c>
      <c r="P402" s="78">
        <v>50</v>
      </c>
      <c r="Q402">
        <f t="shared" si="73"/>
        <v>0.3</v>
      </c>
      <c r="R402" s="75">
        <v>15</v>
      </c>
      <c r="S402" s="6">
        <f t="shared" si="74"/>
        <v>0.15</v>
      </c>
    </row>
    <row r="403" spans="1:19" x14ac:dyDescent="0.25">
      <c r="A403" s="37" t="s">
        <v>122</v>
      </c>
      <c r="B403" s="6" t="s">
        <v>163</v>
      </c>
      <c r="C403" s="67">
        <v>35000</v>
      </c>
      <c r="D403" s="6">
        <f>(C403/12)*6</f>
        <v>17500</v>
      </c>
      <c r="E403" s="67">
        <v>0</v>
      </c>
      <c r="F403" s="6">
        <f>SUM(E398:E403)</f>
        <v>9032</v>
      </c>
      <c r="G403" s="36" t="str">
        <f t="shared" si="71"/>
        <v>Farol Vermelho</v>
      </c>
      <c r="H403">
        <f t="shared" si="69"/>
        <v>8468</v>
      </c>
      <c r="I403" s="6">
        <f t="shared" si="70"/>
        <v>6</v>
      </c>
      <c r="J403" s="75">
        <v>14</v>
      </c>
      <c r="K403" s="75">
        <v>0</v>
      </c>
      <c r="L403" s="6">
        <f>$L398+L402</f>
        <v>7.0000000000000009</v>
      </c>
      <c r="M403" s="6">
        <f t="shared" si="76"/>
        <v>3</v>
      </c>
      <c r="N403" s="78">
        <v>100</v>
      </c>
      <c r="O403">
        <f t="shared" si="72"/>
        <v>0.5</v>
      </c>
      <c r="P403" s="78">
        <v>50</v>
      </c>
      <c r="Q403">
        <f t="shared" si="73"/>
        <v>0.3</v>
      </c>
      <c r="R403" s="75">
        <v>15</v>
      </c>
      <c r="S403" s="6">
        <f t="shared" si="74"/>
        <v>0.15</v>
      </c>
    </row>
    <row r="404" spans="1:19" x14ac:dyDescent="0.25">
      <c r="A404" s="37" t="s">
        <v>122</v>
      </c>
      <c r="B404" s="6" t="s">
        <v>164</v>
      </c>
      <c r="C404" s="67">
        <v>35000</v>
      </c>
      <c r="D404" s="6">
        <f>(C404/12)*7</f>
        <v>20416.666666666664</v>
      </c>
      <c r="E404" s="67">
        <v>0</v>
      </c>
      <c r="F404" s="6">
        <f>SUM(E398:E404)</f>
        <v>9032</v>
      </c>
      <c r="G404" s="36" t="str">
        <f t="shared" si="71"/>
        <v>Farol Vermelho</v>
      </c>
      <c r="H404">
        <f t="shared" si="69"/>
        <v>11384.666666666664</v>
      </c>
      <c r="I404" s="6">
        <f t="shared" si="70"/>
        <v>7</v>
      </c>
      <c r="J404" s="77">
        <v>14</v>
      </c>
      <c r="K404" s="77">
        <v>0</v>
      </c>
      <c r="L404" s="6">
        <f>$L398+L403</f>
        <v>8.1666666666666679</v>
      </c>
      <c r="M404" s="6">
        <f t="shared" si="76"/>
        <v>3</v>
      </c>
      <c r="N404" s="78">
        <v>100</v>
      </c>
      <c r="O404">
        <f t="shared" si="72"/>
        <v>0.5</v>
      </c>
      <c r="P404" s="78">
        <v>50</v>
      </c>
      <c r="Q404">
        <f t="shared" si="73"/>
        <v>0.3</v>
      </c>
      <c r="R404" s="75">
        <v>15</v>
      </c>
      <c r="S404" s="6">
        <f t="shared" si="74"/>
        <v>0.15</v>
      </c>
    </row>
    <row r="405" spans="1:19" x14ac:dyDescent="0.25">
      <c r="A405" s="37" t="s">
        <v>122</v>
      </c>
      <c r="B405" s="6" t="s">
        <v>165</v>
      </c>
      <c r="C405" s="67">
        <v>35000</v>
      </c>
      <c r="D405" s="6">
        <f>(C405/12)*8</f>
        <v>23333.333333333332</v>
      </c>
      <c r="E405" s="67">
        <v>0</v>
      </c>
      <c r="F405" s="6">
        <f>SUM(E398:E405)</f>
        <v>9032</v>
      </c>
      <c r="G405" s="36" t="str">
        <f t="shared" si="71"/>
        <v>Farol Vermelho</v>
      </c>
      <c r="H405">
        <f t="shared" si="69"/>
        <v>14301.333333333332</v>
      </c>
      <c r="I405" s="6">
        <f t="shared" si="70"/>
        <v>8</v>
      </c>
      <c r="J405" s="75">
        <v>14</v>
      </c>
      <c r="K405" s="75">
        <v>0</v>
      </c>
      <c r="L405" s="6">
        <f>L398+L404</f>
        <v>9.3333333333333339</v>
      </c>
      <c r="M405" s="6">
        <f t="shared" si="76"/>
        <v>3</v>
      </c>
      <c r="N405" s="78">
        <v>100</v>
      </c>
      <c r="O405">
        <f t="shared" si="72"/>
        <v>0.5</v>
      </c>
      <c r="P405" s="78">
        <v>50</v>
      </c>
      <c r="Q405">
        <f t="shared" si="73"/>
        <v>0.3</v>
      </c>
      <c r="R405" s="75">
        <v>15</v>
      </c>
      <c r="S405" s="6">
        <f t="shared" si="74"/>
        <v>0.15</v>
      </c>
    </row>
    <row r="406" spans="1:19" x14ac:dyDescent="0.25">
      <c r="A406" s="37" t="s">
        <v>122</v>
      </c>
      <c r="B406" s="6" t="s">
        <v>166</v>
      </c>
      <c r="C406" s="67">
        <v>35000</v>
      </c>
      <c r="D406" s="6">
        <f>(C406/12)*9</f>
        <v>26250</v>
      </c>
      <c r="E406" s="67">
        <v>0</v>
      </c>
      <c r="F406" s="6">
        <f>SUM(E398:E406)</f>
        <v>9032</v>
      </c>
      <c r="G406" s="36" t="str">
        <f t="shared" si="71"/>
        <v>Farol Vermelho</v>
      </c>
      <c r="H406">
        <f t="shared" si="69"/>
        <v>17218</v>
      </c>
      <c r="I406" s="6">
        <f t="shared" si="70"/>
        <v>9</v>
      </c>
      <c r="J406" s="77">
        <v>14</v>
      </c>
      <c r="K406" s="77">
        <v>0</v>
      </c>
      <c r="L406" s="6">
        <f>$L398+L405</f>
        <v>10.5</v>
      </c>
      <c r="M406" s="6">
        <f t="shared" si="76"/>
        <v>3</v>
      </c>
      <c r="N406" s="78">
        <v>100</v>
      </c>
      <c r="O406">
        <f t="shared" si="72"/>
        <v>0.5</v>
      </c>
      <c r="P406" s="78">
        <v>50</v>
      </c>
      <c r="Q406">
        <f t="shared" si="73"/>
        <v>0.3</v>
      </c>
      <c r="R406" s="75">
        <v>15</v>
      </c>
      <c r="S406" s="6">
        <f t="shared" si="74"/>
        <v>0.15</v>
      </c>
    </row>
    <row r="407" spans="1:19" x14ac:dyDescent="0.25">
      <c r="A407" s="37" t="s">
        <v>122</v>
      </c>
      <c r="B407" s="6" t="s">
        <v>167</v>
      </c>
      <c r="C407" s="67">
        <v>35000</v>
      </c>
      <c r="D407" s="6">
        <f>(C407/12)*10</f>
        <v>29166.666666666664</v>
      </c>
      <c r="E407" s="67">
        <v>0</v>
      </c>
      <c r="F407" s="6">
        <f>SUM(E398:E407)</f>
        <v>9032</v>
      </c>
      <c r="G407" s="36" t="str">
        <f t="shared" si="71"/>
        <v>Farol Vermelho</v>
      </c>
      <c r="H407">
        <f t="shared" si="69"/>
        <v>20134.666666666664</v>
      </c>
      <c r="I407" s="6">
        <f t="shared" si="70"/>
        <v>10</v>
      </c>
      <c r="J407" s="75">
        <v>14</v>
      </c>
      <c r="K407" s="75">
        <v>0</v>
      </c>
      <c r="L407" s="6">
        <f>$L398+L406</f>
        <v>11.666666666666666</v>
      </c>
      <c r="M407" s="6">
        <f t="shared" si="76"/>
        <v>3</v>
      </c>
      <c r="N407" s="78">
        <v>100</v>
      </c>
      <c r="O407">
        <f t="shared" si="72"/>
        <v>0.5</v>
      </c>
      <c r="P407" s="78">
        <v>50</v>
      </c>
      <c r="Q407">
        <f t="shared" si="73"/>
        <v>0.3</v>
      </c>
      <c r="R407" s="75">
        <v>15</v>
      </c>
      <c r="S407" s="6">
        <f t="shared" si="74"/>
        <v>0.15</v>
      </c>
    </row>
    <row r="408" spans="1:19" x14ac:dyDescent="0.25">
      <c r="A408" s="37" t="s">
        <v>122</v>
      </c>
      <c r="B408" s="6" t="s">
        <v>168</v>
      </c>
      <c r="C408" s="67">
        <v>35000</v>
      </c>
      <c r="D408" s="6">
        <f>(C408/12)*11</f>
        <v>32083.333333333332</v>
      </c>
      <c r="E408" s="67">
        <v>800</v>
      </c>
      <c r="F408" s="6">
        <f>SUM(E398:E408)</f>
        <v>9832</v>
      </c>
      <c r="G408" s="36" t="str">
        <f t="shared" si="71"/>
        <v>Farol Vermelho</v>
      </c>
      <c r="H408">
        <f t="shared" si="69"/>
        <v>22251.333333333332</v>
      </c>
      <c r="I408" s="6">
        <f t="shared" si="70"/>
        <v>11</v>
      </c>
      <c r="J408" s="77">
        <v>14</v>
      </c>
      <c r="K408" s="77">
        <v>1</v>
      </c>
      <c r="L408" s="6">
        <f>L398+L407</f>
        <v>12.833333333333332</v>
      </c>
      <c r="M408" s="6">
        <f t="shared" si="76"/>
        <v>4</v>
      </c>
      <c r="N408" s="78">
        <v>100</v>
      </c>
      <c r="O408">
        <f t="shared" si="72"/>
        <v>0.5</v>
      </c>
      <c r="P408" s="78">
        <v>50</v>
      </c>
      <c r="Q408">
        <f t="shared" si="73"/>
        <v>0.3</v>
      </c>
      <c r="R408" s="75">
        <v>15</v>
      </c>
      <c r="S408" s="6">
        <f t="shared" si="74"/>
        <v>0.15</v>
      </c>
    </row>
    <row r="409" spans="1:19" x14ac:dyDescent="0.25">
      <c r="A409" s="37" t="s">
        <v>122</v>
      </c>
      <c r="B409" s="6" t="s">
        <v>169</v>
      </c>
      <c r="C409" s="67">
        <v>35000</v>
      </c>
      <c r="D409" s="6">
        <f>(C409/12)*12</f>
        <v>35000</v>
      </c>
      <c r="E409" s="67">
        <v>3500</v>
      </c>
      <c r="F409" s="6">
        <f>SUM(E398:E409)</f>
        <v>13332</v>
      </c>
      <c r="G409" s="36" t="str">
        <f t="shared" si="71"/>
        <v>Farol Vermelho</v>
      </c>
      <c r="H409">
        <f t="shared" si="69"/>
        <v>21668</v>
      </c>
      <c r="I409" s="6">
        <f t="shared" si="70"/>
        <v>12</v>
      </c>
      <c r="J409" s="75">
        <v>14</v>
      </c>
      <c r="K409" s="75">
        <v>1</v>
      </c>
      <c r="L409" s="6">
        <f>$L398+L408</f>
        <v>13.999999999999998</v>
      </c>
      <c r="M409" s="6">
        <f t="shared" si="76"/>
        <v>5</v>
      </c>
      <c r="N409" s="78">
        <v>100</v>
      </c>
      <c r="O409">
        <f t="shared" si="72"/>
        <v>0.5</v>
      </c>
      <c r="P409" s="78">
        <v>50</v>
      </c>
      <c r="Q409">
        <f t="shared" si="73"/>
        <v>0.3</v>
      </c>
      <c r="R409" s="75">
        <v>15</v>
      </c>
      <c r="S409" s="6">
        <f t="shared" si="74"/>
        <v>0.15</v>
      </c>
    </row>
    <row r="410" spans="1:19" x14ac:dyDescent="0.25">
      <c r="A410" s="37" t="s">
        <v>90</v>
      </c>
      <c r="B410" s="6" t="s">
        <v>158</v>
      </c>
      <c r="C410" s="67">
        <v>0</v>
      </c>
      <c r="D410" s="6">
        <f>(C410/12)*1</f>
        <v>0</v>
      </c>
      <c r="E410" s="67">
        <v>0</v>
      </c>
      <c r="F410" s="6">
        <f>E410</f>
        <v>0</v>
      </c>
      <c r="G410" s="36" t="str">
        <f t="shared" si="71"/>
        <v>Farol Amarelo</v>
      </c>
      <c r="H410">
        <f t="shared" si="69"/>
        <v>0</v>
      </c>
      <c r="I410" s="6">
        <f t="shared" si="70"/>
        <v>1</v>
      </c>
      <c r="J410" s="77">
        <v>0</v>
      </c>
      <c r="K410" s="77">
        <v>0</v>
      </c>
      <c r="L410" s="6">
        <f>J410/12</f>
        <v>0</v>
      </c>
      <c r="M410" s="6">
        <f>K410</f>
        <v>0</v>
      </c>
      <c r="N410" s="78">
        <v>100</v>
      </c>
      <c r="O410">
        <f t="shared" si="72"/>
        <v>0.5</v>
      </c>
      <c r="P410" s="78">
        <v>50</v>
      </c>
      <c r="Q410">
        <f t="shared" si="73"/>
        <v>0.3</v>
      </c>
      <c r="R410" s="75">
        <v>15</v>
      </c>
      <c r="S410" s="6">
        <f t="shared" si="74"/>
        <v>0.15</v>
      </c>
    </row>
    <row r="411" spans="1:19" x14ac:dyDescent="0.25">
      <c r="A411" s="37" t="s">
        <v>90</v>
      </c>
      <c r="B411" s="6" t="s">
        <v>159</v>
      </c>
      <c r="C411" s="67">
        <v>0</v>
      </c>
      <c r="D411" s="6">
        <f>(C411/12)*2</f>
        <v>0</v>
      </c>
      <c r="E411" s="67">
        <v>0</v>
      </c>
      <c r="F411" s="6">
        <f>SUM(E410:E411)</f>
        <v>0</v>
      </c>
      <c r="G411" s="36" t="str">
        <f t="shared" si="71"/>
        <v>Farol Amarelo</v>
      </c>
      <c r="H411">
        <f t="shared" si="69"/>
        <v>0</v>
      </c>
      <c r="I411" s="6">
        <f t="shared" si="70"/>
        <v>2</v>
      </c>
      <c r="J411" s="75">
        <v>0</v>
      </c>
      <c r="K411" s="75">
        <v>0</v>
      </c>
      <c r="L411" s="6">
        <f>L410+L410</f>
        <v>0</v>
      </c>
      <c r="M411" s="6">
        <f>M410+K411</f>
        <v>0</v>
      </c>
      <c r="N411" s="78">
        <v>100</v>
      </c>
      <c r="O411">
        <f t="shared" si="72"/>
        <v>0.5</v>
      </c>
      <c r="P411" s="78">
        <v>50</v>
      </c>
      <c r="Q411">
        <f t="shared" si="73"/>
        <v>0.3</v>
      </c>
      <c r="R411" s="75">
        <v>15</v>
      </c>
      <c r="S411" s="6">
        <f t="shared" si="74"/>
        <v>0.15</v>
      </c>
    </row>
    <row r="412" spans="1:19" x14ac:dyDescent="0.25">
      <c r="A412" s="37" t="s">
        <v>90</v>
      </c>
      <c r="B412" s="6" t="s">
        <v>160</v>
      </c>
      <c r="C412" s="67">
        <v>0</v>
      </c>
      <c r="D412" s="6">
        <f>(C412/12)*3</f>
        <v>0</v>
      </c>
      <c r="E412" s="67">
        <v>0</v>
      </c>
      <c r="F412" s="6">
        <f>SUM(E410:E412)</f>
        <v>0</v>
      </c>
      <c r="G412" s="36" t="str">
        <f t="shared" si="71"/>
        <v>Farol Amarelo</v>
      </c>
      <c r="H412">
        <f t="shared" si="69"/>
        <v>0</v>
      </c>
      <c r="I412" s="6">
        <f t="shared" si="70"/>
        <v>3</v>
      </c>
      <c r="J412" s="77">
        <v>0</v>
      </c>
      <c r="K412" s="77">
        <v>0</v>
      </c>
      <c r="L412" s="6">
        <f>$L410+L411</f>
        <v>0</v>
      </c>
      <c r="M412" s="6">
        <f t="shared" ref="M412:M421" si="77">M411+K412</f>
        <v>0</v>
      </c>
      <c r="N412" s="78">
        <v>100</v>
      </c>
      <c r="O412">
        <f t="shared" si="72"/>
        <v>0.5</v>
      </c>
      <c r="P412" s="78">
        <v>50</v>
      </c>
      <c r="Q412">
        <f t="shared" si="73"/>
        <v>0.3</v>
      </c>
      <c r="R412" s="75">
        <v>15</v>
      </c>
      <c r="S412" s="6">
        <f t="shared" si="74"/>
        <v>0.15</v>
      </c>
    </row>
    <row r="413" spans="1:19" x14ac:dyDescent="0.25">
      <c r="A413" s="37" t="s">
        <v>90</v>
      </c>
      <c r="B413" s="6" t="s">
        <v>161</v>
      </c>
      <c r="C413" s="67">
        <v>0</v>
      </c>
      <c r="D413" s="6">
        <f>(C413/12)*4</f>
        <v>0</v>
      </c>
      <c r="E413" s="67">
        <v>0</v>
      </c>
      <c r="F413" s="6">
        <f>SUM(E410:E413)</f>
        <v>0</v>
      </c>
      <c r="G413" s="36" t="str">
        <f t="shared" si="71"/>
        <v>Farol Amarelo</v>
      </c>
      <c r="H413">
        <f t="shared" si="69"/>
        <v>0</v>
      </c>
      <c r="I413" s="6">
        <f t="shared" si="70"/>
        <v>4</v>
      </c>
      <c r="J413" s="75">
        <v>0</v>
      </c>
      <c r="K413" s="75">
        <v>0</v>
      </c>
      <c r="L413" s="6">
        <f>$L410+L412</f>
        <v>0</v>
      </c>
      <c r="M413" s="6">
        <f t="shared" si="77"/>
        <v>0</v>
      </c>
      <c r="N413" s="78">
        <v>100</v>
      </c>
      <c r="O413">
        <f t="shared" si="72"/>
        <v>0.5</v>
      </c>
      <c r="P413" s="78">
        <v>50</v>
      </c>
      <c r="Q413">
        <f t="shared" si="73"/>
        <v>0.3</v>
      </c>
      <c r="R413" s="75">
        <v>15</v>
      </c>
      <c r="S413" s="6">
        <f t="shared" si="74"/>
        <v>0.15</v>
      </c>
    </row>
    <row r="414" spans="1:19" x14ac:dyDescent="0.25">
      <c r="A414" s="37" t="s">
        <v>90</v>
      </c>
      <c r="B414" s="6" t="s">
        <v>162</v>
      </c>
      <c r="C414" s="67">
        <v>0</v>
      </c>
      <c r="D414" s="6">
        <f>(C414/12)*5</f>
        <v>0</v>
      </c>
      <c r="E414" s="67">
        <v>0</v>
      </c>
      <c r="F414" s="6">
        <f>SUM(E410:E414)</f>
        <v>0</v>
      </c>
      <c r="G414" s="36" t="str">
        <f t="shared" si="71"/>
        <v>Farol Amarelo</v>
      </c>
      <c r="H414">
        <f t="shared" si="69"/>
        <v>0</v>
      </c>
      <c r="I414" s="6">
        <f t="shared" si="70"/>
        <v>5</v>
      </c>
      <c r="J414" s="77">
        <v>0</v>
      </c>
      <c r="K414" s="77">
        <v>0</v>
      </c>
      <c r="L414" s="6">
        <f>L410+L413</f>
        <v>0</v>
      </c>
      <c r="M414" s="6">
        <f t="shared" si="77"/>
        <v>0</v>
      </c>
      <c r="N414" s="78">
        <v>100</v>
      </c>
      <c r="O414">
        <f t="shared" si="72"/>
        <v>0.5</v>
      </c>
      <c r="P414" s="78">
        <v>50</v>
      </c>
      <c r="Q414">
        <f t="shared" si="73"/>
        <v>0.3</v>
      </c>
      <c r="R414" s="75">
        <v>15</v>
      </c>
      <c r="S414" s="6">
        <f t="shared" si="74"/>
        <v>0.15</v>
      </c>
    </row>
    <row r="415" spans="1:19" x14ac:dyDescent="0.25">
      <c r="A415" s="37" t="s">
        <v>90</v>
      </c>
      <c r="B415" s="6" t="s">
        <v>163</v>
      </c>
      <c r="C415" s="67">
        <v>0</v>
      </c>
      <c r="D415" s="6">
        <f>(C415/12)*6</f>
        <v>0</v>
      </c>
      <c r="E415" s="67">
        <v>0</v>
      </c>
      <c r="F415" s="6">
        <f>SUM(E410:E415)</f>
        <v>0</v>
      </c>
      <c r="G415" s="36" t="str">
        <f t="shared" si="71"/>
        <v>Farol Amarelo</v>
      </c>
      <c r="H415">
        <f t="shared" si="69"/>
        <v>0</v>
      </c>
      <c r="I415" s="6">
        <f t="shared" si="70"/>
        <v>6</v>
      </c>
      <c r="J415" s="75">
        <v>0</v>
      </c>
      <c r="K415" s="75">
        <v>0</v>
      </c>
      <c r="L415" s="6">
        <f>$L410+L414</f>
        <v>0</v>
      </c>
      <c r="M415" s="6">
        <f t="shared" si="77"/>
        <v>0</v>
      </c>
      <c r="N415" s="78">
        <v>100</v>
      </c>
      <c r="O415">
        <f t="shared" si="72"/>
        <v>0.5</v>
      </c>
      <c r="P415" s="78">
        <v>50</v>
      </c>
      <c r="Q415">
        <f t="shared" si="73"/>
        <v>0.3</v>
      </c>
      <c r="R415" s="75">
        <v>15</v>
      </c>
      <c r="S415" s="6">
        <f t="shared" si="74"/>
        <v>0.15</v>
      </c>
    </row>
    <row r="416" spans="1:19" x14ac:dyDescent="0.25">
      <c r="A416" s="37" t="s">
        <v>90</v>
      </c>
      <c r="B416" s="6" t="s">
        <v>164</v>
      </c>
      <c r="C416" s="67">
        <v>0</v>
      </c>
      <c r="D416" s="6">
        <f>(C416/12)*7</f>
        <v>0</v>
      </c>
      <c r="E416" s="67">
        <v>0</v>
      </c>
      <c r="F416" s="6">
        <f>SUM(E410:E416)</f>
        <v>0</v>
      </c>
      <c r="G416" s="36" t="str">
        <f t="shared" si="71"/>
        <v>Farol Amarelo</v>
      </c>
      <c r="H416">
        <f t="shared" si="69"/>
        <v>0</v>
      </c>
      <c r="I416" s="6">
        <f t="shared" si="70"/>
        <v>7</v>
      </c>
      <c r="J416" s="77">
        <v>0</v>
      </c>
      <c r="K416" s="77">
        <v>0</v>
      </c>
      <c r="L416" s="6">
        <f>$L410+L415</f>
        <v>0</v>
      </c>
      <c r="M416" s="6">
        <f t="shared" si="77"/>
        <v>0</v>
      </c>
      <c r="N416" s="78">
        <v>100</v>
      </c>
      <c r="O416">
        <f t="shared" si="72"/>
        <v>0.5</v>
      </c>
      <c r="P416" s="78">
        <v>50</v>
      </c>
      <c r="Q416">
        <f t="shared" si="73"/>
        <v>0.3</v>
      </c>
      <c r="R416" s="75">
        <v>15</v>
      </c>
      <c r="S416" s="6">
        <f t="shared" si="74"/>
        <v>0.15</v>
      </c>
    </row>
    <row r="417" spans="1:19" x14ac:dyDescent="0.25">
      <c r="A417" s="37" t="s">
        <v>90</v>
      </c>
      <c r="B417" s="6" t="s">
        <v>165</v>
      </c>
      <c r="C417" s="67">
        <v>0</v>
      </c>
      <c r="D417" s="6">
        <f>(C417/12)*8</f>
        <v>0</v>
      </c>
      <c r="E417" s="67">
        <v>0</v>
      </c>
      <c r="F417" s="6">
        <f>SUM(E410:E417)</f>
        <v>0</v>
      </c>
      <c r="G417" s="36" t="str">
        <f t="shared" si="71"/>
        <v>Farol Amarelo</v>
      </c>
      <c r="H417">
        <f t="shared" si="69"/>
        <v>0</v>
      </c>
      <c r="I417" s="6">
        <f t="shared" si="70"/>
        <v>8</v>
      </c>
      <c r="J417" s="75">
        <v>0</v>
      </c>
      <c r="K417" s="75">
        <v>0</v>
      </c>
      <c r="L417" s="6">
        <f>L410+L416</f>
        <v>0</v>
      </c>
      <c r="M417" s="6">
        <f t="shared" si="77"/>
        <v>0</v>
      </c>
      <c r="N417" s="78">
        <v>100</v>
      </c>
      <c r="O417">
        <f t="shared" si="72"/>
        <v>0.5</v>
      </c>
      <c r="P417" s="78">
        <v>50</v>
      </c>
      <c r="Q417">
        <f t="shared" si="73"/>
        <v>0.3</v>
      </c>
      <c r="R417" s="75">
        <v>15</v>
      </c>
      <c r="S417" s="6">
        <f t="shared" si="74"/>
        <v>0.15</v>
      </c>
    </row>
    <row r="418" spans="1:19" x14ac:dyDescent="0.25">
      <c r="A418" s="37" t="s">
        <v>90</v>
      </c>
      <c r="B418" s="6" t="s">
        <v>166</v>
      </c>
      <c r="C418" s="67">
        <v>0</v>
      </c>
      <c r="D418" s="6">
        <f>(C418/12)*9</f>
        <v>0</v>
      </c>
      <c r="E418" s="67">
        <v>0</v>
      </c>
      <c r="F418" s="6">
        <f>SUM(E410:E418)</f>
        <v>0</v>
      </c>
      <c r="G418" s="36" t="str">
        <f t="shared" si="71"/>
        <v>Farol Amarelo</v>
      </c>
      <c r="H418">
        <f t="shared" si="69"/>
        <v>0</v>
      </c>
      <c r="I418" s="6">
        <f t="shared" si="70"/>
        <v>9</v>
      </c>
      <c r="J418" s="77">
        <v>0</v>
      </c>
      <c r="K418" s="77">
        <v>0</v>
      </c>
      <c r="L418" s="6">
        <f>$L410+L417</f>
        <v>0</v>
      </c>
      <c r="M418" s="6">
        <f t="shared" si="77"/>
        <v>0</v>
      </c>
      <c r="N418" s="78">
        <v>100</v>
      </c>
      <c r="O418">
        <f t="shared" si="72"/>
        <v>0.5</v>
      </c>
      <c r="P418" s="78">
        <v>50</v>
      </c>
      <c r="Q418">
        <f t="shared" si="73"/>
        <v>0.3</v>
      </c>
      <c r="R418" s="75">
        <v>15</v>
      </c>
      <c r="S418" s="6">
        <f t="shared" si="74"/>
        <v>0.15</v>
      </c>
    </row>
    <row r="419" spans="1:19" x14ac:dyDescent="0.25">
      <c r="A419" s="37" t="s">
        <v>90</v>
      </c>
      <c r="B419" s="6" t="s">
        <v>167</v>
      </c>
      <c r="C419" s="67">
        <v>0</v>
      </c>
      <c r="D419" s="6">
        <f>(C419/12)*10</f>
        <v>0</v>
      </c>
      <c r="E419" s="67">
        <v>0</v>
      </c>
      <c r="F419" s="6">
        <f>SUM(E410:E419)</f>
        <v>0</v>
      </c>
      <c r="G419" s="36" t="str">
        <f t="shared" si="71"/>
        <v>Farol Amarelo</v>
      </c>
      <c r="H419">
        <f t="shared" si="69"/>
        <v>0</v>
      </c>
      <c r="I419" s="6">
        <f t="shared" si="70"/>
        <v>10</v>
      </c>
      <c r="J419" s="75">
        <v>0</v>
      </c>
      <c r="K419" s="75">
        <v>0</v>
      </c>
      <c r="L419" s="6">
        <f>$L410+L418</f>
        <v>0</v>
      </c>
      <c r="M419" s="6">
        <f t="shared" si="77"/>
        <v>0</v>
      </c>
      <c r="N419" s="78">
        <v>100</v>
      </c>
      <c r="O419">
        <f t="shared" si="72"/>
        <v>0.5</v>
      </c>
      <c r="P419" s="78">
        <v>50</v>
      </c>
      <c r="Q419">
        <f t="shared" si="73"/>
        <v>0.3</v>
      </c>
      <c r="R419" s="75">
        <v>15</v>
      </c>
      <c r="S419" s="6">
        <f t="shared" si="74"/>
        <v>0.15</v>
      </c>
    </row>
    <row r="420" spans="1:19" x14ac:dyDescent="0.25">
      <c r="A420" s="37" t="s">
        <v>90</v>
      </c>
      <c r="B420" s="6" t="s">
        <v>168</v>
      </c>
      <c r="C420" s="67">
        <v>0</v>
      </c>
      <c r="D420" s="6">
        <f>(C420/12)*11</f>
        <v>0</v>
      </c>
      <c r="E420" s="67">
        <v>0</v>
      </c>
      <c r="F420" s="6">
        <f>SUM(E410:E420)</f>
        <v>0</v>
      </c>
      <c r="G420" s="36" t="str">
        <f t="shared" si="71"/>
        <v>Farol Amarelo</v>
      </c>
      <c r="H420">
        <f t="shared" si="69"/>
        <v>0</v>
      </c>
      <c r="I420" s="6">
        <f t="shared" si="70"/>
        <v>11</v>
      </c>
      <c r="J420" s="77">
        <v>0</v>
      </c>
      <c r="K420" s="77">
        <v>0</v>
      </c>
      <c r="L420" s="6">
        <f>L410+L419</f>
        <v>0</v>
      </c>
      <c r="M420" s="6">
        <f t="shared" si="77"/>
        <v>0</v>
      </c>
      <c r="N420" s="78">
        <v>100</v>
      </c>
      <c r="O420">
        <f t="shared" si="72"/>
        <v>0.5</v>
      </c>
      <c r="P420" s="78">
        <v>50</v>
      </c>
      <c r="Q420">
        <f t="shared" si="73"/>
        <v>0.3</v>
      </c>
      <c r="R420" s="75">
        <v>15</v>
      </c>
      <c r="S420" s="6">
        <f t="shared" si="74"/>
        <v>0.15</v>
      </c>
    </row>
    <row r="421" spans="1:19" x14ac:dyDescent="0.25">
      <c r="A421" s="37" t="s">
        <v>90</v>
      </c>
      <c r="B421" s="6" t="s">
        <v>169</v>
      </c>
      <c r="C421" s="67">
        <v>0</v>
      </c>
      <c r="D421" s="6">
        <f>(C421/12)*12</f>
        <v>0</v>
      </c>
      <c r="E421" s="67">
        <v>0</v>
      </c>
      <c r="F421" s="6">
        <f>SUM(E410:E421)</f>
        <v>0</v>
      </c>
      <c r="G421" s="36" t="str">
        <f t="shared" si="71"/>
        <v>Farol Amarelo</v>
      </c>
      <c r="H421">
        <f t="shared" si="69"/>
        <v>0</v>
      </c>
      <c r="I421" s="6">
        <f t="shared" si="70"/>
        <v>12</v>
      </c>
      <c r="J421" s="75">
        <v>0</v>
      </c>
      <c r="K421" s="75">
        <v>0</v>
      </c>
      <c r="L421" s="6">
        <f>$L410+L420</f>
        <v>0</v>
      </c>
      <c r="M421" s="6">
        <f t="shared" si="77"/>
        <v>0</v>
      </c>
      <c r="N421" s="78">
        <v>100</v>
      </c>
      <c r="O421">
        <f t="shared" si="72"/>
        <v>0.5</v>
      </c>
      <c r="P421" s="78">
        <v>50</v>
      </c>
      <c r="Q421">
        <f t="shared" si="73"/>
        <v>0.3</v>
      </c>
      <c r="R421" s="75">
        <v>15</v>
      </c>
      <c r="S421" s="6">
        <f t="shared" si="74"/>
        <v>0.15</v>
      </c>
    </row>
    <row r="422" spans="1:19" x14ac:dyDescent="0.25">
      <c r="A422" s="37" t="s">
        <v>106</v>
      </c>
      <c r="B422" s="6" t="s">
        <v>158</v>
      </c>
      <c r="C422" s="67">
        <v>0</v>
      </c>
      <c r="D422" s="6">
        <f>(C422/12)*1</f>
        <v>0</v>
      </c>
      <c r="E422" s="67">
        <v>0</v>
      </c>
      <c r="F422" s="6">
        <f>E422</f>
        <v>0</v>
      </c>
      <c r="G422" s="36" t="str">
        <f t="shared" si="71"/>
        <v>Farol Amarelo</v>
      </c>
      <c r="H422">
        <f t="shared" si="69"/>
        <v>0</v>
      </c>
      <c r="I422" s="6">
        <f t="shared" si="70"/>
        <v>1</v>
      </c>
      <c r="J422" s="77">
        <v>0</v>
      </c>
      <c r="K422" s="77">
        <v>0</v>
      </c>
      <c r="L422" s="6">
        <f>J422/12</f>
        <v>0</v>
      </c>
      <c r="M422" s="6">
        <f>K422</f>
        <v>0</v>
      </c>
      <c r="N422" s="78">
        <v>100</v>
      </c>
      <c r="O422">
        <f t="shared" si="72"/>
        <v>0.5</v>
      </c>
      <c r="P422" s="78">
        <v>50</v>
      </c>
      <c r="Q422">
        <f t="shared" si="73"/>
        <v>0.3</v>
      </c>
      <c r="R422" s="75">
        <v>15</v>
      </c>
      <c r="S422" s="6">
        <f t="shared" si="74"/>
        <v>0.15</v>
      </c>
    </row>
    <row r="423" spans="1:19" x14ac:dyDescent="0.25">
      <c r="A423" s="37" t="s">
        <v>106</v>
      </c>
      <c r="B423" s="6" t="s">
        <v>159</v>
      </c>
      <c r="C423" s="67">
        <v>0</v>
      </c>
      <c r="D423" s="6">
        <f>(C423/12)*2</f>
        <v>0</v>
      </c>
      <c r="E423" s="67">
        <v>0</v>
      </c>
      <c r="F423" s="6">
        <f>SUM(E422:E423)</f>
        <v>0</v>
      </c>
      <c r="G423" s="36" t="str">
        <f t="shared" si="71"/>
        <v>Farol Amarelo</v>
      </c>
      <c r="H423">
        <f t="shared" si="69"/>
        <v>0</v>
      </c>
      <c r="I423" s="6">
        <f t="shared" si="70"/>
        <v>2</v>
      </c>
      <c r="J423" s="75">
        <v>0</v>
      </c>
      <c r="K423" s="75">
        <v>0</v>
      </c>
      <c r="L423" s="6">
        <f>L422+L422</f>
        <v>0</v>
      </c>
      <c r="M423" s="6">
        <f>M422+K423</f>
        <v>0</v>
      </c>
      <c r="N423" s="78">
        <v>100</v>
      </c>
      <c r="O423">
        <f t="shared" si="72"/>
        <v>0.5</v>
      </c>
      <c r="P423" s="78">
        <v>50</v>
      </c>
      <c r="Q423">
        <f t="shared" si="73"/>
        <v>0.3</v>
      </c>
      <c r="R423" s="75">
        <v>15</v>
      </c>
      <c r="S423" s="6">
        <f t="shared" si="74"/>
        <v>0.15</v>
      </c>
    </row>
    <row r="424" spans="1:19" x14ac:dyDescent="0.25">
      <c r="A424" s="37" t="s">
        <v>106</v>
      </c>
      <c r="B424" s="6" t="s">
        <v>160</v>
      </c>
      <c r="C424" s="67">
        <v>0</v>
      </c>
      <c r="D424" s="6">
        <f>(C424/12)*3</f>
        <v>0</v>
      </c>
      <c r="E424" s="67">
        <v>0</v>
      </c>
      <c r="F424" s="6">
        <f>SUM(E422:E424)</f>
        <v>0</v>
      </c>
      <c r="G424" s="36" t="str">
        <f t="shared" si="71"/>
        <v>Farol Amarelo</v>
      </c>
      <c r="H424">
        <f t="shared" si="69"/>
        <v>0</v>
      </c>
      <c r="I424" s="6">
        <f t="shared" si="70"/>
        <v>3</v>
      </c>
      <c r="J424" s="77">
        <v>0</v>
      </c>
      <c r="K424" s="77">
        <v>0</v>
      </c>
      <c r="L424" s="6">
        <f>$L422+L423</f>
        <v>0</v>
      </c>
      <c r="M424" s="6">
        <f t="shared" ref="M424:M433" si="78">M423+K424</f>
        <v>0</v>
      </c>
      <c r="N424" s="78">
        <v>100</v>
      </c>
      <c r="O424">
        <f t="shared" si="72"/>
        <v>0.5</v>
      </c>
      <c r="P424" s="78">
        <v>50</v>
      </c>
      <c r="Q424">
        <f t="shared" si="73"/>
        <v>0.3</v>
      </c>
      <c r="R424" s="75">
        <v>15</v>
      </c>
      <c r="S424" s="6">
        <f t="shared" si="74"/>
        <v>0.15</v>
      </c>
    </row>
    <row r="425" spans="1:19" x14ac:dyDescent="0.25">
      <c r="A425" s="37" t="s">
        <v>106</v>
      </c>
      <c r="B425" s="6" t="s">
        <v>161</v>
      </c>
      <c r="C425" s="67">
        <v>0</v>
      </c>
      <c r="D425" s="6">
        <f>(C425/12)*4</f>
        <v>0</v>
      </c>
      <c r="E425" s="67">
        <v>0</v>
      </c>
      <c r="F425" s="6">
        <f>SUM(E422:E425)</f>
        <v>0</v>
      </c>
      <c r="G425" s="36" t="str">
        <f t="shared" si="71"/>
        <v>Farol Amarelo</v>
      </c>
      <c r="H425">
        <f t="shared" si="69"/>
        <v>0</v>
      </c>
      <c r="I425" s="6">
        <f t="shared" si="70"/>
        <v>4</v>
      </c>
      <c r="J425" s="75">
        <v>0</v>
      </c>
      <c r="K425" s="75">
        <v>0</v>
      </c>
      <c r="L425" s="6">
        <f>$L422+L424</f>
        <v>0</v>
      </c>
      <c r="M425" s="6">
        <f t="shared" si="78"/>
        <v>0</v>
      </c>
      <c r="N425" s="78">
        <v>100</v>
      </c>
      <c r="O425">
        <f t="shared" si="72"/>
        <v>0.5</v>
      </c>
      <c r="P425" s="78">
        <v>50</v>
      </c>
      <c r="Q425">
        <f t="shared" si="73"/>
        <v>0.3</v>
      </c>
      <c r="R425" s="75">
        <v>15</v>
      </c>
      <c r="S425" s="6">
        <f t="shared" si="74"/>
        <v>0.15</v>
      </c>
    </row>
    <row r="426" spans="1:19" x14ac:dyDescent="0.25">
      <c r="A426" s="37" t="s">
        <v>106</v>
      </c>
      <c r="B426" s="6" t="s">
        <v>162</v>
      </c>
      <c r="C426" s="67">
        <v>0</v>
      </c>
      <c r="D426" s="6">
        <f>(C426/12)*5</f>
        <v>0</v>
      </c>
      <c r="E426" s="67">
        <v>0</v>
      </c>
      <c r="F426" s="6">
        <f>SUM(E422:E426)</f>
        <v>0</v>
      </c>
      <c r="G426" s="36" t="str">
        <f t="shared" si="71"/>
        <v>Farol Amarelo</v>
      </c>
      <c r="H426">
        <f t="shared" si="69"/>
        <v>0</v>
      </c>
      <c r="I426" s="6">
        <f t="shared" si="70"/>
        <v>5</v>
      </c>
      <c r="J426" s="77">
        <v>0</v>
      </c>
      <c r="K426" s="77">
        <v>0</v>
      </c>
      <c r="L426" s="6">
        <f>L422+L425</f>
        <v>0</v>
      </c>
      <c r="M426" s="6">
        <f t="shared" si="78"/>
        <v>0</v>
      </c>
      <c r="N426" s="78">
        <v>100</v>
      </c>
      <c r="O426">
        <f t="shared" si="72"/>
        <v>0.5</v>
      </c>
      <c r="P426" s="78">
        <v>50</v>
      </c>
      <c r="Q426">
        <f t="shared" si="73"/>
        <v>0.3</v>
      </c>
      <c r="R426" s="75">
        <v>15</v>
      </c>
      <c r="S426" s="6">
        <f t="shared" si="74"/>
        <v>0.15</v>
      </c>
    </row>
    <row r="427" spans="1:19" x14ac:dyDescent="0.25">
      <c r="A427" s="37" t="s">
        <v>106</v>
      </c>
      <c r="B427" s="6" t="s">
        <v>163</v>
      </c>
      <c r="C427" s="67">
        <v>0</v>
      </c>
      <c r="D427" s="6">
        <f>(C427/12)*6</f>
        <v>0</v>
      </c>
      <c r="E427" s="67">
        <v>0</v>
      </c>
      <c r="F427" s="6">
        <f>SUM(E422:E427)</f>
        <v>0</v>
      </c>
      <c r="G427" s="36" t="str">
        <f t="shared" si="71"/>
        <v>Farol Amarelo</v>
      </c>
      <c r="H427">
        <f t="shared" si="69"/>
        <v>0</v>
      </c>
      <c r="I427" s="6">
        <f t="shared" si="70"/>
        <v>6</v>
      </c>
      <c r="J427" s="75">
        <v>0</v>
      </c>
      <c r="K427" s="75">
        <v>0</v>
      </c>
      <c r="L427" s="6">
        <f>$L422+L426</f>
        <v>0</v>
      </c>
      <c r="M427" s="6">
        <f t="shared" si="78"/>
        <v>0</v>
      </c>
      <c r="N427" s="78">
        <v>100</v>
      </c>
      <c r="O427">
        <f t="shared" si="72"/>
        <v>0.5</v>
      </c>
      <c r="P427" s="78">
        <v>50</v>
      </c>
      <c r="Q427">
        <f t="shared" si="73"/>
        <v>0.3</v>
      </c>
      <c r="R427" s="75">
        <v>15</v>
      </c>
      <c r="S427" s="6">
        <f t="shared" si="74"/>
        <v>0.15</v>
      </c>
    </row>
    <row r="428" spans="1:19" x14ac:dyDescent="0.25">
      <c r="A428" s="37" t="s">
        <v>106</v>
      </c>
      <c r="B428" s="6" t="s">
        <v>164</v>
      </c>
      <c r="C428" s="67">
        <v>0</v>
      </c>
      <c r="D428" s="6">
        <f>(C428/12)*7</f>
        <v>0</v>
      </c>
      <c r="E428" s="67">
        <v>0</v>
      </c>
      <c r="F428" s="6">
        <f>SUM(E422:E428)</f>
        <v>0</v>
      </c>
      <c r="G428" s="36" t="str">
        <f t="shared" si="71"/>
        <v>Farol Amarelo</v>
      </c>
      <c r="H428">
        <f t="shared" si="69"/>
        <v>0</v>
      </c>
      <c r="I428" s="6">
        <f t="shared" si="70"/>
        <v>7</v>
      </c>
      <c r="J428" s="77">
        <v>0</v>
      </c>
      <c r="K428" s="77">
        <v>0</v>
      </c>
      <c r="L428" s="6">
        <f>$L422+L427</f>
        <v>0</v>
      </c>
      <c r="M428" s="6">
        <f t="shared" si="78"/>
        <v>0</v>
      </c>
      <c r="N428" s="78">
        <v>100</v>
      </c>
      <c r="O428">
        <f t="shared" si="72"/>
        <v>0.5</v>
      </c>
      <c r="P428" s="78">
        <v>50</v>
      </c>
      <c r="Q428">
        <f t="shared" si="73"/>
        <v>0.3</v>
      </c>
      <c r="R428" s="75">
        <v>15</v>
      </c>
      <c r="S428" s="6">
        <f t="shared" si="74"/>
        <v>0.15</v>
      </c>
    </row>
    <row r="429" spans="1:19" x14ac:dyDescent="0.25">
      <c r="A429" s="37" t="s">
        <v>106</v>
      </c>
      <c r="B429" s="6" t="s">
        <v>165</v>
      </c>
      <c r="C429" s="67">
        <v>0</v>
      </c>
      <c r="D429" s="6">
        <f>(C429/12)*8</f>
        <v>0</v>
      </c>
      <c r="E429" s="67">
        <v>0</v>
      </c>
      <c r="F429" s="6">
        <f>SUM(E422:E429)</f>
        <v>0</v>
      </c>
      <c r="G429" s="36" t="str">
        <f t="shared" si="71"/>
        <v>Farol Amarelo</v>
      </c>
      <c r="H429">
        <f t="shared" si="69"/>
        <v>0</v>
      </c>
      <c r="I429" s="6">
        <f t="shared" si="70"/>
        <v>8</v>
      </c>
      <c r="J429" s="75">
        <v>0</v>
      </c>
      <c r="K429" s="75">
        <v>0</v>
      </c>
      <c r="L429" s="6">
        <f>L422+L428</f>
        <v>0</v>
      </c>
      <c r="M429" s="6">
        <f t="shared" si="78"/>
        <v>0</v>
      </c>
      <c r="N429" s="78">
        <v>100</v>
      </c>
      <c r="O429">
        <f t="shared" si="72"/>
        <v>0.5</v>
      </c>
      <c r="P429" s="78">
        <v>50</v>
      </c>
      <c r="Q429">
        <f t="shared" si="73"/>
        <v>0.3</v>
      </c>
      <c r="R429" s="75">
        <v>15</v>
      </c>
      <c r="S429" s="6">
        <f t="shared" si="74"/>
        <v>0.15</v>
      </c>
    </row>
    <row r="430" spans="1:19" x14ac:dyDescent="0.25">
      <c r="A430" s="37" t="s">
        <v>106</v>
      </c>
      <c r="B430" s="6" t="s">
        <v>166</v>
      </c>
      <c r="C430" s="67">
        <v>0</v>
      </c>
      <c r="D430" s="6">
        <f>(C430/12)*9</f>
        <v>0</v>
      </c>
      <c r="E430" s="67">
        <v>0</v>
      </c>
      <c r="F430" s="6">
        <f>SUM(E422:E430)</f>
        <v>0</v>
      </c>
      <c r="G430" s="36" t="str">
        <f t="shared" si="71"/>
        <v>Farol Amarelo</v>
      </c>
      <c r="H430">
        <f t="shared" si="69"/>
        <v>0</v>
      </c>
      <c r="I430" s="6">
        <f t="shared" si="70"/>
        <v>9</v>
      </c>
      <c r="J430" s="77">
        <v>0</v>
      </c>
      <c r="K430" s="77">
        <v>0</v>
      </c>
      <c r="L430" s="6">
        <f>$L422+L429</f>
        <v>0</v>
      </c>
      <c r="M430" s="6">
        <f t="shared" si="78"/>
        <v>0</v>
      </c>
      <c r="N430" s="78">
        <v>100</v>
      </c>
      <c r="O430">
        <f t="shared" si="72"/>
        <v>0.5</v>
      </c>
      <c r="P430" s="78">
        <v>50</v>
      </c>
      <c r="Q430">
        <f t="shared" si="73"/>
        <v>0.3</v>
      </c>
      <c r="R430" s="75">
        <v>15</v>
      </c>
      <c r="S430" s="6">
        <f t="shared" si="74"/>
        <v>0.15</v>
      </c>
    </row>
    <row r="431" spans="1:19" x14ac:dyDescent="0.25">
      <c r="A431" s="37" t="s">
        <v>106</v>
      </c>
      <c r="B431" s="6" t="s">
        <v>167</v>
      </c>
      <c r="C431" s="67">
        <v>0</v>
      </c>
      <c r="D431" s="6">
        <f>(C431/12)*10</f>
        <v>0</v>
      </c>
      <c r="E431" s="67">
        <v>1539.76</v>
      </c>
      <c r="F431" s="6">
        <f>SUM(E422:E431)</f>
        <v>1539.76</v>
      </c>
      <c r="G431" s="36" t="str">
        <f t="shared" si="71"/>
        <v>Farol Verde</v>
      </c>
      <c r="H431">
        <f t="shared" si="69"/>
        <v>0</v>
      </c>
      <c r="I431" s="6">
        <f t="shared" si="70"/>
        <v>10</v>
      </c>
      <c r="J431" s="75">
        <v>0</v>
      </c>
      <c r="K431" s="75">
        <v>4</v>
      </c>
      <c r="L431" s="6">
        <f>$L422+L430</f>
        <v>0</v>
      </c>
      <c r="M431" s="6">
        <f t="shared" si="78"/>
        <v>4</v>
      </c>
      <c r="N431" s="78">
        <v>100</v>
      </c>
      <c r="O431">
        <f t="shared" si="72"/>
        <v>0.5</v>
      </c>
      <c r="P431" s="78">
        <v>50</v>
      </c>
      <c r="Q431">
        <f t="shared" si="73"/>
        <v>0.3</v>
      </c>
      <c r="R431" s="75">
        <v>15</v>
      </c>
      <c r="S431" s="6">
        <f t="shared" si="74"/>
        <v>0.15</v>
      </c>
    </row>
    <row r="432" spans="1:19" x14ac:dyDescent="0.25">
      <c r="A432" s="37" t="s">
        <v>106</v>
      </c>
      <c r="B432" s="6" t="s">
        <v>168</v>
      </c>
      <c r="C432" s="67">
        <v>0</v>
      </c>
      <c r="D432" s="6">
        <f>(C432/12)*11</f>
        <v>0</v>
      </c>
      <c r="E432" s="67">
        <v>1861.1</v>
      </c>
      <c r="F432" s="6">
        <f>SUM(E422:E432)</f>
        <v>3400.8599999999997</v>
      </c>
      <c r="G432" s="36" t="str">
        <f t="shared" si="71"/>
        <v>Farol Verde</v>
      </c>
      <c r="H432">
        <f t="shared" si="69"/>
        <v>0</v>
      </c>
      <c r="I432" s="6">
        <f t="shared" si="70"/>
        <v>11</v>
      </c>
      <c r="J432" s="77">
        <v>0</v>
      </c>
      <c r="K432" s="77">
        <v>4</v>
      </c>
      <c r="L432" s="6">
        <f>L422+L431</f>
        <v>0</v>
      </c>
      <c r="M432" s="6">
        <f t="shared" si="78"/>
        <v>8</v>
      </c>
      <c r="N432" s="78">
        <v>100</v>
      </c>
      <c r="O432">
        <f t="shared" si="72"/>
        <v>0.5</v>
      </c>
      <c r="P432" s="78">
        <v>50</v>
      </c>
      <c r="Q432">
        <f t="shared" si="73"/>
        <v>0.3</v>
      </c>
      <c r="R432" s="75">
        <v>15</v>
      </c>
      <c r="S432" s="6">
        <f t="shared" si="74"/>
        <v>0.15</v>
      </c>
    </row>
    <row r="433" spans="1:19" x14ac:dyDescent="0.25">
      <c r="A433" s="37" t="s">
        <v>106</v>
      </c>
      <c r="B433" s="6" t="s">
        <v>169</v>
      </c>
      <c r="C433" s="67">
        <v>0</v>
      </c>
      <c r="D433" s="6">
        <f>(C433/12)*12</f>
        <v>0</v>
      </c>
      <c r="E433" s="67">
        <v>0</v>
      </c>
      <c r="F433" s="6">
        <f>SUM(E422:E433)</f>
        <v>3400.8599999999997</v>
      </c>
      <c r="G433" s="36" t="str">
        <f t="shared" si="71"/>
        <v>Farol Verde</v>
      </c>
      <c r="H433">
        <f t="shared" si="69"/>
        <v>0</v>
      </c>
      <c r="I433" s="6">
        <f t="shared" si="70"/>
        <v>12</v>
      </c>
      <c r="J433" s="75">
        <v>0</v>
      </c>
      <c r="K433" s="75">
        <v>0</v>
      </c>
      <c r="L433" s="6">
        <f>$L422+L432</f>
        <v>0</v>
      </c>
      <c r="M433" s="6">
        <f t="shared" si="78"/>
        <v>8</v>
      </c>
      <c r="N433" s="78">
        <v>100</v>
      </c>
      <c r="O433">
        <f t="shared" si="72"/>
        <v>0.5</v>
      </c>
      <c r="P433" s="78">
        <v>50</v>
      </c>
      <c r="Q433">
        <f t="shared" si="73"/>
        <v>0.3</v>
      </c>
      <c r="R433" s="75">
        <v>15</v>
      </c>
      <c r="S433" s="6">
        <f t="shared" si="74"/>
        <v>0.15</v>
      </c>
    </row>
    <row r="434" spans="1:19" x14ac:dyDescent="0.25">
      <c r="A434" s="37" t="s">
        <v>110</v>
      </c>
      <c r="B434" s="6" t="s">
        <v>158</v>
      </c>
      <c r="C434" s="67">
        <v>170000</v>
      </c>
      <c r="D434" s="6">
        <f>(C434/12)*1</f>
        <v>14166.666666666666</v>
      </c>
      <c r="E434" s="67">
        <v>5000</v>
      </c>
      <c r="F434" s="6">
        <f>E434</f>
        <v>5000</v>
      </c>
      <c r="G434" s="36" t="str">
        <f t="shared" si="71"/>
        <v>Farol Vermelho</v>
      </c>
      <c r="H434">
        <f t="shared" si="69"/>
        <v>9166.6666666666661</v>
      </c>
      <c r="I434" s="6">
        <f t="shared" si="70"/>
        <v>1</v>
      </c>
      <c r="J434" s="77">
        <v>31</v>
      </c>
      <c r="K434" s="77">
        <v>1</v>
      </c>
      <c r="L434" s="6">
        <f>J434/12</f>
        <v>2.5833333333333335</v>
      </c>
      <c r="M434" s="6">
        <f>K434</f>
        <v>1</v>
      </c>
      <c r="N434" s="78">
        <v>100</v>
      </c>
      <c r="O434">
        <f t="shared" si="72"/>
        <v>0.5</v>
      </c>
      <c r="P434" s="78">
        <v>50</v>
      </c>
      <c r="Q434">
        <f t="shared" si="73"/>
        <v>0.3</v>
      </c>
      <c r="R434" s="75">
        <v>15</v>
      </c>
      <c r="S434" s="6">
        <f t="shared" si="74"/>
        <v>0.15</v>
      </c>
    </row>
    <row r="435" spans="1:19" x14ac:dyDescent="0.25">
      <c r="A435" s="37" t="s">
        <v>110</v>
      </c>
      <c r="B435" s="6" t="s">
        <v>159</v>
      </c>
      <c r="C435" s="67">
        <v>170000</v>
      </c>
      <c r="D435" s="6">
        <f>(C435/12)*2</f>
        <v>28333.333333333332</v>
      </c>
      <c r="E435" s="67">
        <v>0</v>
      </c>
      <c r="F435" s="6">
        <f>SUM(E434:E435)</f>
        <v>5000</v>
      </c>
      <c r="G435" s="36" t="str">
        <f t="shared" si="71"/>
        <v>Farol Vermelho</v>
      </c>
      <c r="H435">
        <f t="shared" si="69"/>
        <v>23333.333333333332</v>
      </c>
      <c r="I435" s="6">
        <f t="shared" si="70"/>
        <v>2</v>
      </c>
      <c r="J435" s="75">
        <v>31</v>
      </c>
      <c r="K435" s="75">
        <v>0</v>
      </c>
      <c r="L435" s="6">
        <f>L434+L434</f>
        <v>5.166666666666667</v>
      </c>
      <c r="M435" s="6">
        <f>M434+K435</f>
        <v>1</v>
      </c>
      <c r="N435" s="78">
        <v>100</v>
      </c>
      <c r="O435">
        <f t="shared" si="72"/>
        <v>0.5</v>
      </c>
      <c r="P435" s="78">
        <v>50</v>
      </c>
      <c r="Q435">
        <f t="shared" si="73"/>
        <v>0.3</v>
      </c>
      <c r="R435" s="75">
        <v>15</v>
      </c>
      <c r="S435" s="6">
        <f t="shared" si="74"/>
        <v>0.15</v>
      </c>
    </row>
    <row r="436" spans="1:19" x14ac:dyDescent="0.25">
      <c r="A436" s="37" t="s">
        <v>110</v>
      </c>
      <c r="B436" s="6" t="s">
        <v>160</v>
      </c>
      <c r="C436" s="67">
        <v>170000</v>
      </c>
      <c r="D436" s="6">
        <f>(C436/12)*3</f>
        <v>42500</v>
      </c>
      <c r="E436" s="67">
        <v>4000</v>
      </c>
      <c r="F436" s="6">
        <f>SUM(E434:E436)</f>
        <v>9000</v>
      </c>
      <c r="G436" s="36" t="str">
        <f t="shared" si="71"/>
        <v>Farol Vermelho</v>
      </c>
      <c r="H436">
        <f t="shared" si="69"/>
        <v>33500</v>
      </c>
      <c r="I436" s="6">
        <f t="shared" si="70"/>
        <v>3</v>
      </c>
      <c r="J436" s="77">
        <v>31</v>
      </c>
      <c r="K436" s="77">
        <v>1</v>
      </c>
      <c r="L436" s="6">
        <f>$L434+L435</f>
        <v>7.75</v>
      </c>
      <c r="M436" s="6">
        <f t="shared" ref="M436:M445" si="79">M435+K436</f>
        <v>2</v>
      </c>
      <c r="N436" s="78">
        <v>100</v>
      </c>
      <c r="O436">
        <f t="shared" si="72"/>
        <v>0.5</v>
      </c>
      <c r="P436" s="78">
        <v>50</v>
      </c>
      <c r="Q436">
        <f t="shared" si="73"/>
        <v>0.3</v>
      </c>
      <c r="R436" s="75">
        <v>15</v>
      </c>
      <c r="S436" s="6">
        <f t="shared" si="74"/>
        <v>0.15</v>
      </c>
    </row>
    <row r="437" spans="1:19" x14ac:dyDescent="0.25">
      <c r="A437" s="37" t="s">
        <v>110</v>
      </c>
      <c r="B437" s="6" t="s">
        <v>161</v>
      </c>
      <c r="C437" s="67">
        <v>170000</v>
      </c>
      <c r="D437" s="6">
        <f>(C437/12)*4</f>
        <v>56666.666666666664</v>
      </c>
      <c r="E437" s="67">
        <v>8820</v>
      </c>
      <c r="F437" s="6">
        <f>SUM(E434:E437)</f>
        <v>17820</v>
      </c>
      <c r="G437" s="36" t="str">
        <f t="shared" si="71"/>
        <v>Farol Vermelho</v>
      </c>
      <c r="H437">
        <f t="shared" si="69"/>
        <v>38846.666666666664</v>
      </c>
      <c r="I437" s="6">
        <f t="shared" si="70"/>
        <v>4</v>
      </c>
      <c r="J437" s="75">
        <v>31</v>
      </c>
      <c r="K437" s="75">
        <v>2</v>
      </c>
      <c r="L437" s="6">
        <f>$L434+L436</f>
        <v>10.333333333333334</v>
      </c>
      <c r="M437" s="6">
        <f t="shared" si="79"/>
        <v>4</v>
      </c>
      <c r="N437" s="78">
        <v>100</v>
      </c>
      <c r="O437">
        <f t="shared" si="72"/>
        <v>0.5</v>
      </c>
      <c r="P437" s="78">
        <v>50</v>
      </c>
      <c r="Q437">
        <f t="shared" si="73"/>
        <v>0.3</v>
      </c>
      <c r="R437" s="75">
        <v>15</v>
      </c>
      <c r="S437" s="6">
        <f t="shared" si="74"/>
        <v>0.15</v>
      </c>
    </row>
    <row r="438" spans="1:19" x14ac:dyDescent="0.25">
      <c r="A438" s="37" t="s">
        <v>110</v>
      </c>
      <c r="B438" s="6" t="s">
        <v>162</v>
      </c>
      <c r="C438" s="67">
        <v>170000</v>
      </c>
      <c r="D438" s="6">
        <f>(C438/12)*5</f>
        <v>70833.333333333328</v>
      </c>
      <c r="E438" s="67">
        <v>7350</v>
      </c>
      <c r="F438" s="6">
        <f>SUM(E434:E438)</f>
        <v>25170</v>
      </c>
      <c r="G438" s="36" t="str">
        <f t="shared" si="71"/>
        <v>Farol Vermelho</v>
      </c>
      <c r="H438">
        <f t="shared" si="69"/>
        <v>45663.333333333328</v>
      </c>
      <c r="I438" s="6">
        <f t="shared" si="70"/>
        <v>5</v>
      </c>
      <c r="J438" s="77">
        <v>31</v>
      </c>
      <c r="K438" s="77">
        <v>3</v>
      </c>
      <c r="L438" s="6">
        <f>L434+L437</f>
        <v>12.916666666666668</v>
      </c>
      <c r="M438" s="6">
        <f t="shared" si="79"/>
        <v>7</v>
      </c>
      <c r="N438" s="78">
        <v>100</v>
      </c>
      <c r="O438">
        <f t="shared" si="72"/>
        <v>0.5</v>
      </c>
      <c r="P438" s="78">
        <v>50</v>
      </c>
      <c r="Q438">
        <f t="shared" si="73"/>
        <v>0.3</v>
      </c>
      <c r="R438" s="75">
        <v>15</v>
      </c>
      <c r="S438" s="6">
        <f t="shared" si="74"/>
        <v>0.15</v>
      </c>
    </row>
    <row r="439" spans="1:19" x14ac:dyDescent="0.25">
      <c r="A439" s="37" t="s">
        <v>110</v>
      </c>
      <c r="B439" s="6" t="s">
        <v>163</v>
      </c>
      <c r="C439" s="67">
        <v>170000</v>
      </c>
      <c r="D439" s="6">
        <f>(C439/12)*6</f>
        <v>85000</v>
      </c>
      <c r="E439" s="67">
        <v>25884</v>
      </c>
      <c r="F439" s="6">
        <f>SUM(E434:E439)</f>
        <v>51054</v>
      </c>
      <c r="G439" s="36" t="str">
        <f t="shared" si="71"/>
        <v>Farol Vermelho</v>
      </c>
      <c r="H439">
        <f t="shared" si="69"/>
        <v>33946</v>
      </c>
      <c r="I439" s="6">
        <f t="shared" si="70"/>
        <v>6</v>
      </c>
      <c r="J439" s="75">
        <v>31</v>
      </c>
      <c r="K439" s="75">
        <v>6</v>
      </c>
      <c r="L439" s="6">
        <f>$L434+L438</f>
        <v>15.500000000000002</v>
      </c>
      <c r="M439" s="6">
        <f t="shared" si="79"/>
        <v>13</v>
      </c>
      <c r="N439" s="78">
        <v>100</v>
      </c>
      <c r="O439">
        <f t="shared" si="72"/>
        <v>0.5</v>
      </c>
      <c r="P439" s="78">
        <v>50</v>
      </c>
      <c r="Q439">
        <f t="shared" si="73"/>
        <v>0.3</v>
      </c>
      <c r="R439" s="75">
        <v>15</v>
      </c>
      <c r="S439" s="6">
        <f t="shared" si="74"/>
        <v>0.15</v>
      </c>
    </row>
    <row r="440" spans="1:19" x14ac:dyDescent="0.25">
      <c r="A440" s="37" t="s">
        <v>110</v>
      </c>
      <c r="B440" s="6" t="s">
        <v>164</v>
      </c>
      <c r="C440" s="67">
        <v>170000</v>
      </c>
      <c r="D440" s="6">
        <f>(C440/12)*7</f>
        <v>99166.666666666657</v>
      </c>
      <c r="E440" s="67">
        <v>3500</v>
      </c>
      <c r="F440" s="6">
        <f>SUM(E434:E440)</f>
        <v>54554</v>
      </c>
      <c r="G440" s="36" t="str">
        <f t="shared" si="71"/>
        <v>Farol Vermelho</v>
      </c>
      <c r="H440">
        <f t="shared" si="69"/>
        <v>44612.666666666657</v>
      </c>
      <c r="I440" s="6">
        <f t="shared" si="70"/>
        <v>7</v>
      </c>
      <c r="J440" s="77">
        <v>31</v>
      </c>
      <c r="K440" s="77">
        <v>2</v>
      </c>
      <c r="L440" s="6">
        <f>$L434+L439</f>
        <v>18.083333333333336</v>
      </c>
      <c r="M440" s="6">
        <f t="shared" si="79"/>
        <v>15</v>
      </c>
      <c r="N440" s="78">
        <v>100</v>
      </c>
      <c r="O440">
        <f t="shared" si="72"/>
        <v>0.5</v>
      </c>
      <c r="P440" s="78">
        <v>50</v>
      </c>
      <c r="Q440">
        <f t="shared" si="73"/>
        <v>0.3</v>
      </c>
      <c r="R440" s="75">
        <v>15</v>
      </c>
      <c r="S440" s="6">
        <f t="shared" si="74"/>
        <v>0.15</v>
      </c>
    </row>
    <row r="441" spans="1:19" x14ac:dyDescent="0.25">
      <c r="A441" s="37" t="s">
        <v>110</v>
      </c>
      <c r="B441" s="6" t="s">
        <v>165</v>
      </c>
      <c r="C441" s="67">
        <v>170000</v>
      </c>
      <c r="D441" s="6">
        <f>(C441/12)*8</f>
        <v>113333.33333333333</v>
      </c>
      <c r="E441" s="67">
        <v>71741</v>
      </c>
      <c r="F441" s="6">
        <f>SUM(E434:E441)</f>
        <v>126295</v>
      </c>
      <c r="G441" s="36" t="str">
        <f t="shared" si="71"/>
        <v>Farol Verde</v>
      </c>
      <c r="H441">
        <f t="shared" si="69"/>
        <v>0</v>
      </c>
      <c r="I441" s="6">
        <f t="shared" si="70"/>
        <v>8</v>
      </c>
      <c r="J441" s="75">
        <v>31</v>
      </c>
      <c r="K441" s="75">
        <v>14</v>
      </c>
      <c r="L441" s="6">
        <f>L434+L440</f>
        <v>20.666666666666668</v>
      </c>
      <c r="M441" s="6">
        <f t="shared" si="79"/>
        <v>29</v>
      </c>
      <c r="N441" s="78">
        <v>100</v>
      </c>
      <c r="O441">
        <f t="shared" si="72"/>
        <v>0.5</v>
      </c>
      <c r="P441" s="78">
        <v>50</v>
      </c>
      <c r="Q441">
        <f t="shared" si="73"/>
        <v>0.3</v>
      </c>
      <c r="R441" s="75">
        <v>15</v>
      </c>
      <c r="S441" s="6">
        <f t="shared" si="74"/>
        <v>0.15</v>
      </c>
    </row>
    <row r="442" spans="1:19" x14ac:dyDescent="0.25">
      <c r="A442" s="37" t="s">
        <v>110</v>
      </c>
      <c r="B442" s="6" t="s">
        <v>166</v>
      </c>
      <c r="C442" s="67">
        <v>170000</v>
      </c>
      <c r="D442" s="6">
        <f>(C442/12)*9</f>
        <v>127500</v>
      </c>
      <c r="E442" s="67">
        <v>7000</v>
      </c>
      <c r="F442" s="6">
        <f>SUM(E434:E442)</f>
        <v>133295</v>
      </c>
      <c r="G442" s="36" t="str">
        <f t="shared" si="71"/>
        <v>Farol Verde</v>
      </c>
      <c r="H442">
        <f t="shared" si="69"/>
        <v>0</v>
      </c>
      <c r="I442" s="6">
        <f t="shared" si="70"/>
        <v>9</v>
      </c>
      <c r="J442" s="77">
        <v>31</v>
      </c>
      <c r="K442" s="77">
        <v>1</v>
      </c>
      <c r="L442" s="6">
        <f>$L434+L441</f>
        <v>23.25</v>
      </c>
      <c r="M442" s="6">
        <f t="shared" si="79"/>
        <v>30</v>
      </c>
      <c r="N442" s="78">
        <v>100</v>
      </c>
      <c r="O442">
        <f t="shared" si="72"/>
        <v>0.5</v>
      </c>
      <c r="P442" s="78">
        <v>50</v>
      </c>
      <c r="Q442">
        <f t="shared" si="73"/>
        <v>0.3</v>
      </c>
      <c r="R442" s="75">
        <v>15</v>
      </c>
      <c r="S442" s="6">
        <f t="shared" si="74"/>
        <v>0.15</v>
      </c>
    </row>
    <row r="443" spans="1:19" x14ac:dyDescent="0.25">
      <c r="A443" s="37" t="s">
        <v>110</v>
      </c>
      <c r="B443" s="6" t="s">
        <v>167</v>
      </c>
      <c r="C443" s="67">
        <v>170000</v>
      </c>
      <c r="D443" s="6">
        <f>(C443/12)*10</f>
        <v>141666.66666666666</v>
      </c>
      <c r="E443" s="67">
        <v>8372</v>
      </c>
      <c r="F443" s="6">
        <f>SUM(E434:E443)</f>
        <v>141667</v>
      </c>
      <c r="G443" s="36" t="str">
        <f t="shared" si="71"/>
        <v>Farol Verde</v>
      </c>
      <c r="H443">
        <f t="shared" si="69"/>
        <v>0</v>
      </c>
      <c r="I443" s="6">
        <f t="shared" si="70"/>
        <v>10</v>
      </c>
      <c r="J443" s="75">
        <v>31</v>
      </c>
      <c r="K443" s="75">
        <v>3</v>
      </c>
      <c r="L443" s="6">
        <f>$L434+L442</f>
        <v>25.833333333333332</v>
      </c>
      <c r="M443" s="6">
        <f t="shared" si="79"/>
        <v>33</v>
      </c>
      <c r="N443" s="78">
        <v>100</v>
      </c>
      <c r="O443">
        <f t="shared" si="72"/>
        <v>0.5</v>
      </c>
      <c r="P443" s="78">
        <v>50</v>
      </c>
      <c r="Q443">
        <f t="shared" si="73"/>
        <v>0.3</v>
      </c>
      <c r="R443" s="75">
        <v>15</v>
      </c>
      <c r="S443" s="6">
        <f t="shared" si="74"/>
        <v>0.15</v>
      </c>
    </row>
    <row r="444" spans="1:19" x14ac:dyDescent="0.25">
      <c r="A444" s="37" t="s">
        <v>110</v>
      </c>
      <c r="B444" s="6" t="s">
        <v>168</v>
      </c>
      <c r="C444" s="67">
        <v>170000</v>
      </c>
      <c r="D444" s="6">
        <f>(C444/12)*11</f>
        <v>155833.33333333331</v>
      </c>
      <c r="E444" s="67">
        <v>0</v>
      </c>
      <c r="F444" s="6">
        <f>SUM(E434:E444)</f>
        <v>141667</v>
      </c>
      <c r="G444" s="36" t="str">
        <f t="shared" si="71"/>
        <v>Farol Amarelo</v>
      </c>
      <c r="H444">
        <f t="shared" si="69"/>
        <v>14166.333333333314</v>
      </c>
      <c r="I444" s="6">
        <f t="shared" si="70"/>
        <v>11</v>
      </c>
      <c r="J444" s="77">
        <v>31</v>
      </c>
      <c r="K444" s="77">
        <v>0</v>
      </c>
      <c r="L444" s="6">
        <f>L434+L443</f>
        <v>28.416666666666664</v>
      </c>
      <c r="M444" s="6">
        <f t="shared" si="79"/>
        <v>33</v>
      </c>
      <c r="N444" s="78">
        <v>100</v>
      </c>
      <c r="O444">
        <f t="shared" si="72"/>
        <v>0.5</v>
      </c>
      <c r="P444" s="78">
        <v>50</v>
      </c>
      <c r="Q444">
        <f t="shared" si="73"/>
        <v>0.3</v>
      </c>
      <c r="R444" s="75">
        <v>15</v>
      </c>
      <c r="S444" s="6">
        <f t="shared" si="74"/>
        <v>0.15</v>
      </c>
    </row>
    <row r="445" spans="1:19" x14ac:dyDescent="0.25">
      <c r="A445" s="37" t="s">
        <v>110</v>
      </c>
      <c r="B445" s="6" t="s">
        <v>169</v>
      </c>
      <c r="C445" s="67">
        <v>170000</v>
      </c>
      <c r="D445" s="6">
        <f>(C445/12)*12</f>
        <v>170000</v>
      </c>
      <c r="E445" s="67">
        <v>28390.04</v>
      </c>
      <c r="F445" s="6">
        <f>SUM(E434:E445)</f>
        <v>170057.04</v>
      </c>
      <c r="G445" s="36" t="str">
        <f t="shared" si="71"/>
        <v>Farol Verde</v>
      </c>
      <c r="H445">
        <f t="shared" si="69"/>
        <v>0</v>
      </c>
      <c r="I445" s="6">
        <f t="shared" si="70"/>
        <v>12</v>
      </c>
      <c r="J445" s="75">
        <v>31</v>
      </c>
      <c r="K445" s="75">
        <v>9</v>
      </c>
      <c r="L445" s="6">
        <f>$L434+L444</f>
        <v>30.999999999999996</v>
      </c>
      <c r="M445" s="6">
        <f t="shared" si="79"/>
        <v>42</v>
      </c>
      <c r="N445" s="78">
        <v>100</v>
      </c>
      <c r="O445">
        <f t="shared" si="72"/>
        <v>0.5</v>
      </c>
      <c r="P445" s="78">
        <v>50</v>
      </c>
      <c r="Q445">
        <f t="shared" si="73"/>
        <v>0.3</v>
      </c>
      <c r="R445" s="75">
        <v>15</v>
      </c>
      <c r="S445" s="6">
        <f t="shared" si="74"/>
        <v>0.15</v>
      </c>
    </row>
    <row r="446" spans="1:19" x14ac:dyDescent="0.25">
      <c r="A446" s="37" t="s">
        <v>32</v>
      </c>
      <c r="B446" s="6" t="s">
        <v>158</v>
      </c>
      <c r="C446" s="67">
        <v>0</v>
      </c>
      <c r="D446" s="6">
        <f>(C446/12)*1</f>
        <v>0</v>
      </c>
      <c r="E446" s="67">
        <v>0</v>
      </c>
      <c r="F446" s="6">
        <f>E446</f>
        <v>0</v>
      </c>
      <c r="G446" s="36" t="str">
        <f t="shared" si="71"/>
        <v>Farol Amarelo</v>
      </c>
      <c r="H446">
        <f t="shared" si="69"/>
        <v>0</v>
      </c>
      <c r="I446" s="6">
        <f t="shared" si="70"/>
        <v>1</v>
      </c>
      <c r="J446" s="77">
        <v>0</v>
      </c>
      <c r="K446" s="77">
        <v>0</v>
      </c>
      <c r="L446" s="6">
        <f>J446/12</f>
        <v>0</v>
      </c>
      <c r="M446" s="6">
        <f>K446</f>
        <v>0</v>
      </c>
      <c r="N446" s="78">
        <v>100</v>
      </c>
      <c r="O446">
        <f t="shared" si="72"/>
        <v>0.5</v>
      </c>
      <c r="P446" s="78">
        <v>50</v>
      </c>
      <c r="Q446">
        <f t="shared" si="73"/>
        <v>0.3</v>
      </c>
      <c r="R446" s="75">
        <v>15</v>
      </c>
      <c r="S446" s="6">
        <f t="shared" si="74"/>
        <v>0.15</v>
      </c>
    </row>
    <row r="447" spans="1:19" x14ac:dyDescent="0.25">
      <c r="A447" s="37" t="s">
        <v>32</v>
      </c>
      <c r="B447" s="6" t="s">
        <v>159</v>
      </c>
      <c r="C447" s="67">
        <v>0</v>
      </c>
      <c r="D447" s="6">
        <f>(C447/12)*2</f>
        <v>0</v>
      </c>
      <c r="E447" s="67">
        <v>0</v>
      </c>
      <c r="F447" s="6">
        <f>SUM(E446:E447)</f>
        <v>0</v>
      </c>
      <c r="G447" s="36" t="str">
        <f t="shared" si="71"/>
        <v>Farol Amarelo</v>
      </c>
      <c r="H447">
        <f t="shared" si="69"/>
        <v>0</v>
      </c>
      <c r="I447" s="6">
        <f t="shared" si="70"/>
        <v>2</v>
      </c>
      <c r="J447" s="75">
        <v>0</v>
      </c>
      <c r="K447" s="75">
        <v>0</v>
      </c>
      <c r="L447" s="6">
        <f>L446+L446</f>
        <v>0</v>
      </c>
      <c r="M447" s="6">
        <f>M446+K447</f>
        <v>0</v>
      </c>
      <c r="N447" s="78">
        <v>100</v>
      </c>
      <c r="O447">
        <f t="shared" si="72"/>
        <v>0.5</v>
      </c>
      <c r="P447" s="78">
        <v>50</v>
      </c>
      <c r="Q447">
        <f t="shared" si="73"/>
        <v>0.3</v>
      </c>
      <c r="R447" s="75">
        <v>15</v>
      </c>
      <c r="S447" s="6">
        <f t="shared" si="74"/>
        <v>0.15</v>
      </c>
    </row>
    <row r="448" spans="1:19" x14ac:dyDescent="0.25">
      <c r="A448" s="37" t="s">
        <v>32</v>
      </c>
      <c r="B448" s="6" t="s">
        <v>160</v>
      </c>
      <c r="C448" s="67">
        <v>0</v>
      </c>
      <c r="D448" s="6">
        <f>(C448/12)*3</f>
        <v>0</v>
      </c>
      <c r="E448" s="67">
        <v>0</v>
      </c>
      <c r="F448" s="6">
        <f>SUM(E446:E448)</f>
        <v>0</v>
      </c>
      <c r="G448" s="36" t="str">
        <f t="shared" si="71"/>
        <v>Farol Amarelo</v>
      </c>
      <c r="H448">
        <f t="shared" si="69"/>
        <v>0</v>
      </c>
      <c r="I448" s="6">
        <f t="shared" si="70"/>
        <v>3</v>
      </c>
      <c r="J448" s="77">
        <v>0</v>
      </c>
      <c r="K448" s="77">
        <v>0</v>
      </c>
      <c r="L448" s="6">
        <f>$L446+L447</f>
        <v>0</v>
      </c>
      <c r="M448" s="6">
        <f t="shared" ref="M448:M457" si="80">M447+K448</f>
        <v>0</v>
      </c>
      <c r="N448" s="78">
        <v>100</v>
      </c>
      <c r="O448">
        <f t="shared" si="72"/>
        <v>0.5</v>
      </c>
      <c r="P448" s="78">
        <v>50</v>
      </c>
      <c r="Q448">
        <f t="shared" si="73"/>
        <v>0.3</v>
      </c>
      <c r="R448" s="75">
        <v>15</v>
      </c>
      <c r="S448" s="6">
        <f t="shared" si="74"/>
        <v>0.15</v>
      </c>
    </row>
    <row r="449" spans="1:19" x14ac:dyDescent="0.25">
      <c r="A449" s="37" t="s">
        <v>32</v>
      </c>
      <c r="B449" s="6" t="s">
        <v>161</v>
      </c>
      <c r="C449" s="67">
        <v>0</v>
      </c>
      <c r="D449" s="6">
        <f>(C449/12)*4</f>
        <v>0</v>
      </c>
      <c r="E449" s="67">
        <v>0</v>
      </c>
      <c r="F449" s="6">
        <f>SUM(E446:E449)</f>
        <v>0</v>
      </c>
      <c r="G449" s="36" t="str">
        <f t="shared" si="71"/>
        <v>Farol Amarelo</v>
      </c>
      <c r="H449">
        <f t="shared" si="69"/>
        <v>0</v>
      </c>
      <c r="I449" s="6">
        <f t="shared" si="70"/>
        <v>4</v>
      </c>
      <c r="J449" s="75">
        <v>0</v>
      </c>
      <c r="K449" s="75">
        <v>0</v>
      </c>
      <c r="L449" s="6">
        <f>$L446+L448</f>
        <v>0</v>
      </c>
      <c r="M449" s="6">
        <f t="shared" si="80"/>
        <v>0</v>
      </c>
      <c r="N449" s="78">
        <v>100</v>
      </c>
      <c r="O449">
        <f t="shared" si="72"/>
        <v>0.5</v>
      </c>
      <c r="P449" s="78">
        <v>50</v>
      </c>
      <c r="Q449">
        <f t="shared" si="73"/>
        <v>0.3</v>
      </c>
      <c r="R449" s="75">
        <v>15</v>
      </c>
      <c r="S449" s="6">
        <f t="shared" si="74"/>
        <v>0.15</v>
      </c>
    </row>
    <row r="450" spans="1:19" x14ac:dyDescent="0.25">
      <c r="A450" s="37" t="s">
        <v>32</v>
      </c>
      <c r="B450" s="6" t="s">
        <v>162</v>
      </c>
      <c r="C450" s="67">
        <v>0</v>
      </c>
      <c r="D450" s="6">
        <f>(C450/12)*5</f>
        <v>0</v>
      </c>
      <c r="E450" s="67">
        <v>0</v>
      </c>
      <c r="F450" s="6">
        <f>SUM(E446:E450)</f>
        <v>0</v>
      </c>
      <c r="G450" s="36" t="str">
        <f t="shared" si="71"/>
        <v>Farol Amarelo</v>
      </c>
      <c r="H450">
        <f t="shared" ref="H450:H513" si="81">IF(D450-F450&lt;0,0,D450-F450)</f>
        <v>0</v>
      </c>
      <c r="I450" s="6">
        <f t="shared" ref="I450:I513" si="82">_xlfn.IFS(B450="Janeiro",1,B450="Fevereiro",2,B450="Março",3,B450="Abril",4,B450="Maio",5,B450="Junho",6,B450="Julho",7,B450="Agosto",8,B450="Setembro",9,B450="Outubro",10,B450="Novembro",11,B450="Dezembro",12,TRUE,0)</f>
        <v>5</v>
      </c>
      <c r="J450" s="77">
        <v>0</v>
      </c>
      <c r="K450" s="77">
        <v>0</v>
      </c>
      <c r="L450" s="6">
        <f>L446+L449</f>
        <v>0</v>
      </c>
      <c r="M450" s="6">
        <f t="shared" si="80"/>
        <v>0</v>
      </c>
      <c r="N450" s="78">
        <v>100</v>
      </c>
      <c r="O450">
        <f t="shared" si="72"/>
        <v>0.5</v>
      </c>
      <c r="P450" s="78">
        <v>50</v>
      </c>
      <c r="Q450">
        <f t="shared" si="73"/>
        <v>0.3</v>
      </c>
      <c r="R450" s="75">
        <v>15</v>
      </c>
      <c r="S450" s="6">
        <f t="shared" si="74"/>
        <v>0.15</v>
      </c>
    </row>
    <row r="451" spans="1:19" x14ac:dyDescent="0.25">
      <c r="A451" s="37" t="s">
        <v>32</v>
      </c>
      <c r="B451" s="6" t="s">
        <v>163</v>
      </c>
      <c r="C451" s="67">
        <v>0</v>
      </c>
      <c r="D451" s="6">
        <f>(C451/12)*6</f>
        <v>0</v>
      </c>
      <c r="E451" s="67">
        <v>0</v>
      </c>
      <c r="F451" s="6">
        <f>SUM(E446:E451)</f>
        <v>0</v>
      </c>
      <c r="G451" s="36" t="str">
        <f t="shared" ref="G451:G514" si="83">_xlfn.IFS(F451&gt;D451,"Farol Verde",F451&gt;=D451*0.85,"Farol Amarelo",F451&lt;D451*0.85,"Farol Vermelho","Verdadeiro",0)</f>
        <v>Farol Amarelo</v>
      </c>
      <c r="H451">
        <f t="shared" si="81"/>
        <v>0</v>
      </c>
      <c r="I451" s="6">
        <f t="shared" si="82"/>
        <v>6</v>
      </c>
      <c r="J451" s="75">
        <v>0</v>
      </c>
      <c r="K451" s="75">
        <v>0</v>
      </c>
      <c r="L451" s="6">
        <f>$L446+L450</f>
        <v>0</v>
      </c>
      <c r="M451" s="6">
        <f t="shared" si="80"/>
        <v>0</v>
      </c>
      <c r="N451" s="78">
        <v>100</v>
      </c>
      <c r="O451">
        <f t="shared" ref="O451:O514" si="84">P451/N451</f>
        <v>0.5</v>
      </c>
      <c r="P451" s="78">
        <v>50</v>
      </c>
      <c r="Q451">
        <f t="shared" ref="Q451:Q514" si="85">R451/P451</f>
        <v>0.3</v>
      </c>
      <c r="R451" s="75">
        <v>15</v>
      </c>
      <c r="S451" s="6">
        <f t="shared" ref="S451:S514" si="86">R451/N451</f>
        <v>0.15</v>
      </c>
    </row>
    <row r="452" spans="1:19" x14ac:dyDescent="0.25">
      <c r="A452" s="37" t="s">
        <v>32</v>
      </c>
      <c r="B452" s="6" t="s">
        <v>164</v>
      </c>
      <c r="C452" s="67">
        <v>0</v>
      </c>
      <c r="D452" s="6">
        <f>(C452/12)*7</f>
        <v>0</v>
      </c>
      <c r="E452" s="67">
        <v>0</v>
      </c>
      <c r="F452" s="6">
        <f>SUM(E446:E452)</f>
        <v>0</v>
      </c>
      <c r="G452" s="36" t="str">
        <f t="shared" si="83"/>
        <v>Farol Amarelo</v>
      </c>
      <c r="H452">
        <f t="shared" si="81"/>
        <v>0</v>
      </c>
      <c r="I452" s="6">
        <f t="shared" si="82"/>
        <v>7</v>
      </c>
      <c r="J452" s="77">
        <v>0</v>
      </c>
      <c r="K452" s="77">
        <v>0</v>
      </c>
      <c r="L452" s="6">
        <f>$L446+L451</f>
        <v>0</v>
      </c>
      <c r="M452" s="6">
        <f t="shared" si="80"/>
        <v>0</v>
      </c>
      <c r="N452" s="78">
        <v>100</v>
      </c>
      <c r="O452">
        <f t="shared" si="84"/>
        <v>0.5</v>
      </c>
      <c r="P452" s="78">
        <v>50</v>
      </c>
      <c r="Q452">
        <f t="shared" si="85"/>
        <v>0.3</v>
      </c>
      <c r="R452" s="75">
        <v>15</v>
      </c>
      <c r="S452" s="6">
        <f t="shared" si="86"/>
        <v>0.15</v>
      </c>
    </row>
    <row r="453" spans="1:19" x14ac:dyDescent="0.25">
      <c r="A453" s="37" t="s">
        <v>32</v>
      </c>
      <c r="B453" s="6" t="s">
        <v>165</v>
      </c>
      <c r="C453" s="67">
        <v>0</v>
      </c>
      <c r="D453" s="6">
        <f>(C453/12)*8</f>
        <v>0</v>
      </c>
      <c r="E453" s="67">
        <v>0</v>
      </c>
      <c r="F453" s="6">
        <f>SUM(E446:E453)</f>
        <v>0</v>
      </c>
      <c r="G453" s="36" t="str">
        <f t="shared" si="83"/>
        <v>Farol Amarelo</v>
      </c>
      <c r="H453">
        <f t="shared" si="81"/>
        <v>0</v>
      </c>
      <c r="I453" s="6">
        <f t="shared" si="82"/>
        <v>8</v>
      </c>
      <c r="J453" s="75">
        <v>0</v>
      </c>
      <c r="K453" s="75">
        <v>0</v>
      </c>
      <c r="L453" s="6">
        <f>L446+L452</f>
        <v>0</v>
      </c>
      <c r="M453" s="6">
        <f t="shared" si="80"/>
        <v>0</v>
      </c>
      <c r="N453" s="78">
        <v>100</v>
      </c>
      <c r="O453">
        <f t="shared" si="84"/>
        <v>0.5</v>
      </c>
      <c r="P453" s="78">
        <v>50</v>
      </c>
      <c r="Q453">
        <f t="shared" si="85"/>
        <v>0.3</v>
      </c>
      <c r="R453" s="75">
        <v>15</v>
      </c>
      <c r="S453" s="6">
        <f t="shared" si="86"/>
        <v>0.15</v>
      </c>
    </row>
    <row r="454" spans="1:19" x14ac:dyDescent="0.25">
      <c r="A454" s="37" t="s">
        <v>32</v>
      </c>
      <c r="B454" s="6" t="s">
        <v>166</v>
      </c>
      <c r="C454" s="67">
        <v>0</v>
      </c>
      <c r="D454" s="6">
        <f>(C454/12)*9</f>
        <v>0</v>
      </c>
      <c r="E454" s="67">
        <v>0</v>
      </c>
      <c r="F454" s="6">
        <f>SUM(E446:E454)</f>
        <v>0</v>
      </c>
      <c r="G454" s="36" t="str">
        <f t="shared" si="83"/>
        <v>Farol Amarelo</v>
      </c>
      <c r="H454">
        <f t="shared" si="81"/>
        <v>0</v>
      </c>
      <c r="I454" s="6">
        <f t="shared" si="82"/>
        <v>9</v>
      </c>
      <c r="J454" s="77">
        <v>0</v>
      </c>
      <c r="K454" s="77">
        <v>0</v>
      </c>
      <c r="L454" s="6">
        <f>$L446+L453</f>
        <v>0</v>
      </c>
      <c r="M454" s="6">
        <f t="shared" si="80"/>
        <v>0</v>
      </c>
      <c r="N454" s="78">
        <v>100</v>
      </c>
      <c r="O454">
        <f t="shared" si="84"/>
        <v>0.5</v>
      </c>
      <c r="P454" s="78">
        <v>50</v>
      </c>
      <c r="Q454">
        <f t="shared" si="85"/>
        <v>0.3</v>
      </c>
      <c r="R454" s="75">
        <v>15</v>
      </c>
      <c r="S454" s="6">
        <f t="shared" si="86"/>
        <v>0.15</v>
      </c>
    </row>
    <row r="455" spans="1:19" x14ac:dyDescent="0.25">
      <c r="A455" s="37" t="s">
        <v>32</v>
      </c>
      <c r="B455" s="6" t="s">
        <v>167</v>
      </c>
      <c r="C455" s="67">
        <v>0</v>
      </c>
      <c r="D455" s="6">
        <f>(C455/12)*10</f>
        <v>0</v>
      </c>
      <c r="E455" s="67">
        <v>0</v>
      </c>
      <c r="F455" s="6">
        <f>SUM(E446:E455)</f>
        <v>0</v>
      </c>
      <c r="G455" s="36" t="str">
        <f t="shared" si="83"/>
        <v>Farol Amarelo</v>
      </c>
      <c r="H455">
        <f t="shared" si="81"/>
        <v>0</v>
      </c>
      <c r="I455" s="6">
        <f t="shared" si="82"/>
        <v>10</v>
      </c>
      <c r="J455" s="75">
        <v>0</v>
      </c>
      <c r="K455" s="75">
        <v>0</v>
      </c>
      <c r="L455" s="6">
        <f>$L446+L454</f>
        <v>0</v>
      </c>
      <c r="M455" s="6">
        <f t="shared" si="80"/>
        <v>0</v>
      </c>
      <c r="N455" s="78">
        <v>100</v>
      </c>
      <c r="O455">
        <f t="shared" si="84"/>
        <v>0.5</v>
      </c>
      <c r="P455" s="78">
        <v>50</v>
      </c>
      <c r="Q455">
        <f t="shared" si="85"/>
        <v>0.3</v>
      </c>
      <c r="R455" s="75">
        <v>15</v>
      </c>
      <c r="S455" s="6">
        <f t="shared" si="86"/>
        <v>0.15</v>
      </c>
    </row>
    <row r="456" spans="1:19" x14ac:dyDescent="0.25">
      <c r="A456" s="37" t="s">
        <v>32</v>
      </c>
      <c r="B456" s="6" t="s">
        <v>168</v>
      </c>
      <c r="C456" s="67">
        <v>0</v>
      </c>
      <c r="D456" s="6">
        <f>(C456/12)*11</f>
        <v>0</v>
      </c>
      <c r="E456" s="67">
        <v>0</v>
      </c>
      <c r="F456" s="6">
        <f>SUM(E446:E456)</f>
        <v>0</v>
      </c>
      <c r="G456" s="36" t="str">
        <f t="shared" si="83"/>
        <v>Farol Amarelo</v>
      </c>
      <c r="H456">
        <f t="shared" si="81"/>
        <v>0</v>
      </c>
      <c r="I456" s="6">
        <f t="shared" si="82"/>
        <v>11</v>
      </c>
      <c r="J456" s="77">
        <v>0</v>
      </c>
      <c r="K456" s="77">
        <v>0</v>
      </c>
      <c r="L456" s="6">
        <f>L446+L455</f>
        <v>0</v>
      </c>
      <c r="M456" s="6">
        <f t="shared" si="80"/>
        <v>0</v>
      </c>
      <c r="N456" s="78">
        <v>100</v>
      </c>
      <c r="O456">
        <f t="shared" si="84"/>
        <v>0.5</v>
      </c>
      <c r="P456" s="78">
        <v>50</v>
      </c>
      <c r="Q456">
        <f t="shared" si="85"/>
        <v>0.3</v>
      </c>
      <c r="R456" s="75">
        <v>15</v>
      </c>
      <c r="S456" s="6">
        <f t="shared" si="86"/>
        <v>0.15</v>
      </c>
    </row>
    <row r="457" spans="1:19" x14ac:dyDescent="0.25">
      <c r="A457" s="37" t="s">
        <v>32</v>
      </c>
      <c r="B457" s="6" t="s">
        <v>169</v>
      </c>
      <c r="C457" s="67">
        <v>0</v>
      </c>
      <c r="D457" s="6">
        <f>(C457/12)*12</f>
        <v>0</v>
      </c>
      <c r="E457" s="67">
        <v>900</v>
      </c>
      <c r="F457" s="6">
        <f>SUM(E446:E457)</f>
        <v>900</v>
      </c>
      <c r="G457" s="36" t="str">
        <f t="shared" si="83"/>
        <v>Farol Verde</v>
      </c>
      <c r="H457">
        <f t="shared" si="81"/>
        <v>0</v>
      </c>
      <c r="I457" s="6">
        <f t="shared" si="82"/>
        <v>12</v>
      </c>
      <c r="J457" s="75">
        <v>0</v>
      </c>
      <c r="K457" s="75">
        <v>2</v>
      </c>
      <c r="L457" s="6">
        <f>$L446+L456</f>
        <v>0</v>
      </c>
      <c r="M457" s="6">
        <f t="shared" si="80"/>
        <v>2</v>
      </c>
      <c r="N457" s="78">
        <v>100</v>
      </c>
      <c r="O457">
        <f t="shared" si="84"/>
        <v>0.5</v>
      </c>
      <c r="P457" s="78">
        <v>50</v>
      </c>
      <c r="Q457">
        <f t="shared" si="85"/>
        <v>0.3</v>
      </c>
      <c r="R457" s="75">
        <v>15</v>
      </c>
      <c r="S457" s="6">
        <f t="shared" si="86"/>
        <v>0.15</v>
      </c>
    </row>
    <row r="458" spans="1:19" x14ac:dyDescent="0.25">
      <c r="A458" s="37" t="s">
        <v>150</v>
      </c>
      <c r="B458" s="6" t="s">
        <v>158</v>
      </c>
      <c r="C458" s="67">
        <v>115000</v>
      </c>
      <c r="D458" s="6">
        <f>(C458/12)*1</f>
        <v>9583.3333333333339</v>
      </c>
      <c r="E458" s="67">
        <v>0</v>
      </c>
      <c r="F458" s="6">
        <f>E458</f>
        <v>0</v>
      </c>
      <c r="G458" s="36" t="str">
        <f t="shared" si="83"/>
        <v>Farol Vermelho</v>
      </c>
      <c r="H458">
        <f t="shared" si="81"/>
        <v>9583.3333333333339</v>
      </c>
      <c r="I458" s="6">
        <f t="shared" si="82"/>
        <v>1</v>
      </c>
      <c r="J458" s="77">
        <v>19</v>
      </c>
      <c r="K458" s="77">
        <v>0</v>
      </c>
      <c r="L458" s="6">
        <f>J458/12</f>
        <v>1.5833333333333333</v>
      </c>
      <c r="M458" s="6">
        <f>K458</f>
        <v>0</v>
      </c>
      <c r="N458" s="78">
        <v>100</v>
      </c>
      <c r="O458">
        <f t="shared" si="84"/>
        <v>0.5</v>
      </c>
      <c r="P458" s="78">
        <v>50</v>
      </c>
      <c r="Q458">
        <f t="shared" si="85"/>
        <v>0.3</v>
      </c>
      <c r="R458" s="75">
        <v>15</v>
      </c>
      <c r="S458" s="6">
        <f t="shared" si="86"/>
        <v>0.15</v>
      </c>
    </row>
    <row r="459" spans="1:19" x14ac:dyDescent="0.25">
      <c r="A459" s="37" t="s">
        <v>150</v>
      </c>
      <c r="B459" s="6" t="s">
        <v>159</v>
      </c>
      <c r="C459" s="67">
        <v>115000</v>
      </c>
      <c r="D459" s="6">
        <f>(C459/12)*2</f>
        <v>19166.666666666668</v>
      </c>
      <c r="E459" s="67">
        <v>3250</v>
      </c>
      <c r="F459" s="6">
        <f>SUM(E458:E459)</f>
        <v>3250</v>
      </c>
      <c r="G459" s="36" t="str">
        <f t="shared" si="83"/>
        <v>Farol Vermelho</v>
      </c>
      <c r="H459">
        <f t="shared" si="81"/>
        <v>15916.666666666668</v>
      </c>
      <c r="I459" s="6">
        <f t="shared" si="82"/>
        <v>2</v>
      </c>
      <c r="J459" s="75">
        <v>19</v>
      </c>
      <c r="K459" s="75">
        <v>3</v>
      </c>
      <c r="L459" s="6">
        <f>L458+L458</f>
        <v>3.1666666666666665</v>
      </c>
      <c r="M459" s="6">
        <f>M458+K459</f>
        <v>3</v>
      </c>
      <c r="N459" s="78">
        <v>100</v>
      </c>
      <c r="O459">
        <f t="shared" si="84"/>
        <v>0.5</v>
      </c>
      <c r="P459" s="78">
        <v>50</v>
      </c>
      <c r="Q459">
        <f t="shared" si="85"/>
        <v>0.3</v>
      </c>
      <c r="R459" s="75">
        <v>15</v>
      </c>
      <c r="S459" s="6">
        <f t="shared" si="86"/>
        <v>0.15</v>
      </c>
    </row>
    <row r="460" spans="1:19" x14ac:dyDescent="0.25">
      <c r="A460" s="37" t="s">
        <v>150</v>
      </c>
      <c r="B460" s="6" t="s">
        <v>160</v>
      </c>
      <c r="C460" s="67">
        <v>115000</v>
      </c>
      <c r="D460" s="6">
        <f>(C460/12)*3</f>
        <v>28750</v>
      </c>
      <c r="E460" s="67">
        <v>300</v>
      </c>
      <c r="F460" s="6">
        <f>SUM(E458:E460)</f>
        <v>3550</v>
      </c>
      <c r="G460" s="36" t="str">
        <f t="shared" si="83"/>
        <v>Farol Vermelho</v>
      </c>
      <c r="H460">
        <f t="shared" si="81"/>
        <v>25200</v>
      </c>
      <c r="I460" s="6">
        <f t="shared" si="82"/>
        <v>3</v>
      </c>
      <c r="J460" s="77">
        <v>19</v>
      </c>
      <c r="K460" s="77">
        <v>1</v>
      </c>
      <c r="L460" s="6">
        <f>$L458+L459</f>
        <v>4.75</v>
      </c>
      <c r="M460" s="6">
        <f t="shared" ref="M460:M469" si="87">M459+K460</f>
        <v>4</v>
      </c>
      <c r="N460" s="78">
        <v>100</v>
      </c>
      <c r="O460">
        <f t="shared" si="84"/>
        <v>0.5</v>
      </c>
      <c r="P460" s="78">
        <v>50</v>
      </c>
      <c r="Q460">
        <f t="shared" si="85"/>
        <v>0.3</v>
      </c>
      <c r="R460" s="75">
        <v>15</v>
      </c>
      <c r="S460" s="6">
        <f t="shared" si="86"/>
        <v>0.15</v>
      </c>
    </row>
    <row r="461" spans="1:19" x14ac:dyDescent="0.25">
      <c r="A461" s="37" t="s">
        <v>150</v>
      </c>
      <c r="B461" s="6" t="s">
        <v>161</v>
      </c>
      <c r="C461" s="67">
        <v>115000</v>
      </c>
      <c r="D461" s="6">
        <f>(C461/12)*4</f>
        <v>38333.333333333336</v>
      </c>
      <c r="E461" s="67">
        <v>200</v>
      </c>
      <c r="F461" s="6">
        <f>SUM(E458:E461)</f>
        <v>3750</v>
      </c>
      <c r="G461" s="36" t="str">
        <f t="shared" si="83"/>
        <v>Farol Vermelho</v>
      </c>
      <c r="H461">
        <f t="shared" si="81"/>
        <v>34583.333333333336</v>
      </c>
      <c r="I461" s="6">
        <f t="shared" si="82"/>
        <v>4</v>
      </c>
      <c r="J461" s="75">
        <v>19</v>
      </c>
      <c r="K461" s="75">
        <v>1</v>
      </c>
      <c r="L461" s="6">
        <f>$L458+L460</f>
        <v>6.333333333333333</v>
      </c>
      <c r="M461" s="6">
        <f t="shared" si="87"/>
        <v>5</v>
      </c>
      <c r="N461" s="78">
        <v>100</v>
      </c>
      <c r="O461">
        <f t="shared" si="84"/>
        <v>0.5</v>
      </c>
      <c r="P461" s="78">
        <v>50</v>
      </c>
      <c r="Q461">
        <f t="shared" si="85"/>
        <v>0.3</v>
      </c>
      <c r="R461" s="75">
        <v>15</v>
      </c>
      <c r="S461" s="6">
        <f t="shared" si="86"/>
        <v>0.15</v>
      </c>
    </row>
    <row r="462" spans="1:19" x14ac:dyDescent="0.25">
      <c r="A462" s="37" t="s">
        <v>150</v>
      </c>
      <c r="B462" s="6" t="s">
        <v>162</v>
      </c>
      <c r="C462" s="67">
        <v>115000</v>
      </c>
      <c r="D462" s="6">
        <f>(C462/12)*5</f>
        <v>47916.666666666672</v>
      </c>
      <c r="E462" s="67">
        <v>1500</v>
      </c>
      <c r="F462" s="6">
        <f>SUM(E458:E462)</f>
        <v>5250</v>
      </c>
      <c r="G462" s="36" t="str">
        <f t="shared" si="83"/>
        <v>Farol Vermelho</v>
      </c>
      <c r="H462">
        <f t="shared" si="81"/>
        <v>42666.666666666672</v>
      </c>
      <c r="I462" s="6">
        <f t="shared" si="82"/>
        <v>5</v>
      </c>
      <c r="J462" s="77">
        <v>19</v>
      </c>
      <c r="K462" s="77">
        <v>1</v>
      </c>
      <c r="L462" s="6">
        <f>L458+L461</f>
        <v>7.9166666666666661</v>
      </c>
      <c r="M462" s="6">
        <f t="shared" si="87"/>
        <v>6</v>
      </c>
      <c r="N462" s="78">
        <v>100</v>
      </c>
      <c r="O462">
        <f t="shared" si="84"/>
        <v>0.5</v>
      </c>
      <c r="P462" s="78">
        <v>50</v>
      </c>
      <c r="Q462">
        <f t="shared" si="85"/>
        <v>0.3</v>
      </c>
      <c r="R462" s="75">
        <v>15</v>
      </c>
      <c r="S462" s="6">
        <f t="shared" si="86"/>
        <v>0.15</v>
      </c>
    </row>
    <row r="463" spans="1:19" x14ac:dyDescent="0.25">
      <c r="A463" s="37" t="s">
        <v>150</v>
      </c>
      <c r="B463" s="6" t="s">
        <v>163</v>
      </c>
      <c r="C463" s="67">
        <v>115000</v>
      </c>
      <c r="D463" s="6">
        <f>(C463/12)*6</f>
        <v>57500</v>
      </c>
      <c r="E463" s="67">
        <v>0</v>
      </c>
      <c r="F463" s="6">
        <f>SUM(E458:E463)</f>
        <v>5250</v>
      </c>
      <c r="G463" s="36" t="str">
        <f t="shared" si="83"/>
        <v>Farol Vermelho</v>
      </c>
      <c r="H463">
        <f t="shared" si="81"/>
        <v>52250</v>
      </c>
      <c r="I463" s="6">
        <f t="shared" si="82"/>
        <v>6</v>
      </c>
      <c r="J463" s="75">
        <v>19</v>
      </c>
      <c r="K463" s="75">
        <v>0</v>
      </c>
      <c r="L463" s="6">
        <f>$L458+L462</f>
        <v>9.5</v>
      </c>
      <c r="M463" s="6">
        <f t="shared" si="87"/>
        <v>6</v>
      </c>
      <c r="N463" s="78">
        <v>100</v>
      </c>
      <c r="O463">
        <f t="shared" si="84"/>
        <v>0.5</v>
      </c>
      <c r="P463" s="78">
        <v>50</v>
      </c>
      <c r="Q463">
        <f t="shared" si="85"/>
        <v>0.3</v>
      </c>
      <c r="R463" s="75">
        <v>15</v>
      </c>
      <c r="S463" s="6">
        <f t="shared" si="86"/>
        <v>0.15</v>
      </c>
    </row>
    <row r="464" spans="1:19" x14ac:dyDescent="0.25">
      <c r="A464" s="37" t="s">
        <v>150</v>
      </c>
      <c r="B464" s="6" t="s">
        <v>164</v>
      </c>
      <c r="C464" s="67">
        <v>115000</v>
      </c>
      <c r="D464" s="6">
        <f>(C464/12)*7</f>
        <v>67083.333333333343</v>
      </c>
      <c r="E464" s="67">
        <v>6400</v>
      </c>
      <c r="F464" s="6">
        <f>SUM(E458:E464)</f>
        <v>11650</v>
      </c>
      <c r="G464" s="36" t="str">
        <f t="shared" si="83"/>
        <v>Farol Vermelho</v>
      </c>
      <c r="H464">
        <f t="shared" si="81"/>
        <v>55433.333333333343</v>
      </c>
      <c r="I464" s="6">
        <f t="shared" si="82"/>
        <v>7</v>
      </c>
      <c r="J464" s="77">
        <v>19</v>
      </c>
      <c r="K464" s="77">
        <v>4</v>
      </c>
      <c r="L464" s="6">
        <f>$L458+L463</f>
        <v>11.083333333333334</v>
      </c>
      <c r="M464" s="6">
        <f t="shared" si="87"/>
        <v>10</v>
      </c>
      <c r="N464" s="78">
        <v>100</v>
      </c>
      <c r="O464">
        <f t="shared" si="84"/>
        <v>0.5</v>
      </c>
      <c r="P464" s="78">
        <v>50</v>
      </c>
      <c r="Q464">
        <f t="shared" si="85"/>
        <v>0.3</v>
      </c>
      <c r="R464" s="75">
        <v>15</v>
      </c>
      <c r="S464" s="6">
        <f t="shared" si="86"/>
        <v>0.15</v>
      </c>
    </row>
    <row r="465" spans="1:19" x14ac:dyDescent="0.25">
      <c r="A465" s="37" t="s">
        <v>150</v>
      </c>
      <c r="B465" s="6" t="s">
        <v>165</v>
      </c>
      <c r="C465" s="67">
        <v>115000</v>
      </c>
      <c r="D465" s="6">
        <f>(C465/12)*8</f>
        <v>76666.666666666672</v>
      </c>
      <c r="E465" s="67">
        <v>5100</v>
      </c>
      <c r="F465" s="6">
        <f>SUM(E458:E465)</f>
        <v>16750</v>
      </c>
      <c r="G465" s="36" t="str">
        <f t="shared" si="83"/>
        <v>Farol Vermelho</v>
      </c>
      <c r="H465">
        <f t="shared" si="81"/>
        <v>59916.666666666672</v>
      </c>
      <c r="I465" s="6">
        <f t="shared" si="82"/>
        <v>8</v>
      </c>
      <c r="J465" s="75">
        <v>19</v>
      </c>
      <c r="K465" s="75">
        <v>2</v>
      </c>
      <c r="L465" s="6">
        <f>L458+L464</f>
        <v>12.666666666666668</v>
      </c>
      <c r="M465" s="6">
        <f t="shared" si="87"/>
        <v>12</v>
      </c>
      <c r="N465" s="78">
        <v>100</v>
      </c>
      <c r="O465">
        <f t="shared" si="84"/>
        <v>0.5</v>
      </c>
      <c r="P465" s="78">
        <v>50</v>
      </c>
      <c r="Q465">
        <f t="shared" si="85"/>
        <v>0.3</v>
      </c>
      <c r="R465" s="75">
        <v>15</v>
      </c>
      <c r="S465" s="6">
        <f t="shared" si="86"/>
        <v>0.15</v>
      </c>
    </row>
    <row r="466" spans="1:19" x14ac:dyDescent="0.25">
      <c r="A466" s="37" t="s">
        <v>150</v>
      </c>
      <c r="B466" s="6" t="s">
        <v>166</v>
      </c>
      <c r="C466" s="67">
        <v>115000</v>
      </c>
      <c r="D466" s="6">
        <f>(C466/12)*9</f>
        <v>86250</v>
      </c>
      <c r="E466" s="67">
        <v>0</v>
      </c>
      <c r="F466" s="6">
        <f>SUM(E458:E466)</f>
        <v>16750</v>
      </c>
      <c r="G466" s="36" t="str">
        <f t="shared" si="83"/>
        <v>Farol Vermelho</v>
      </c>
      <c r="H466">
        <f t="shared" si="81"/>
        <v>69500</v>
      </c>
      <c r="I466" s="6">
        <f t="shared" si="82"/>
        <v>9</v>
      </c>
      <c r="J466" s="77">
        <v>19</v>
      </c>
      <c r="K466" s="77">
        <v>0</v>
      </c>
      <c r="L466" s="6">
        <f>$L458+L465</f>
        <v>14.250000000000002</v>
      </c>
      <c r="M466" s="6">
        <f t="shared" si="87"/>
        <v>12</v>
      </c>
      <c r="N466" s="78">
        <v>100</v>
      </c>
      <c r="O466">
        <f t="shared" si="84"/>
        <v>0.5</v>
      </c>
      <c r="P466" s="78">
        <v>50</v>
      </c>
      <c r="Q466">
        <f t="shared" si="85"/>
        <v>0.3</v>
      </c>
      <c r="R466" s="75">
        <v>15</v>
      </c>
      <c r="S466" s="6">
        <f t="shared" si="86"/>
        <v>0.15</v>
      </c>
    </row>
    <row r="467" spans="1:19" x14ac:dyDescent="0.25">
      <c r="A467" s="37" t="s">
        <v>150</v>
      </c>
      <c r="B467" s="6" t="s">
        <v>167</v>
      </c>
      <c r="C467" s="67">
        <v>115000</v>
      </c>
      <c r="D467" s="6">
        <f>(C467/12)*10</f>
        <v>95833.333333333343</v>
      </c>
      <c r="E467" s="67">
        <v>3300</v>
      </c>
      <c r="F467" s="6">
        <f>SUM(E458:E467)</f>
        <v>20050</v>
      </c>
      <c r="G467" s="36" t="str">
        <f t="shared" si="83"/>
        <v>Farol Vermelho</v>
      </c>
      <c r="H467">
        <f t="shared" si="81"/>
        <v>75783.333333333343</v>
      </c>
      <c r="I467" s="6">
        <f t="shared" si="82"/>
        <v>10</v>
      </c>
      <c r="J467" s="75">
        <v>19</v>
      </c>
      <c r="K467" s="75">
        <v>1</v>
      </c>
      <c r="L467" s="6">
        <f>$L458+L466</f>
        <v>15.833333333333336</v>
      </c>
      <c r="M467" s="6">
        <f t="shared" si="87"/>
        <v>13</v>
      </c>
      <c r="N467" s="78">
        <v>100</v>
      </c>
      <c r="O467">
        <f t="shared" si="84"/>
        <v>0.5</v>
      </c>
      <c r="P467" s="78">
        <v>50</v>
      </c>
      <c r="Q467">
        <f t="shared" si="85"/>
        <v>0.3</v>
      </c>
      <c r="R467" s="75">
        <v>15</v>
      </c>
      <c r="S467" s="6">
        <f t="shared" si="86"/>
        <v>0.15</v>
      </c>
    </row>
    <row r="468" spans="1:19" x14ac:dyDescent="0.25">
      <c r="A468" s="37" t="s">
        <v>150</v>
      </c>
      <c r="B468" s="6" t="s">
        <v>168</v>
      </c>
      <c r="C468" s="67">
        <v>115000</v>
      </c>
      <c r="D468" s="6">
        <f>(C468/12)*11</f>
        <v>105416.66666666667</v>
      </c>
      <c r="E468" s="67">
        <v>3850</v>
      </c>
      <c r="F468" s="6">
        <f>SUM(E458:E468)</f>
        <v>23900</v>
      </c>
      <c r="G468" s="36" t="str">
        <f t="shared" si="83"/>
        <v>Farol Vermelho</v>
      </c>
      <c r="H468">
        <f t="shared" si="81"/>
        <v>81516.666666666672</v>
      </c>
      <c r="I468" s="6">
        <f t="shared" si="82"/>
        <v>11</v>
      </c>
      <c r="J468" s="77">
        <v>19</v>
      </c>
      <c r="K468" s="77">
        <v>1</v>
      </c>
      <c r="L468" s="6">
        <f>L458+L467</f>
        <v>17.416666666666668</v>
      </c>
      <c r="M468" s="6">
        <f t="shared" si="87"/>
        <v>14</v>
      </c>
      <c r="N468" s="78">
        <v>100</v>
      </c>
      <c r="O468">
        <f t="shared" si="84"/>
        <v>0.5</v>
      </c>
      <c r="P468" s="78">
        <v>50</v>
      </c>
      <c r="Q468">
        <f t="shared" si="85"/>
        <v>0.3</v>
      </c>
      <c r="R468" s="75">
        <v>15</v>
      </c>
      <c r="S468" s="6">
        <f t="shared" si="86"/>
        <v>0.15</v>
      </c>
    </row>
    <row r="469" spans="1:19" x14ac:dyDescent="0.25">
      <c r="A469" s="37" t="s">
        <v>150</v>
      </c>
      <c r="B469" s="6" t="s">
        <v>169</v>
      </c>
      <c r="C469" s="67">
        <v>115000</v>
      </c>
      <c r="D469" s="6">
        <f>(C469/12)*12</f>
        <v>115000</v>
      </c>
      <c r="E469" s="67">
        <v>2700</v>
      </c>
      <c r="F469" s="6">
        <f>SUM(E458:E469)</f>
        <v>26600</v>
      </c>
      <c r="G469" s="36" t="str">
        <f t="shared" si="83"/>
        <v>Farol Vermelho</v>
      </c>
      <c r="H469">
        <f t="shared" si="81"/>
        <v>88400</v>
      </c>
      <c r="I469" s="6">
        <f t="shared" si="82"/>
        <v>12</v>
      </c>
      <c r="J469" s="75">
        <v>19</v>
      </c>
      <c r="K469" s="75">
        <v>1</v>
      </c>
      <c r="L469" s="6">
        <f>$L458+L468</f>
        <v>19</v>
      </c>
      <c r="M469" s="6">
        <f t="shared" si="87"/>
        <v>15</v>
      </c>
      <c r="N469" s="78">
        <v>100</v>
      </c>
      <c r="O469">
        <f t="shared" si="84"/>
        <v>0.5</v>
      </c>
      <c r="P469" s="78">
        <v>50</v>
      </c>
      <c r="Q469">
        <f t="shared" si="85"/>
        <v>0.3</v>
      </c>
      <c r="R469" s="75">
        <v>15</v>
      </c>
      <c r="S469" s="6">
        <f t="shared" si="86"/>
        <v>0.15</v>
      </c>
    </row>
    <row r="470" spans="1:19" x14ac:dyDescent="0.25">
      <c r="A470" s="37" t="s">
        <v>71</v>
      </c>
      <c r="B470" s="6" t="s">
        <v>158</v>
      </c>
      <c r="C470" s="67">
        <v>0</v>
      </c>
      <c r="D470" s="6">
        <f>(C470/12)*1</f>
        <v>0</v>
      </c>
      <c r="E470" s="67">
        <v>0</v>
      </c>
      <c r="F470" s="6">
        <f>E470</f>
        <v>0</v>
      </c>
      <c r="G470" s="36" t="str">
        <f t="shared" si="83"/>
        <v>Farol Amarelo</v>
      </c>
      <c r="H470">
        <f t="shared" si="81"/>
        <v>0</v>
      </c>
      <c r="I470" s="6">
        <f t="shared" si="82"/>
        <v>1</v>
      </c>
      <c r="J470" s="77">
        <v>0</v>
      </c>
      <c r="K470" s="77">
        <v>0</v>
      </c>
      <c r="L470" s="6">
        <f>J470/12</f>
        <v>0</v>
      </c>
      <c r="M470" s="6">
        <f>K470</f>
        <v>0</v>
      </c>
      <c r="N470" s="78">
        <v>100</v>
      </c>
      <c r="O470">
        <f t="shared" si="84"/>
        <v>0.5</v>
      </c>
      <c r="P470" s="78">
        <v>50</v>
      </c>
      <c r="Q470">
        <f t="shared" si="85"/>
        <v>0.3</v>
      </c>
      <c r="R470" s="75">
        <v>15</v>
      </c>
      <c r="S470" s="6">
        <f t="shared" si="86"/>
        <v>0.15</v>
      </c>
    </row>
    <row r="471" spans="1:19" x14ac:dyDescent="0.25">
      <c r="A471" s="37" t="s">
        <v>71</v>
      </c>
      <c r="B471" s="6" t="s">
        <v>159</v>
      </c>
      <c r="C471" s="67">
        <v>0</v>
      </c>
      <c r="D471" s="6">
        <f>(C471/12)*2</f>
        <v>0</v>
      </c>
      <c r="E471" s="67">
        <v>0</v>
      </c>
      <c r="F471" s="6">
        <f>SUM(E470:E471)</f>
        <v>0</v>
      </c>
      <c r="G471" s="36" t="str">
        <f t="shared" si="83"/>
        <v>Farol Amarelo</v>
      </c>
      <c r="H471">
        <f t="shared" si="81"/>
        <v>0</v>
      </c>
      <c r="I471" s="6">
        <f t="shared" si="82"/>
        <v>2</v>
      </c>
      <c r="J471" s="75">
        <v>0</v>
      </c>
      <c r="K471" s="75">
        <v>0</v>
      </c>
      <c r="L471" s="6">
        <f>L470+L470</f>
        <v>0</v>
      </c>
      <c r="M471" s="6">
        <f>M470+K471</f>
        <v>0</v>
      </c>
      <c r="N471" s="78">
        <v>100</v>
      </c>
      <c r="O471">
        <f t="shared" si="84"/>
        <v>0.5</v>
      </c>
      <c r="P471" s="78">
        <v>50</v>
      </c>
      <c r="Q471">
        <f t="shared" si="85"/>
        <v>0.3</v>
      </c>
      <c r="R471" s="75">
        <v>15</v>
      </c>
      <c r="S471" s="6">
        <f t="shared" si="86"/>
        <v>0.15</v>
      </c>
    </row>
    <row r="472" spans="1:19" x14ac:dyDescent="0.25">
      <c r="A472" s="37" t="s">
        <v>71</v>
      </c>
      <c r="B472" s="6" t="s">
        <v>160</v>
      </c>
      <c r="C472" s="67">
        <v>0</v>
      </c>
      <c r="D472" s="6">
        <f>(C472/12)*3</f>
        <v>0</v>
      </c>
      <c r="E472" s="67">
        <v>0</v>
      </c>
      <c r="F472" s="6">
        <f>SUM(E470:E472)</f>
        <v>0</v>
      </c>
      <c r="G472" s="36" t="str">
        <f t="shared" si="83"/>
        <v>Farol Amarelo</v>
      </c>
      <c r="H472">
        <f t="shared" si="81"/>
        <v>0</v>
      </c>
      <c r="I472" s="6">
        <f t="shared" si="82"/>
        <v>3</v>
      </c>
      <c r="J472" s="77">
        <v>0</v>
      </c>
      <c r="K472" s="77">
        <v>0</v>
      </c>
      <c r="L472" s="6">
        <f>$L470+L471</f>
        <v>0</v>
      </c>
      <c r="M472" s="6">
        <f t="shared" ref="M472:M481" si="88">M471+K472</f>
        <v>0</v>
      </c>
      <c r="N472" s="78">
        <v>100</v>
      </c>
      <c r="O472">
        <f t="shared" si="84"/>
        <v>0.5</v>
      </c>
      <c r="P472" s="78">
        <v>50</v>
      </c>
      <c r="Q472">
        <f t="shared" si="85"/>
        <v>0.3</v>
      </c>
      <c r="R472" s="75">
        <v>15</v>
      </c>
      <c r="S472" s="6">
        <f t="shared" si="86"/>
        <v>0.15</v>
      </c>
    </row>
    <row r="473" spans="1:19" x14ac:dyDescent="0.25">
      <c r="A473" s="37" t="s">
        <v>71</v>
      </c>
      <c r="B473" s="6" t="s">
        <v>161</v>
      </c>
      <c r="C473" s="67">
        <v>0</v>
      </c>
      <c r="D473" s="6">
        <f>(C473/12)*4</f>
        <v>0</v>
      </c>
      <c r="E473" s="67">
        <v>0</v>
      </c>
      <c r="F473" s="6">
        <f>SUM(E470:E473)</f>
        <v>0</v>
      </c>
      <c r="G473" s="36" t="str">
        <f t="shared" si="83"/>
        <v>Farol Amarelo</v>
      </c>
      <c r="H473">
        <f t="shared" si="81"/>
        <v>0</v>
      </c>
      <c r="I473" s="6">
        <f t="shared" si="82"/>
        <v>4</v>
      </c>
      <c r="J473" s="75">
        <v>0</v>
      </c>
      <c r="K473" s="75">
        <v>0</v>
      </c>
      <c r="L473" s="6">
        <f>$L470+L472</f>
        <v>0</v>
      </c>
      <c r="M473" s="6">
        <f t="shared" si="88"/>
        <v>0</v>
      </c>
      <c r="N473" s="78">
        <v>100</v>
      </c>
      <c r="O473">
        <f t="shared" si="84"/>
        <v>0.5</v>
      </c>
      <c r="P473" s="78">
        <v>50</v>
      </c>
      <c r="Q473">
        <f t="shared" si="85"/>
        <v>0.3</v>
      </c>
      <c r="R473" s="75">
        <v>15</v>
      </c>
      <c r="S473" s="6">
        <f t="shared" si="86"/>
        <v>0.15</v>
      </c>
    </row>
    <row r="474" spans="1:19" x14ac:dyDescent="0.25">
      <c r="A474" s="37" t="s">
        <v>71</v>
      </c>
      <c r="B474" s="6" t="s">
        <v>162</v>
      </c>
      <c r="C474" s="67">
        <v>0</v>
      </c>
      <c r="D474" s="6">
        <f>(C474/12)*5</f>
        <v>0</v>
      </c>
      <c r="E474" s="67">
        <v>0</v>
      </c>
      <c r="F474" s="6">
        <f>SUM(E470:E474)</f>
        <v>0</v>
      </c>
      <c r="G474" s="36" t="str">
        <f t="shared" si="83"/>
        <v>Farol Amarelo</v>
      </c>
      <c r="H474">
        <f t="shared" si="81"/>
        <v>0</v>
      </c>
      <c r="I474" s="6">
        <f t="shared" si="82"/>
        <v>5</v>
      </c>
      <c r="J474" s="77">
        <v>0</v>
      </c>
      <c r="K474" s="77">
        <v>0</v>
      </c>
      <c r="L474" s="6">
        <f>L470+L473</f>
        <v>0</v>
      </c>
      <c r="M474" s="6">
        <f t="shared" si="88"/>
        <v>0</v>
      </c>
      <c r="N474" s="78">
        <v>100</v>
      </c>
      <c r="O474">
        <f t="shared" si="84"/>
        <v>0.5</v>
      </c>
      <c r="P474" s="78">
        <v>50</v>
      </c>
      <c r="Q474">
        <f t="shared" si="85"/>
        <v>0.3</v>
      </c>
      <c r="R474" s="75">
        <v>15</v>
      </c>
      <c r="S474" s="6">
        <f t="shared" si="86"/>
        <v>0.15</v>
      </c>
    </row>
    <row r="475" spans="1:19" x14ac:dyDescent="0.25">
      <c r="A475" s="37" t="s">
        <v>71</v>
      </c>
      <c r="B475" s="6" t="s">
        <v>163</v>
      </c>
      <c r="C475" s="67">
        <v>0</v>
      </c>
      <c r="D475" s="6">
        <f>(C475/12)*6</f>
        <v>0</v>
      </c>
      <c r="E475" s="67">
        <v>0</v>
      </c>
      <c r="F475" s="6">
        <f>SUM(E470:E475)</f>
        <v>0</v>
      </c>
      <c r="G475" s="36" t="str">
        <f t="shared" si="83"/>
        <v>Farol Amarelo</v>
      </c>
      <c r="H475">
        <f t="shared" si="81"/>
        <v>0</v>
      </c>
      <c r="I475" s="6">
        <f t="shared" si="82"/>
        <v>6</v>
      </c>
      <c r="J475" s="75">
        <v>0</v>
      </c>
      <c r="K475" s="75">
        <v>0</v>
      </c>
      <c r="L475" s="6">
        <f>$L470+L474</f>
        <v>0</v>
      </c>
      <c r="M475" s="6">
        <f t="shared" si="88"/>
        <v>0</v>
      </c>
      <c r="N475" s="78">
        <v>100</v>
      </c>
      <c r="O475">
        <f t="shared" si="84"/>
        <v>0.5</v>
      </c>
      <c r="P475" s="78">
        <v>50</v>
      </c>
      <c r="Q475">
        <f t="shared" si="85"/>
        <v>0.3</v>
      </c>
      <c r="R475" s="75">
        <v>15</v>
      </c>
      <c r="S475" s="6">
        <f t="shared" si="86"/>
        <v>0.15</v>
      </c>
    </row>
    <row r="476" spans="1:19" x14ac:dyDescent="0.25">
      <c r="A476" s="37" t="s">
        <v>71</v>
      </c>
      <c r="B476" s="6" t="s">
        <v>164</v>
      </c>
      <c r="C476" s="67">
        <v>0</v>
      </c>
      <c r="D476" s="6">
        <f>(C476/12)*7</f>
        <v>0</v>
      </c>
      <c r="E476" s="67">
        <v>0</v>
      </c>
      <c r="F476" s="6">
        <f>SUM(E470:E476)</f>
        <v>0</v>
      </c>
      <c r="G476" s="36" t="str">
        <f t="shared" si="83"/>
        <v>Farol Amarelo</v>
      </c>
      <c r="H476">
        <f t="shared" si="81"/>
        <v>0</v>
      </c>
      <c r="I476" s="6">
        <f t="shared" si="82"/>
        <v>7</v>
      </c>
      <c r="J476" s="77">
        <v>0</v>
      </c>
      <c r="K476" s="77">
        <v>0</v>
      </c>
      <c r="L476" s="6">
        <f>$L470+L475</f>
        <v>0</v>
      </c>
      <c r="M476" s="6">
        <f t="shared" si="88"/>
        <v>0</v>
      </c>
      <c r="N476" s="78">
        <v>100</v>
      </c>
      <c r="O476">
        <f t="shared" si="84"/>
        <v>0.5</v>
      </c>
      <c r="P476" s="78">
        <v>50</v>
      </c>
      <c r="Q476">
        <f t="shared" si="85"/>
        <v>0.3</v>
      </c>
      <c r="R476" s="75">
        <v>15</v>
      </c>
      <c r="S476" s="6">
        <f t="shared" si="86"/>
        <v>0.15</v>
      </c>
    </row>
    <row r="477" spans="1:19" x14ac:dyDescent="0.25">
      <c r="A477" s="37" t="s">
        <v>71</v>
      </c>
      <c r="B477" s="6" t="s">
        <v>165</v>
      </c>
      <c r="C477" s="67">
        <v>0</v>
      </c>
      <c r="D477" s="6">
        <f>(C477/12)*8</f>
        <v>0</v>
      </c>
      <c r="E477" s="67">
        <v>0</v>
      </c>
      <c r="F477" s="6">
        <f>SUM(E470:E477)</f>
        <v>0</v>
      </c>
      <c r="G477" s="36" t="str">
        <f t="shared" si="83"/>
        <v>Farol Amarelo</v>
      </c>
      <c r="H477">
        <f t="shared" si="81"/>
        <v>0</v>
      </c>
      <c r="I477" s="6">
        <f t="shared" si="82"/>
        <v>8</v>
      </c>
      <c r="J477" s="75">
        <v>0</v>
      </c>
      <c r="K477" s="75">
        <v>0</v>
      </c>
      <c r="L477" s="6">
        <f>L470+L476</f>
        <v>0</v>
      </c>
      <c r="M477" s="6">
        <f t="shared" si="88"/>
        <v>0</v>
      </c>
      <c r="N477" s="78">
        <v>100</v>
      </c>
      <c r="O477">
        <f t="shared" si="84"/>
        <v>0.5</v>
      </c>
      <c r="P477" s="78">
        <v>50</v>
      </c>
      <c r="Q477">
        <f t="shared" si="85"/>
        <v>0.3</v>
      </c>
      <c r="R477" s="75">
        <v>15</v>
      </c>
      <c r="S477" s="6">
        <f t="shared" si="86"/>
        <v>0.15</v>
      </c>
    </row>
    <row r="478" spans="1:19" x14ac:dyDescent="0.25">
      <c r="A478" s="37" t="s">
        <v>71</v>
      </c>
      <c r="B478" s="6" t="s">
        <v>166</v>
      </c>
      <c r="C478" s="67">
        <v>0</v>
      </c>
      <c r="D478" s="6">
        <f>(C478/12)*9</f>
        <v>0</v>
      </c>
      <c r="E478" s="67">
        <v>0</v>
      </c>
      <c r="F478" s="6">
        <f>SUM(E470:E478)</f>
        <v>0</v>
      </c>
      <c r="G478" s="36" t="str">
        <f t="shared" si="83"/>
        <v>Farol Amarelo</v>
      </c>
      <c r="H478">
        <f t="shared" si="81"/>
        <v>0</v>
      </c>
      <c r="I478" s="6">
        <f t="shared" si="82"/>
        <v>9</v>
      </c>
      <c r="J478" s="77">
        <v>0</v>
      </c>
      <c r="K478" s="77">
        <v>0</v>
      </c>
      <c r="L478" s="6">
        <f>$L470+L477</f>
        <v>0</v>
      </c>
      <c r="M478" s="6">
        <f t="shared" si="88"/>
        <v>0</v>
      </c>
      <c r="N478" s="78">
        <v>100</v>
      </c>
      <c r="O478">
        <f t="shared" si="84"/>
        <v>0.5</v>
      </c>
      <c r="P478" s="78">
        <v>50</v>
      </c>
      <c r="Q478">
        <f t="shared" si="85"/>
        <v>0.3</v>
      </c>
      <c r="R478" s="75">
        <v>15</v>
      </c>
      <c r="S478" s="6">
        <f t="shared" si="86"/>
        <v>0.15</v>
      </c>
    </row>
    <row r="479" spans="1:19" x14ac:dyDescent="0.25">
      <c r="A479" s="37" t="s">
        <v>71</v>
      </c>
      <c r="B479" s="6" t="s">
        <v>167</v>
      </c>
      <c r="C479" s="67">
        <v>0</v>
      </c>
      <c r="D479" s="6">
        <f>(C479/12)*10</f>
        <v>0</v>
      </c>
      <c r="E479" s="67">
        <v>0</v>
      </c>
      <c r="F479" s="6">
        <f>SUM(E470:E479)</f>
        <v>0</v>
      </c>
      <c r="G479" s="36" t="str">
        <f t="shared" si="83"/>
        <v>Farol Amarelo</v>
      </c>
      <c r="H479">
        <f t="shared" si="81"/>
        <v>0</v>
      </c>
      <c r="I479" s="6">
        <f t="shared" si="82"/>
        <v>10</v>
      </c>
      <c r="J479" s="75">
        <v>0</v>
      </c>
      <c r="K479" s="75">
        <v>0</v>
      </c>
      <c r="L479" s="6">
        <f>$L470+L478</f>
        <v>0</v>
      </c>
      <c r="M479" s="6">
        <f t="shared" si="88"/>
        <v>0</v>
      </c>
      <c r="N479" s="78">
        <v>100</v>
      </c>
      <c r="O479">
        <f t="shared" si="84"/>
        <v>0.5</v>
      </c>
      <c r="P479" s="78">
        <v>50</v>
      </c>
      <c r="Q479">
        <f t="shared" si="85"/>
        <v>0.3</v>
      </c>
      <c r="R479" s="75">
        <v>15</v>
      </c>
      <c r="S479" s="6">
        <f t="shared" si="86"/>
        <v>0.15</v>
      </c>
    </row>
    <row r="480" spans="1:19" x14ac:dyDescent="0.25">
      <c r="A480" s="37" t="s">
        <v>71</v>
      </c>
      <c r="B480" s="6" t="s">
        <v>168</v>
      </c>
      <c r="C480" s="67">
        <v>0</v>
      </c>
      <c r="D480" s="6">
        <f>(C480/12)*11</f>
        <v>0</v>
      </c>
      <c r="E480" s="67">
        <v>0</v>
      </c>
      <c r="F480" s="6">
        <f>SUM(E470:E480)</f>
        <v>0</v>
      </c>
      <c r="G480" s="36" t="str">
        <f t="shared" si="83"/>
        <v>Farol Amarelo</v>
      </c>
      <c r="H480">
        <f t="shared" si="81"/>
        <v>0</v>
      </c>
      <c r="I480" s="6">
        <f t="shared" si="82"/>
        <v>11</v>
      </c>
      <c r="J480" s="77">
        <v>0</v>
      </c>
      <c r="K480" s="77">
        <v>0</v>
      </c>
      <c r="L480" s="6">
        <f>L470+L479</f>
        <v>0</v>
      </c>
      <c r="M480" s="6">
        <f t="shared" si="88"/>
        <v>0</v>
      </c>
      <c r="N480" s="78">
        <v>100</v>
      </c>
      <c r="O480">
        <f t="shared" si="84"/>
        <v>0.5</v>
      </c>
      <c r="P480" s="78">
        <v>50</v>
      </c>
      <c r="Q480">
        <f t="shared" si="85"/>
        <v>0.3</v>
      </c>
      <c r="R480" s="75">
        <v>15</v>
      </c>
      <c r="S480" s="6">
        <f t="shared" si="86"/>
        <v>0.15</v>
      </c>
    </row>
    <row r="481" spans="1:19" x14ac:dyDescent="0.25">
      <c r="A481" s="37" t="s">
        <v>71</v>
      </c>
      <c r="B481" s="6" t="s">
        <v>169</v>
      </c>
      <c r="C481" s="67">
        <v>0</v>
      </c>
      <c r="D481" s="6">
        <f>(C481/12)*12</f>
        <v>0</v>
      </c>
      <c r="E481" s="67">
        <v>0</v>
      </c>
      <c r="F481" s="6">
        <f>SUM(E470:E481)</f>
        <v>0</v>
      </c>
      <c r="G481" s="36" t="str">
        <f t="shared" si="83"/>
        <v>Farol Amarelo</v>
      </c>
      <c r="H481">
        <f t="shared" si="81"/>
        <v>0</v>
      </c>
      <c r="I481" s="6">
        <f t="shared" si="82"/>
        <v>12</v>
      </c>
      <c r="J481" s="75">
        <v>0</v>
      </c>
      <c r="K481" s="75">
        <v>0</v>
      </c>
      <c r="L481" s="6">
        <f>$L470+L480</f>
        <v>0</v>
      </c>
      <c r="M481" s="6">
        <f t="shared" si="88"/>
        <v>0</v>
      </c>
      <c r="N481" s="78">
        <v>100</v>
      </c>
      <c r="O481">
        <f t="shared" si="84"/>
        <v>0.5</v>
      </c>
      <c r="P481" s="78">
        <v>50</v>
      </c>
      <c r="Q481">
        <f t="shared" si="85"/>
        <v>0.3</v>
      </c>
      <c r="R481" s="75">
        <v>15</v>
      </c>
      <c r="S481" s="6">
        <f t="shared" si="86"/>
        <v>0.15</v>
      </c>
    </row>
    <row r="482" spans="1:19" x14ac:dyDescent="0.25">
      <c r="A482" s="37" t="s">
        <v>84</v>
      </c>
      <c r="B482" s="6" t="s">
        <v>158</v>
      </c>
      <c r="C482" s="67">
        <v>8000</v>
      </c>
      <c r="D482" s="6">
        <f>(C482/12)*1</f>
        <v>666.66666666666663</v>
      </c>
      <c r="E482" s="67">
        <v>0</v>
      </c>
      <c r="F482" s="6">
        <f>E482</f>
        <v>0</v>
      </c>
      <c r="G482" s="36" t="str">
        <f t="shared" si="83"/>
        <v>Farol Vermelho</v>
      </c>
      <c r="H482">
        <f t="shared" si="81"/>
        <v>666.66666666666663</v>
      </c>
      <c r="I482" s="6">
        <f t="shared" si="82"/>
        <v>1</v>
      </c>
      <c r="J482" s="77">
        <v>6</v>
      </c>
      <c r="K482" s="77">
        <v>0</v>
      </c>
      <c r="L482" s="6">
        <f>J482/12</f>
        <v>0.5</v>
      </c>
      <c r="M482" s="6">
        <f>K482</f>
        <v>0</v>
      </c>
      <c r="N482" s="78">
        <v>100</v>
      </c>
      <c r="O482">
        <f t="shared" si="84"/>
        <v>0.5</v>
      </c>
      <c r="P482" s="78">
        <v>50</v>
      </c>
      <c r="Q482">
        <f t="shared" si="85"/>
        <v>0.3</v>
      </c>
      <c r="R482" s="75">
        <v>15</v>
      </c>
      <c r="S482" s="6">
        <f t="shared" si="86"/>
        <v>0.15</v>
      </c>
    </row>
    <row r="483" spans="1:19" x14ac:dyDescent="0.25">
      <c r="A483" s="37" t="s">
        <v>84</v>
      </c>
      <c r="B483" s="6" t="s">
        <v>159</v>
      </c>
      <c r="C483" s="67">
        <v>8000</v>
      </c>
      <c r="D483" s="6">
        <f>(C483/12)*2</f>
        <v>1333.3333333333333</v>
      </c>
      <c r="E483" s="67">
        <v>0</v>
      </c>
      <c r="F483" s="6">
        <f>SUM(E482:E483)</f>
        <v>0</v>
      </c>
      <c r="G483" s="36" t="str">
        <f t="shared" si="83"/>
        <v>Farol Vermelho</v>
      </c>
      <c r="H483">
        <f t="shared" si="81"/>
        <v>1333.3333333333333</v>
      </c>
      <c r="I483" s="6">
        <f t="shared" si="82"/>
        <v>2</v>
      </c>
      <c r="J483" s="75">
        <v>6</v>
      </c>
      <c r="K483" s="75">
        <v>0</v>
      </c>
      <c r="L483" s="6">
        <f>L482+L482</f>
        <v>1</v>
      </c>
      <c r="M483" s="6">
        <f>M482+K483</f>
        <v>0</v>
      </c>
      <c r="N483" s="78">
        <v>100</v>
      </c>
      <c r="O483">
        <f t="shared" si="84"/>
        <v>0.5</v>
      </c>
      <c r="P483" s="78">
        <v>50</v>
      </c>
      <c r="Q483">
        <f t="shared" si="85"/>
        <v>0.3</v>
      </c>
      <c r="R483" s="75">
        <v>15</v>
      </c>
      <c r="S483" s="6">
        <f t="shared" si="86"/>
        <v>0.15</v>
      </c>
    </row>
    <row r="484" spans="1:19" x14ac:dyDescent="0.25">
      <c r="A484" s="37" t="s">
        <v>84</v>
      </c>
      <c r="B484" s="6" t="s">
        <v>160</v>
      </c>
      <c r="C484" s="67">
        <v>8000</v>
      </c>
      <c r="D484" s="6">
        <f>(C484/12)*3</f>
        <v>2000</v>
      </c>
      <c r="E484" s="67">
        <v>1112.4000000000001</v>
      </c>
      <c r="F484" s="6">
        <f>SUM(E482:E484)</f>
        <v>1112.4000000000001</v>
      </c>
      <c r="G484" s="36" t="str">
        <f t="shared" si="83"/>
        <v>Farol Vermelho</v>
      </c>
      <c r="H484">
        <f t="shared" si="81"/>
        <v>887.59999999999991</v>
      </c>
      <c r="I484" s="6">
        <f t="shared" si="82"/>
        <v>3</v>
      </c>
      <c r="J484" s="77">
        <v>6</v>
      </c>
      <c r="K484" s="77">
        <v>1</v>
      </c>
      <c r="L484" s="6">
        <f>$L482+L483</f>
        <v>1.5</v>
      </c>
      <c r="M484" s="6">
        <f t="shared" ref="M484:M493" si="89">M483+K484</f>
        <v>1</v>
      </c>
      <c r="N484" s="78">
        <v>100</v>
      </c>
      <c r="O484">
        <f t="shared" si="84"/>
        <v>0.5</v>
      </c>
      <c r="P484" s="78">
        <v>50</v>
      </c>
      <c r="Q484">
        <f t="shared" si="85"/>
        <v>0.3</v>
      </c>
      <c r="R484" s="75">
        <v>15</v>
      </c>
      <c r="S484" s="6">
        <f t="shared" si="86"/>
        <v>0.15</v>
      </c>
    </row>
    <row r="485" spans="1:19" x14ac:dyDescent="0.25">
      <c r="A485" s="37" t="s">
        <v>84</v>
      </c>
      <c r="B485" s="6" t="s">
        <v>161</v>
      </c>
      <c r="C485" s="67">
        <v>8000</v>
      </c>
      <c r="D485" s="6">
        <f>(C485/12)*4</f>
        <v>2666.6666666666665</v>
      </c>
      <c r="E485" s="67">
        <v>0</v>
      </c>
      <c r="F485" s="6">
        <f>SUM(E482:E485)</f>
        <v>1112.4000000000001</v>
      </c>
      <c r="G485" s="36" t="str">
        <f t="shared" si="83"/>
        <v>Farol Vermelho</v>
      </c>
      <c r="H485">
        <f t="shared" si="81"/>
        <v>1554.2666666666664</v>
      </c>
      <c r="I485" s="6">
        <f t="shared" si="82"/>
        <v>4</v>
      </c>
      <c r="J485" s="75">
        <v>6</v>
      </c>
      <c r="K485" s="75">
        <v>0</v>
      </c>
      <c r="L485" s="6">
        <f>$L482+L484</f>
        <v>2</v>
      </c>
      <c r="M485" s="6">
        <f t="shared" si="89"/>
        <v>1</v>
      </c>
      <c r="N485" s="78">
        <v>100</v>
      </c>
      <c r="O485">
        <f t="shared" si="84"/>
        <v>0.5</v>
      </c>
      <c r="P485" s="78">
        <v>50</v>
      </c>
      <c r="Q485">
        <f t="shared" si="85"/>
        <v>0.3</v>
      </c>
      <c r="R485" s="75">
        <v>15</v>
      </c>
      <c r="S485" s="6">
        <f t="shared" si="86"/>
        <v>0.15</v>
      </c>
    </row>
    <row r="486" spans="1:19" x14ac:dyDescent="0.25">
      <c r="A486" s="37" t="s">
        <v>84</v>
      </c>
      <c r="B486" s="6" t="s">
        <v>162</v>
      </c>
      <c r="C486" s="67">
        <v>8000</v>
      </c>
      <c r="D486" s="6">
        <f>(C486/12)*5</f>
        <v>3333.333333333333</v>
      </c>
      <c r="E486" s="67">
        <v>0</v>
      </c>
      <c r="F486" s="6">
        <f>SUM(E482:E486)</f>
        <v>1112.4000000000001</v>
      </c>
      <c r="G486" s="36" t="str">
        <f t="shared" si="83"/>
        <v>Farol Vermelho</v>
      </c>
      <c r="H486">
        <f t="shared" si="81"/>
        <v>2220.9333333333329</v>
      </c>
      <c r="I486" s="6">
        <f t="shared" si="82"/>
        <v>5</v>
      </c>
      <c r="J486" s="77">
        <v>6</v>
      </c>
      <c r="K486" s="77">
        <v>0</v>
      </c>
      <c r="L486" s="6">
        <f>L482+L485</f>
        <v>2.5</v>
      </c>
      <c r="M486" s="6">
        <f t="shared" si="89"/>
        <v>1</v>
      </c>
      <c r="N486" s="78">
        <v>100</v>
      </c>
      <c r="O486">
        <f t="shared" si="84"/>
        <v>0.5</v>
      </c>
      <c r="P486" s="78">
        <v>50</v>
      </c>
      <c r="Q486">
        <f t="shared" si="85"/>
        <v>0.3</v>
      </c>
      <c r="R486" s="75">
        <v>15</v>
      </c>
      <c r="S486" s="6">
        <f t="shared" si="86"/>
        <v>0.15</v>
      </c>
    </row>
    <row r="487" spans="1:19" x14ac:dyDescent="0.25">
      <c r="A487" s="37" t="s">
        <v>84</v>
      </c>
      <c r="B487" s="6" t="s">
        <v>163</v>
      </c>
      <c r="C487" s="67">
        <v>8000</v>
      </c>
      <c r="D487" s="6">
        <f>(C487/12)*6</f>
        <v>4000</v>
      </c>
      <c r="E487" s="67">
        <v>0</v>
      </c>
      <c r="F487" s="6">
        <f>SUM(E482:E487)</f>
        <v>1112.4000000000001</v>
      </c>
      <c r="G487" s="36" t="str">
        <f t="shared" si="83"/>
        <v>Farol Vermelho</v>
      </c>
      <c r="H487">
        <f t="shared" si="81"/>
        <v>2887.6</v>
      </c>
      <c r="I487" s="6">
        <f t="shared" si="82"/>
        <v>6</v>
      </c>
      <c r="J487" s="75">
        <v>6</v>
      </c>
      <c r="K487" s="75">
        <v>0</v>
      </c>
      <c r="L487" s="6">
        <f>$L482+L486</f>
        <v>3</v>
      </c>
      <c r="M487" s="6">
        <f t="shared" si="89"/>
        <v>1</v>
      </c>
      <c r="N487" s="78">
        <v>100</v>
      </c>
      <c r="O487">
        <f t="shared" si="84"/>
        <v>0.5</v>
      </c>
      <c r="P487" s="78">
        <v>50</v>
      </c>
      <c r="Q487">
        <f t="shared" si="85"/>
        <v>0.3</v>
      </c>
      <c r="R487" s="75">
        <v>15</v>
      </c>
      <c r="S487" s="6">
        <f t="shared" si="86"/>
        <v>0.15</v>
      </c>
    </row>
    <row r="488" spans="1:19" x14ac:dyDescent="0.25">
      <c r="A488" s="37" t="s">
        <v>84</v>
      </c>
      <c r="B488" s="6" t="s">
        <v>164</v>
      </c>
      <c r="C488" s="67">
        <v>8000</v>
      </c>
      <c r="D488" s="6">
        <f>(C488/12)*7</f>
        <v>4666.6666666666661</v>
      </c>
      <c r="E488" s="67">
        <v>800</v>
      </c>
      <c r="F488" s="6">
        <f>SUM(E482:E488)</f>
        <v>1912.4</v>
      </c>
      <c r="G488" s="36" t="str">
        <f t="shared" si="83"/>
        <v>Farol Vermelho</v>
      </c>
      <c r="H488">
        <f t="shared" si="81"/>
        <v>2754.266666666666</v>
      </c>
      <c r="I488" s="6">
        <f t="shared" si="82"/>
        <v>7</v>
      </c>
      <c r="J488" s="77">
        <v>6</v>
      </c>
      <c r="K488" s="77">
        <v>1</v>
      </c>
      <c r="L488" s="6">
        <f>$L482+L487</f>
        <v>3.5</v>
      </c>
      <c r="M488" s="6">
        <f t="shared" si="89"/>
        <v>2</v>
      </c>
      <c r="N488" s="78">
        <v>100</v>
      </c>
      <c r="O488">
        <f t="shared" si="84"/>
        <v>0.5</v>
      </c>
      <c r="P488" s="78">
        <v>50</v>
      </c>
      <c r="Q488">
        <f t="shared" si="85"/>
        <v>0.3</v>
      </c>
      <c r="R488" s="75">
        <v>15</v>
      </c>
      <c r="S488" s="6">
        <f t="shared" si="86"/>
        <v>0.15</v>
      </c>
    </row>
    <row r="489" spans="1:19" x14ac:dyDescent="0.25">
      <c r="A489" s="37" t="s">
        <v>84</v>
      </c>
      <c r="B489" s="6" t="s">
        <v>165</v>
      </c>
      <c r="C489" s="67">
        <v>8000</v>
      </c>
      <c r="D489" s="6">
        <f>(C489/12)*8</f>
        <v>5333.333333333333</v>
      </c>
      <c r="E489" s="67">
        <v>2120</v>
      </c>
      <c r="F489" s="6">
        <f>SUM(E482:E489)</f>
        <v>4032.4</v>
      </c>
      <c r="G489" s="36" t="str">
        <f t="shared" si="83"/>
        <v>Farol Vermelho</v>
      </c>
      <c r="H489">
        <f t="shared" si="81"/>
        <v>1300.9333333333329</v>
      </c>
      <c r="I489" s="6">
        <f t="shared" si="82"/>
        <v>8</v>
      </c>
      <c r="J489" s="75">
        <v>6</v>
      </c>
      <c r="K489" s="75">
        <v>2</v>
      </c>
      <c r="L489" s="6">
        <f>L482+L488</f>
        <v>4</v>
      </c>
      <c r="M489" s="6">
        <f t="shared" si="89"/>
        <v>4</v>
      </c>
      <c r="N489" s="78">
        <v>100</v>
      </c>
      <c r="O489">
        <f t="shared" si="84"/>
        <v>0.5</v>
      </c>
      <c r="P489" s="78">
        <v>50</v>
      </c>
      <c r="Q489">
        <f t="shared" si="85"/>
        <v>0.3</v>
      </c>
      <c r="R489" s="75">
        <v>15</v>
      </c>
      <c r="S489" s="6">
        <f t="shared" si="86"/>
        <v>0.15</v>
      </c>
    </row>
    <row r="490" spans="1:19" x14ac:dyDescent="0.25">
      <c r="A490" s="37" t="s">
        <v>84</v>
      </c>
      <c r="B490" s="6" t="s">
        <v>166</v>
      </c>
      <c r="C490" s="67">
        <v>8000</v>
      </c>
      <c r="D490" s="6">
        <f>(C490/12)*9</f>
        <v>6000</v>
      </c>
      <c r="E490" s="67">
        <v>0</v>
      </c>
      <c r="F490" s="6">
        <f>SUM(E482:E490)</f>
        <v>4032.4</v>
      </c>
      <c r="G490" s="36" t="str">
        <f t="shared" si="83"/>
        <v>Farol Vermelho</v>
      </c>
      <c r="H490">
        <f t="shared" si="81"/>
        <v>1967.6</v>
      </c>
      <c r="I490" s="6">
        <f t="shared" si="82"/>
        <v>9</v>
      </c>
      <c r="J490" s="77">
        <v>6</v>
      </c>
      <c r="K490" s="77">
        <v>0</v>
      </c>
      <c r="L490" s="6">
        <f>$L482+L489</f>
        <v>4.5</v>
      </c>
      <c r="M490" s="6">
        <f t="shared" si="89"/>
        <v>4</v>
      </c>
      <c r="N490" s="78">
        <v>100</v>
      </c>
      <c r="O490">
        <f t="shared" si="84"/>
        <v>0.5</v>
      </c>
      <c r="P490" s="78">
        <v>50</v>
      </c>
      <c r="Q490">
        <f t="shared" si="85"/>
        <v>0.3</v>
      </c>
      <c r="R490" s="75">
        <v>15</v>
      </c>
      <c r="S490" s="6">
        <f t="shared" si="86"/>
        <v>0.15</v>
      </c>
    </row>
    <row r="491" spans="1:19" x14ac:dyDescent="0.25">
      <c r="A491" s="37" t="s">
        <v>84</v>
      </c>
      <c r="B491" s="6" t="s">
        <v>167</v>
      </c>
      <c r="C491" s="67">
        <v>8000</v>
      </c>
      <c r="D491" s="6">
        <f>(C491/12)*10</f>
        <v>6666.6666666666661</v>
      </c>
      <c r="E491" s="67">
        <v>0</v>
      </c>
      <c r="F491" s="6">
        <f>SUM(E482:E491)</f>
        <v>4032.4</v>
      </c>
      <c r="G491" s="36" t="str">
        <f t="shared" si="83"/>
        <v>Farol Vermelho</v>
      </c>
      <c r="H491">
        <f t="shared" si="81"/>
        <v>2634.266666666666</v>
      </c>
      <c r="I491" s="6">
        <f t="shared" si="82"/>
        <v>10</v>
      </c>
      <c r="J491" s="75">
        <v>6</v>
      </c>
      <c r="K491" s="75">
        <v>0</v>
      </c>
      <c r="L491" s="6">
        <f>$L482+L490</f>
        <v>5</v>
      </c>
      <c r="M491" s="6">
        <f t="shared" si="89"/>
        <v>4</v>
      </c>
      <c r="N491" s="78">
        <v>100</v>
      </c>
      <c r="O491">
        <f t="shared" si="84"/>
        <v>0.5</v>
      </c>
      <c r="P491" s="78">
        <v>50</v>
      </c>
      <c r="Q491">
        <f t="shared" si="85"/>
        <v>0.3</v>
      </c>
      <c r="R491" s="75">
        <v>15</v>
      </c>
      <c r="S491" s="6">
        <f t="shared" si="86"/>
        <v>0.15</v>
      </c>
    </row>
    <row r="492" spans="1:19" x14ac:dyDescent="0.25">
      <c r="A492" s="37" t="s">
        <v>84</v>
      </c>
      <c r="B492" s="6" t="s">
        <v>168</v>
      </c>
      <c r="C492" s="67">
        <v>8000</v>
      </c>
      <c r="D492" s="6">
        <f>(C492/12)*11</f>
        <v>7333.333333333333</v>
      </c>
      <c r="E492" s="67">
        <v>4645</v>
      </c>
      <c r="F492" s="6">
        <f>SUM(E482:E492)</f>
        <v>8677.4</v>
      </c>
      <c r="G492" s="36" t="str">
        <f t="shared" si="83"/>
        <v>Farol Verde</v>
      </c>
      <c r="H492">
        <f t="shared" si="81"/>
        <v>0</v>
      </c>
      <c r="I492" s="6">
        <f t="shared" si="82"/>
        <v>11</v>
      </c>
      <c r="J492" s="77">
        <v>6</v>
      </c>
      <c r="K492" s="77">
        <v>2</v>
      </c>
      <c r="L492" s="6">
        <f>L482+L491</f>
        <v>5.5</v>
      </c>
      <c r="M492" s="6">
        <f t="shared" si="89"/>
        <v>6</v>
      </c>
      <c r="N492" s="78">
        <v>100</v>
      </c>
      <c r="O492">
        <f t="shared" si="84"/>
        <v>0.5</v>
      </c>
      <c r="P492" s="78">
        <v>50</v>
      </c>
      <c r="Q492">
        <f t="shared" si="85"/>
        <v>0.3</v>
      </c>
      <c r="R492" s="75">
        <v>15</v>
      </c>
      <c r="S492" s="6">
        <f t="shared" si="86"/>
        <v>0.15</v>
      </c>
    </row>
    <row r="493" spans="1:19" x14ac:dyDescent="0.25">
      <c r="A493" s="37" t="s">
        <v>84</v>
      </c>
      <c r="B493" s="6" t="s">
        <v>169</v>
      </c>
      <c r="C493" s="67">
        <v>8000</v>
      </c>
      <c r="D493" s="6">
        <f>(C493/12)*12</f>
        <v>8000</v>
      </c>
      <c r="E493" s="67">
        <v>0</v>
      </c>
      <c r="F493" s="6">
        <f>SUM(E482:E493)</f>
        <v>8677.4</v>
      </c>
      <c r="G493" s="36" t="str">
        <f t="shared" si="83"/>
        <v>Farol Verde</v>
      </c>
      <c r="H493">
        <f t="shared" si="81"/>
        <v>0</v>
      </c>
      <c r="I493" s="6">
        <f t="shared" si="82"/>
        <v>12</v>
      </c>
      <c r="J493" s="75">
        <v>6</v>
      </c>
      <c r="K493" s="75">
        <v>0</v>
      </c>
      <c r="L493" s="6">
        <f>$L482+L492</f>
        <v>6</v>
      </c>
      <c r="M493" s="6">
        <f t="shared" si="89"/>
        <v>6</v>
      </c>
      <c r="N493" s="78">
        <v>100</v>
      </c>
      <c r="O493">
        <f t="shared" si="84"/>
        <v>0.5</v>
      </c>
      <c r="P493" s="78">
        <v>50</v>
      </c>
      <c r="Q493">
        <f t="shared" si="85"/>
        <v>0.3</v>
      </c>
      <c r="R493" s="75">
        <v>15</v>
      </c>
      <c r="S493" s="6">
        <f t="shared" si="86"/>
        <v>0.15</v>
      </c>
    </row>
    <row r="494" spans="1:19" x14ac:dyDescent="0.25">
      <c r="A494" s="37" t="s">
        <v>81</v>
      </c>
      <c r="B494" s="6" t="s">
        <v>158</v>
      </c>
      <c r="C494" s="67">
        <v>14700</v>
      </c>
      <c r="D494" s="6">
        <f>(C494/12)*1</f>
        <v>1225</v>
      </c>
      <c r="E494" s="67">
        <v>0</v>
      </c>
      <c r="F494" s="6">
        <f>E494</f>
        <v>0</v>
      </c>
      <c r="G494" s="36" t="str">
        <f t="shared" si="83"/>
        <v>Farol Vermelho</v>
      </c>
      <c r="H494">
        <f t="shared" si="81"/>
        <v>1225</v>
      </c>
      <c r="I494" s="6">
        <f t="shared" si="82"/>
        <v>1</v>
      </c>
      <c r="J494" s="77">
        <v>12</v>
      </c>
      <c r="K494" s="77">
        <v>0</v>
      </c>
      <c r="L494" s="6">
        <f>J494/12</f>
        <v>1</v>
      </c>
      <c r="M494" s="6">
        <f>K494</f>
        <v>0</v>
      </c>
      <c r="N494" s="78">
        <v>100</v>
      </c>
      <c r="O494">
        <f t="shared" si="84"/>
        <v>0.5</v>
      </c>
      <c r="P494" s="78">
        <v>50</v>
      </c>
      <c r="Q494">
        <f t="shared" si="85"/>
        <v>0.3</v>
      </c>
      <c r="R494" s="75">
        <v>15</v>
      </c>
      <c r="S494" s="6">
        <f t="shared" si="86"/>
        <v>0.15</v>
      </c>
    </row>
    <row r="495" spans="1:19" x14ac:dyDescent="0.25">
      <c r="A495" s="37" t="s">
        <v>81</v>
      </c>
      <c r="B495" s="6" t="s">
        <v>159</v>
      </c>
      <c r="C495" s="67">
        <v>14700</v>
      </c>
      <c r="D495" s="6">
        <f>(C495/12)*2</f>
        <v>2450</v>
      </c>
      <c r="E495" s="67">
        <v>0</v>
      </c>
      <c r="F495" s="6">
        <f>SUM(E494:E495)</f>
        <v>0</v>
      </c>
      <c r="G495" s="36" t="str">
        <f t="shared" si="83"/>
        <v>Farol Vermelho</v>
      </c>
      <c r="H495">
        <f t="shared" si="81"/>
        <v>2450</v>
      </c>
      <c r="I495" s="6">
        <f t="shared" si="82"/>
        <v>2</v>
      </c>
      <c r="J495" s="75">
        <v>12</v>
      </c>
      <c r="K495" s="75">
        <v>0</v>
      </c>
      <c r="L495" s="6">
        <f>L494+L494</f>
        <v>2</v>
      </c>
      <c r="M495" s="6">
        <f>M494+K495</f>
        <v>0</v>
      </c>
      <c r="N495" s="78">
        <v>100</v>
      </c>
      <c r="O495">
        <f t="shared" si="84"/>
        <v>0.5</v>
      </c>
      <c r="P495" s="78">
        <v>50</v>
      </c>
      <c r="Q495">
        <f t="shared" si="85"/>
        <v>0.3</v>
      </c>
      <c r="R495" s="75">
        <v>15</v>
      </c>
      <c r="S495" s="6">
        <f t="shared" si="86"/>
        <v>0.15</v>
      </c>
    </row>
    <row r="496" spans="1:19" x14ac:dyDescent="0.25">
      <c r="A496" s="37" t="s">
        <v>81</v>
      </c>
      <c r="B496" s="6" t="s">
        <v>160</v>
      </c>
      <c r="C496" s="67">
        <v>14700</v>
      </c>
      <c r="D496" s="6">
        <f>(C496/12)*3</f>
        <v>3675</v>
      </c>
      <c r="E496" s="67">
        <v>0</v>
      </c>
      <c r="F496" s="6">
        <f>SUM(E494:E496)</f>
        <v>0</v>
      </c>
      <c r="G496" s="36" t="str">
        <f t="shared" si="83"/>
        <v>Farol Vermelho</v>
      </c>
      <c r="H496">
        <f t="shared" si="81"/>
        <v>3675</v>
      </c>
      <c r="I496" s="6">
        <f t="shared" si="82"/>
        <v>3</v>
      </c>
      <c r="J496" s="77">
        <v>12</v>
      </c>
      <c r="K496" s="77">
        <v>0</v>
      </c>
      <c r="L496" s="6">
        <f>$L494+L495</f>
        <v>3</v>
      </c>
      <c r="M496" s="6">
        <f t="shared" ref="M496:M505" si="90">M495+K496</f>
        <v>0</v>
      </c>
      <c r="N496" s="78">
        <v>100</v>
      </c>
      <c r="O496">
        <f t="shared" si="84"/>
        <v>0.5</v>
      </c>
      <c r="P496" s="78">
        <v>50</v>
      </c>
      <c r="Q496">
        <f t="shared" si="85"/>
        <v>0.3</v>
      </c>
      <c r="R496" s="75">
        <v>15</v>
      </c>
      <c r="S496" s="6">
        <f t="shared" si="86"/>
        <v>0.15</v>
      </c>
    </row>
    <row r="497" spans="1:19" x14ac:dyDescent="0.25">
      <c r="A497" s="37" t="s">
        <v>81</v>
      </c>
      <c r="B497" s="6" t="s">
        <v>161</v>
      </c>
      <c r="C497" s="67">
        <v>14700</v>
      </c>
      <c r="D497" s="6">
        <f>(C497/12)*4</f>
        <v>4900</v>
      </c>
      <c r="E497" s="67">
        <v>0</v>
      </c>
      <c r="F497" s="6">
        <f>SUM(E494:E497)</f>
        <v>0</v>
      </c>
      <c r="G497" s="36" t="str">
        <f t="shared" si="83"/>
        <v>Farol Vermelho</v>
      </c>
      <c r="H497">
        <f t="shared" si="81"/>
        <v>4900</v>
      </c>
      <c r="I497" s="6">
        <f t="shared" si="82"/>
        <v>4</v>
      </c>
      <c r="J497" s="75">
        <v>12</v>
      </c>
      <c r="K497" s="75">
        <v>0</v>
      </c>
      <c r="L497" s="6">
        <f>$L494+L496</f>
        <v>4</v>
      </c>
      <c r="M497" s="6">
        <f t="shared" si="90"/>
        <v>0</v>
      </c>
      <c r="N497" s="78">
        <v>100</v>
      </c>
      <c r="O497">
        <f t="shared" si="84"/>
        <v>0.5</v>
      </c>
      <c r="P497" s="78">
        <v>50</v>
      </c>
      <c r="Q497">
        <f t="shared" si="85"/>
        <v>0.3</v>
      </c>
      <c r="R497" s="75">
        <v>15</v>
      </c>
      <c r="S497" s="6">
        <f t="shared" si="86"/>
        <v>0.15</v>
      </c>
    </row>
    <row r="498" spans="1:19" x14ac:dyDescent="0.25">
      <c r="A498" s="37" t="s">
        <v>81</v>
      </c>
      <c r="B498" s="6" t="s">
        <v>162</v>
      </c>
      <c r="C498" s="67">
        <v>14700</v>
      </c>
      <c r="D498" s="6">
        <f>(C498/12)*5</f>
        <v>6125</v>
      </c>
      <c r="E498" s="67">
        <v>0</v>
      </c>
      <c r="F498" s="6">
        <f>SUM(E494:E498)</f>
        <v>0</v>
      </c>
      <c r="G498" s="36" t="str">
        <f t="shared" si="83"/>
        <v>Farol Vermelho</v>
      </c>
      <c r="H498">
        <f t="shared" si="81"/>
        <v>6125</v>
      </c>
      <c r="I498" s="6">
        <f t="shared" si="82"/>
        <v>5</v>
      </c>
      <c r="J498" s="77">
        <v>12</v>
      </c>
      <c r="K498" s="77">
        <v>0</v>
      </c>
      <c r="L498" s="6">
        <f>L494+L497</f>
        <v>5</v>
      </c>
      <c r="M498" s="6">
        <f t="shared" si="90"/>
        <v>0</v>
      </c>
      <c r="N498" s="78">
        <v>100</v>
      </c>
      <c r="O498">
        <f t="shared" si="84"/>
        <v>0.5</v>
      </c>
      <c r="P498" s="78">
        <v>50</v>
      </c>
      <c r="Q498">
        <f t="shared" si="85"/>
        <v>0.3</v>
      </c>
      <c r="R498" s="75">
        <v>15</v>
      </c>
      <c r="S498" s="6">
        <f t="shared" si="86"/>
        <v>0.15</v>
      </c>
    </row>
    <row r="499" spans="1:19" x14ac:dyDescent="0.25">
      <c r="A499" s="37" t="s">
        <v>81</v>
      </c>
      <c r="B499" s="6" t="s">
        <v>163</v>
      </c>
      <c r="C499" s="67">
        <v>14700</v>
      </c>
      <c r="D499" s="6">
        <f>(C499/12)*6</f>
        <v>7350</v>
      </c>
      <c r="E499" s="67">
        <v>0</v>
      </c>
      <c r="F499" s="6">
        <f>SUM(E494:E499)</f>
        <v>0</v>
      </c>
      <c r="G499" s="36" t="str">
        <f t="shared" si="83"/>
        <v>Farol Vermelho</v>
      </c>
      <c r="H499">
        <f t="shared" si="81"/>
        <v>7350</v>
      </c>
      <c r="I499" s="6">
        <f t="shared" si="82"/>
        <v>6</v>
      </c>
      <c r="J499" s="75">
        <v>12</v>
      </c>
      <c r="K499" s="75">
        <v>0</v>
      </c>
      <c r="L499" s="6">
        <f>$L494+L498</f>
        <v>6</v>
      </c>
      <c r="M499" s="6">
        <f t="shared" si="90"/>
        <v>0</v>
      </c>
      <c r="N499" s="78">
        <v>100</v>
      </c>
      <c r="O499">
        <f t="shared" si="84"/>
        <v>0.5</v>
      </c>
      <c r="P499" s="78">
        <v>50</v>
      </c>
      <c r="Q499">
        <f t="shared" si="85"/>
        <v>0.3</v>
      </c>
      <c r="R499" s="75">
        <v>15</v>
      </c>
      <c r="S499" s="6">
        <f t="shared" si="86"/>
        <v>0.15</v>
      </c>
    </row>
    <row r="500" spans="1:19" x14ac:dyDescent="0.25">
      <c r="A500" s="37" t="s">
        <v>81</v>
      </c>
      <c r="B500" s="6" t="s">
        <v>164</v>
      </c>
      <c r="C500" s="67">
        <v>14700</v>
      </c>
      <c r="D500" s="6">
        <f>(C500/12)*7</f>
        <v>8575</v>
      </c>
      <c r="E500" s="67">
        <v>0</v>
      </c>
      <c r="F500" s="6">
        <f>SUM(E494:E500)</f>
        <v>0</v>
      </c>
      <c r="G500" s="36" t="str">
        <f t="shared" si="83"/>
        <v>Farol Vermelho</v>
      </c>
      <c r="H500">
        <f t="shared" si="81"/>
        <v>8575</v>
      </c>
      <c r="I500" s="6">
        <f t="shared" si="82"/>
        <v>7</v>
      </c>
      <c r="J500" s="77">
        <v>12</v>
      </c>
      <c r="K500" s="77">
        <v>0</v>
      </c>
      <c r="L500" s="6">
        <f>$L494+L499</f>
        <v>7</v>
      </c>
      <c r="M500" s="6">
        <f t="shared" si="90"/>
        <v>0</v>
      </c>
      <c r="N500" s="78">
        <v>100</v>
      </c>
      <c r="O500">
        <f t="shared" si="84"/>
        <v>0.5</v>
      </c>
      <c r="P500" s="78">
        <v>50</v>
      </c>
      <c r="Q500">
        <f t="shared" si="85"/>
        <v>0.3</v>
      </c>
      <c r="R500" s="75">
        <v>15</v>
      </c>
      <c r="S500" s="6">
        <f t="shared" si="86"/>
        <v>0.15</v>
      </c>
    </row>
    <row r="501" spans="1:19" x14ac:dyDescent="0.25">
      <c r="A501" s="37" t="s">
        <v>81</v>
      </c>
      <c r="B501" s="6" t="s">
        <v>165</v>
      </c>
      <c r="C501" s="67">
        <v>14700</v>
      </c>
      <c r="D501" s="6">
        <f>(C501/12)*8</f>
        <v>9800</v>
      </c>
      <c r="E501" s="67">
        <v>0</v>
      </c>
      <c r="F501" s="6">
        <f>SUM(E494:E501)</f>
        <v>0</v>
      </c>
      <c r="G501" s="36" t="str">
        <f t="shared" si="83"/>
        <v>Farol Vermelho</v>
      </c>
      <c r="H501">
        <f t="shared" si="81"/>
        <v>9800</v>
      </c>
      <c r="I501" s="6">
        <f t="shared" si="82"/>
        <v>8</v>
      </c>
      <c r="J501" s="75">
        <v>12</v>
      </c>
      <c r="K501" s="75">
        <v>0</v>
      </c>
      <c r="L501" s="6">
        <f>L494+L500</f>
        <v>8</v>
      </c>
      <c r="M501" s="6">
        <f t="shared" si="90"/>
        <v>0</v>
      </c>
      <c r="N501" s="78">
        <v>100</v>
      </c>
      <c r="O501">
        <f t="shared" si="84"/>
        <v>0.5</v>
      </c>
      <c r="P501" s="78">
        <v>50</v>
      </c>
      <c r="Q501">
        <f t="shared" si="85"/>
        <v>0.3</v>
      </c>
      <c r="R501" s="75">
        <v>15</v>
      </c>
      <c r="S501" s="6">
        <f t="shared" si="86"/>
        <v>0.15</v>
      </c>
    </row>
    <row r="502" spans="1:19" x14ac:dyDescent="0.25">
      <c r="A502" s="37" t="s">
        <v>81</v>
      </c>
      <c r="B502" s="6" t="s">
        <v>166</v>
      </c>
      <c r="C502" s="67">
        <v>14700</v>
      </c>
      <c r="D502" s="6">
        <f>(C502/12)*9</f>
        <v>11025</v>
      </c>
      <c r="E502" s="67">
        <v>0</v>
      </c>
      <c r="F502" s="6">
        <f>SUM(E494:E502)</f>
        <v>0</v>
      </c>
      <c r="G502" s="36" t="str">
        <f t="shared" si="83"/>
        <v>Farol Vermelho</v>
      </c>
      <c r="H502">
        <f t="shared" si="81"/>
        <v>11025</v>
      </c>
      <c r="I502" s="6">
        <f t="shared" si="82"/>
        <v>9</v>
      </c>
      <c r="J502" s="77">
        <v>12</v>
      </c>
      <c r="K502" s="77">
        <v>0</v>
      </c>
      <c r="L502" s="6">
        <f>$L494+L501</f>
        <v>9</v>
      </c>
      <c r="M502" s="6">
        <f t="shared" si="90"/>
        <v>0</v>
      </c>
      <c r="N502" s="78">
        <v>100</v>
      </c>
      <c r="O502">
        <f t="shared" si="84"/>
        <v>0.5</v>
      </c>
      <c r="P502" s="78">
        <v>50</v>
      </c>
      <c r="Q502">
        <f t="shared" si="85"/>
        <v>0.3</v>
      </c>
      <c r="R502" s="75">
        <v>15</v>
      </c>
      <c r="S502" s="6">
        <f t="shared" si="86"/>
        <v>0.15</v>
      </c>
    </row>
    <row r="503" spans="1:19" x14ac:dyDescent="0.25">
      <c r="A503" s="37" t="s">
        <v>81</v>
      </c>
      <c r="B503" s="6" t="s">
        <v>167</v>
      </c>
      <c r="C503" s="67">
        <v>14700</v>
      </c>
      <c r="D503" s="6">
        <f>(C503/12)*10</f>
        <v>12250</v>
      </c>
      <c r="E503" s="67">
        <v>540</v>
      </c>
      <c r="F503" s="6">
        <f>SUM(E494:E503)</f>
        <v>540</v>
      </c>
      <c r="G503" s="36" t="str">
        <f t="shared" si="83"/>
        <v>Farol Vermelho</v>
      </c>
      <c r="H503">
        <f t="shared" si="81"/>
        <v>11710</v>
      </c>
      <c r="I503" s="6">
        <f t="shared" si="82"/>
        <v>10</v>
      </c>
      <c r="J503" s="75">
        <v>12</v>
      </c>
      <c r="K503" s="75">
        <v>2</v>
      </c>
      <c r="L503" s="6">
        <f>$L494+L502</f>
        <v>10</v>
      </c>
      <c r="M503" s="6">
        <f t="shared" si="90"/>
        <v>2</v>
      </c>
      <c r="N503" s="78">
        <v>100</v>
      </c>
      <c r="O503">
        <f t="shared" si="84"/>
        <v>0.5</v>
      </c>
      <c r="P503" s="78">
        <v>50</v>
      </c>
      <c r="Q503">
        <f t="shared" si="85"/>
        <v>0.3</v>
      </c>
      <c r="R503" s="75">
        <v>15</v>
      </c>
      <c r="S503" s="6">
        <f t="shared" si="86"/>
        <v>0.15</v>
      </c>
    </row>
    <row r="504" spans="1:19" x14ac:dyDescent="0.25">
      <c r="A504" s="37" t="s">
        <v>81</v>
      </c>
      <c r="B504" s="6" t="s">
        <v>168</v>
      </c>
      <c r="C504" s="67">
        <v>14700</v>
      </c>
      <c r="D504" s="6">
        <f>(C504/12)*11</f>
        <v>13475</v>
      </c>
      <c r="E504" s="67">
        <v>0</v>
      </c>
      <c r="F504" s="6">
        <f>SUM(E494:E504)</f>
        <v>540</v>
      </c>
      <c r="G504" s="36" t="str">
        <f t="shared" si="83"/>
        <v>Farol Vermelho</v>
      </c>
      <c r="H504">
        <f t="shared" si="81"/>
        <v>12935</v>
      </c>
      <c r="I504" s="6">
        <f t="shared" si="82"/>
        <v>11</v>
      </c>
      <c r="J504" s="77">
        <v>12</v>
      </c>
      <c r="K504" s="77">
        <v>0</v>
      </c>
      <c r="L504" s="6">
        <f>L494+L503</f>
        <v>11</v>
      </c>
      <c r="M504" s="6">
        <f t="shared" si="90"/>
        <v>2</v>
      </c>
      <c r="N504" s="78">
        <v>100</v>
      </c>
      <c r="O504">
        <f t="shared" si="84"/>
        <v>0.5</v>
      </c>
      <c r="P504" s="78">
        <v>50</v>
      </c>
      <c r="Q504">
        <f t="shared" si="85"/>
        <v>0.3</v>
      </c>
      <c r="R504" s="75">
        <v>15</v>
      </c>
      <c r="S504" s="6">
        <f t="shared" si="86"/>
        <v>0.15</v>
      </c>
    </row>
    <row r="505" spans="1:19" x14ac:dyDescent="0.25">
      <c r="A505" s="37" t="s">
        <v>81</v>
      </c>
      <c r="B505" s="6" t="s">
        <v>169</v>
      </c>
      <c r="C505" s="67">
        <v>14700</v>
      </c>
      <c r="D505" s="6">
        <f>(C505/12)*12</f>
        <v>14700</v>
      </c>
      <c r="E505" s="67">
        <v>0</v>
      </c>
      <c r="F505" s="6">
        <f>SUM(E494:E505)</f>
        <v>540</v>
      </c>
      <c r="G505" s="36" t="str">
        <f t="shared" si="83"/>
        <v>Farol Vermelho</v>
      </c>
      <c r="H505">
        <f t="shared" si="81"/>
        <v>14160</v>
      </c>
      <c r="I505" s="6">
        <f t="shared" si="82"/>
        <v>12</v>
      </c>
      <c r="J505" s="75">
        <v>12</v>
      </c>
      <c r="K505" s="75">
        <v>0</v>
      </c>
      <c r="L505" s="6">
        <f>$L494+L504</f>
        <v>12</v>
      </c>
      <c r="M505" s="6">
        <f t="shared" si="90"/>
        <v>2</v>
      </c>
      <c r="N505" s="78">
        <v>100</v>
      </c>
      <c r="O505">
        <f t="shared" si="84"/>
        <v>0.5</v>
      </c>
      <c r="P505" s="78">
        <v>50</v>
      </c>
      <c r="Q505">
        <f t="shared" si="85"/>
        <v>0.3</v>
      </c>
      <c r="R505" s="75">
        <v>15</v>
      </c>
      <c r="S505" s="6">
        <f t="shared" si="86"/>
        <v>0.15</v>
      </c>
    </row>
    <row r="506" spans="1:19" x14ac:dyDescent="0.25">
      <c r="A506" s="37" t="s">
        <v>53</v>
      </c>
      <c r="B506" s="6" t="s">
        <v>158</v>
      </c>
      <c r="C506" s="67">
        <v>5000</v>
      </c>
      <c r="D506" s="6">
        <f>(C506/12)*1</f>
        <v>416.66666666666669</v>
      </c>
      <c r="E506" s="67">
        <v>0</v>
      </c>
      <c r="F506" s="6">
        <f>E506</f>
        <v>0</v>
      </c>
      <c r="G506" s="36" t="str">
        <f t="shared" si="83"/>
        <v>Farol Vermelho</v>
      </c>
      <c r="H506">
        <f t="shared" si="81"/>
        <v>416.66666666666669</v>
      </c>
      <c r="I506" s="6">
        <f t="shared" si="82"/>
        <v>1</v>
      </c>
      <c r="J506" s="77">
        <v>20</v>
      </c>
      <c r="K506" s="77">
        <v>0</v>
      </c>
      <c r="L506" s="6">
        <f>J506/12</f>
        <v>1.6666666666666667</v>
      </c>
      <c r="M506" s="6">
        <f>K506</f>
        <v>0</v>
      </c>
      <c r="N506" s="78">
        <v>100</v>
      </c>
      <c r="O506">
        <f t="shared" si="84"/>
        <v>0.5</v>
      </c>
      <c r="P506" s="78">
        <v>50</v>
      </c>
      <c r="Q506">
        <f t="shared" si="85"/>
        <v>0.3</v>
      </c>
      <c r="R506" s="75">
        <v>15</v>
      </c>
      <c r="S506" s="6">
        <f t="shared" si="86"/>
        <v>0.15</v>
      </c>
    </row>
    <row r="507" spans="1:19" x14ac:dyDescent="0.25">
      <c r="A507" s="37" t="s">
        <v>53</v>
      </c>
      <c r="B507" s="6" t="s">
        <v>159</v>
      </c>
      <c r="C507" s="67">
        <v>5000</v>
      </c>
      <c r="D507" s="6">
        <f>(C507/12)*2</f>
        <v>833.33333333333337</v>
      </c>
      <c r="E507" s="67">
        <v>0</v>
      </c>
      <c r="F507" s="6">
        <f>SUM(E506:E507)</f>
        <v>0</v>
      </c>
      <c r="G507" s="36" t="str">
        <f t="shared" si="83"/>
        <v>Farol Vermelho</v>
      </c>
      <c r="H507">
        <f t="shared" si="81"/>
        <v>833.33333333333337</v>
      </c>
      <c r="I507" s="6">
        <f t="shared" si="82"/>
        <v>2</v>
      </c>
      <c r="J507" s="75">
        <v>20</v>
      </c>
      <c r="K507" s="75">
        <v>0</v>
      </c>
      <c r="L507" s="6">
        <f>L506+L506</f>
        <v>3.3333333333333335</v>
      </c>
      <c r="M507" s="6">
        <f>M506+K507</f>
        <v>0</v>
      </c>
      <c r="N507" s="78">
        <v>100</v>
      </c>
      <c r="O507">
        <f t="shared" si="84"/>
        <v>0.5</v>
      </c>
      <c r="P507" s="78">
        <v>50</v>
      </c>
      <c r="Q507">
        <f t="shared" si="85"/>
        <v>0.3</v>
      </c>
      <c r="R507" s="75">
        <v>15</v>
      </c>
      <c r="S507" s="6">
        <f t="shared" si="86"/>
        <v>0.15</v>
      </c>
    </row>
    <row r="508" spans="1:19" x14ac:dyDescent="0.25">
      <c r="A508" s="37" t="s">
        <v>53</v>
      </c>
      <c r="B508" s="6" t="s">
        <v>160</v>
      </c>
      <c r="C508" s="67">
        <v>5000</v>
      </c>
      <c r="D508" s="6">
        <f>(C508/12)*3</f>
        <v>1250</v>
      </c>
      <c r="E508" s="67">
        <v>0</v>
      </c>
      <c r="F508" s="6">
        <f>SUM(E506:E508)</f>
        <v>0</v>
      </c>
      <c r="G508" s="36" t="str">
        <f t="shared" si="83"/>
        <v>Farol Vermelho</v>
      </c>
      <c r="H508">
        <f t="shared" si="81"/>
        <v>1250</v>
      </c>
      <c r="I508" s="6">
        <f t="shared" si="82"/>
        <v>3</v>
      </c>
      <c r="J508" s="77">
        <v>20</v>
      </c>
      <c r="K508" s="77">
        <v>0</v>
      </c>
      <c r="L508" s="6">
        <f>$L506+L507</f>
        <v>5</v>
      </c>
      <c r="M508" s="6">
        <f t="shared" ref="M508:M517" si="91">M507+K508</f>
        <v>0</v>
      </c>
      <c r="N508" s="78">
        <v>100</v>
      </c>
      <c r="O508">
        <f t="shared" si="84"/>
        <v>0.5</v>
      </c>
      <c r="P508" s="78">
        <v>50</v>
      </c>
      <c r="Q508">
        <f t="shared" si="85"/>
        <v>0.3</v>
      </c>
      <c r="R508" s="75">
        <v>15</v>
      </c>
      <c r="S508" s="6">
        <f t="shared" si="86"/>
        <v>0.15</v>
      </c>
    </row>
    <row r="509" spans="1:19" x14ac:dyDescent="0.25">
      <c r="A509" s="37" t="s">
        <v>53</v>
      </c>
      <c r="B509" s="6" t="s">
        <v>161</v>
      </c>
      <c r="C509" s="67">
        <v>5000</v>
      </c>
      <c r="D509" s="6">
        <f>(C509/12)*4</f>
        <v>1666.6666666666667</v>
      </c>
      <c r="E509" s="67">
        <v>250</v>
      </c>
      <c r="F509" s="6">
        <f>SUM(E506:E509)</f>
        <v>250</v>
      </c>
      <c r="G509" s="36" t="str">
        <f t="shared" si="83"/>
        <v>Farol Vermelho</v>
      </c>
      <c r="H509">
        <f t="shared" si="81"/>
        <v>1416.6666666666667</v>
      </c>
      <c r="I509" s="6">
        <f t="shared" si="82"/>
        <v>4</v>
      </c>
      <c r="J509" s="75">
        <v>20</v>
      </c>
      <c r="K509" s="75">
        <v>2</v>
      </c>
      <c r="L509" s="6">
        <f>$L506+L508</f>
        <v>6.666666666666667</v>
      </c>
      <c r="M509" s="6">
        <f t="shared" si="91"/>
        <v>2</v>
      </c>
      <c r="N509" s="78">
        <v>100</v>
      </c>
      <c r="O509">
        <f t="shared" si="84"/>
        <v>0.5</v>
      </c>
      <c r="P509" s="78">
        <v>50</v>
      </c>
      <c r="Q509">
        <f t="shared" si="85"/>
        <v>0.3</v>
      </c>
      <c r="R509" s="75">
        <v>15</v>
      </c>
      <c r="S509" s="6">
        <f t="shared" si="86"/>
        <v>0.15</v>
      </c>
    </row>
    <row r="510" spans="1:19" x14ac:dyDescent="0.25">
      <c r="A510" s="37" t="s">
        <v>53</v>
      </c>
      <c r="B510" s="6" t="s">
        <v>162</v>
      </c>
      <c r="C510" s="67">
        <v>5000</v>
      </c>
      <c r="D510" s="6">
        <f>(C510/12)*5</f>
        <v>2083.3333333333335</v>
      </c>
      <c r="E510" s="67">
        <v>0</v>
      </c>
      <c r="F510" s="6">
        <f>SUM(E506:E510)</f>
        <v>250</v>
      </c>
      <c r="G510" s="36" t="str">
        <f t="shared" si="83"/>
        <v>Farol Vermelho</v>
      </c>
      <c r="H510">
        <f t="shared" si="81"/>
        <v>1833.3333333333335</v>
      </c>
      <c r="I510" s="6">
        <f t="shared" si="82"/>
        <v>5</v>
      </c>
      <c r="J510" s="77">
        <v>20</v>
      </c>
      <c r="K510" s="77">
        <v>0</v>
      </c>
      <c r="L510" s="6">
        <f>L506+L509</f>
        <v>8.3333333333333339</v>
      </c>
      <c r="M510" s="6">
        <f t="shared" si="91"/>
        <v>2</v>
      </c>
      <c r="N510" s="78">
        <v>100</v>
      </c>
      <c r="O510">
        <f t="shared" si="84"/>
        <v>0.5</v>
      </c>
      <c r="P510" s="78">
        <v>50</v>
      </c>
      <c r="Q510">
        <f t="shared" si="85"/>
        <v>0.3</v>
      </c>
      <c r="R510" s="75">
        <v>15</v>
      </c>
      <c r="S510" s="6">
        <f t="shared" si="86"/>
        <v>0.15</v>
      </c>
    </row>
    <row r="511" spans="1:19" x14ac:dyDescent="0.25">
      <c r="A511" s="37" t="s">
        <v>53</v>
      </c>
      <c r="B511" s="6" t="s">
        <v>163</v>
      </c>
      <c r="C511" s="67">
        <v>5000</v>
      </c>
      <c r="D511" s="6">
        <f>(C511/12)*6</f>
        <v>2500</v>
      </c>
      <c r="E511" s="67">
        <v>100</v>
      </c>
      <c r="F511" s="6">
        <f>SUM(E506:E511)</f>
        <v>350</v>
      </c>
      <c r="G511" s="36" t="str">
        <f t="shared" si="83"/>
        <v>Farol Vermelho</v>
      </c>
      <c r="H511">
        <f t="shared" si="81"/>
        <v>2150</v>
      </c>
      <c r="I511" s="6">
        <f t="shared" si="82"/>
        <v>6</v>
      </c>
      <c r="J511" s="75">
        <v>20</v>
      </c>
      <c r="K511" s="75">
        <v>2</v>
      </c>
      <c r="L511" s="6">
        <f>$L506+L510</f>
        <v>10</v>
      </c>
      <c r="M511" s="6">
        <f t="shared" si="91"/>
        <v>4</v>
      </c>
      <c r="N511" s="78">
        <v>100</v>
      </c>
      <c r="O511">
        <f t="shared" si="84"/>
        <v>0.5</v>
      </c>
      <c r="P511" s="78">
        <v>50</v>
      </c>
      <c r="Q511">
        <f t="shared" si="85"/>
        <v>0.3</v>
      </c>
      <c r="R511" s="75">
        <v>15</v>
      </c>
      <c r="S511" s="6">
        <f t="shared" si="86"/>
        <v>0.15</v>
      </c>
    </row>
    <row r="512" spans="1:19" x14ac:dyDescent="0.25">
      <c r="A512" s="37" t="s">
        <v>53</v>
      </c>
      <c r="B512" s="6" t="s">
        <v>164</v>
      </c>
      <c r="C512" s="67">
        <v>5000</v>
      </c>
      <c r="D512" s="6">
        <f>(C512/12)*7</f>
        <v>2916.666666666667</v>
      </c>
      <c r="E512" s="67">
        <v>350</v>
      </c>
      <c r="F512" s="6">
        <f>SUM(E506:E512)</f>
        <v>700</v>
      </c>
      <c r="G512" s="36" t="str">
        <f t="shared" si="83"/>
        <v>Farol Vermelho</v>
      </c>
      <c r="H512">
        <f t="shared" si="81"/>
        <v>2216.666666666667</v>
      </c>
      <c r="I512" s="6">
        <f t="shared" si="82"/>
        <v>7</v>
      </c>
      <c r="J512" s="77">
        <v>20</v>
      </c>
      <c r="K512" s="77">
        <v>2</v>
      </c>
      <c r="L512" s="6">
        <f>$L506+L511</f>
        <v>11.666666666666666</v>
      </c>
      <c r="M512" s="6">
        <f t="shared" si="91"/>
        <v>6</v>
      </c>
      <c r="N512" s="78">
        <v>100</v>
      </c>
      <c r="O512">
        <f t="shared" si="84"/>
        <v>0.5</v>
      </c>
      <c r="P512" s="78">
        <v>50</v>
      </c>
      <c r="Q512">
        <f t="shared" si="85"/>
        <v>0.3</v>
      </c>
      <c r="R512" s="75">
        <v>15</v>
      </c>
      <c r="S512" s="6">
        <f t="shared" si="86"/>
        <v>0.15</v>
      </c>
    </row>
    <row r="513" spans="1:19" x14ac:dyDescent="0.25">
      <c r="A513" s="37" t="s">
        <v>53</v>
      </c>
      <c r="B513" s="6" t="s">
        <v>165</v>
      </c>
      <c r="C513" s="67">
        <v>5000</v>
      </c>
      <c r="D513" s="6">
        <f>(C513/12)*8</f>
        <v>3333.3333333333335</v>
      </c>
      <c r="E513" s="67">
        <v>0</v>
      </c>
      <c r="F513" s="6">
        <f>SUM(E506:E513)</f>
        <v>700</v>
      </c>
      <c r="G513" s="36" t="str">
        <f t="shared" si="83"/>
        <v>Farol Vermelho</v>
      </c>
      <c r="H513">
        <f t="shared" si="81"/>
        <v>2633.3333333333335</v>
      </c>
      <c r="I513" s="6">
        <f t="shared" si="82"/>
        <v>8</v>
      </c>
      <c r="J513" s="75">
        <v>20</v>
      </c>
      <c r="K513" s="75">
        <v>0</v>
      </c>
      <c r="L513" s="6">
        <f>L506+L512</f>
        <v>13.333333333333332</v>
      </c>
      <c r="M513" s="6">
        <f t="shared" si="91"/>
        <v>6</v>
      </c>
      <c r="N513" s="78">
        <v>100</v>
      </c>
      <c r="O513">
        <f t="shared" si="84"/>
        <v>0.5</v>
      </c>
      <c r="P513" s="78">
        <v>50</v>
      </c>
      <c r="Q513">
        <f t="shared" si="85"/>
        <v>0.3</v>
      </c>
      <c r="R513" s="75">
        <v>15</v>
      </c>
      <c r="S513" s="6">
        <f t="shared" si="86"/>
        <v>0.15</v>
      </c>
    </row>
    <row r="514" spans="1:19" x14ac:dyDescent="0.25">
      <c r="A514" s="37" t="s">
        <v>53</v>
      </c>
      <c r="B514" s="6" t="s">
        <v>166</v>
      </c>
      <c r="C514" s="67">
        <v>5000</v>
      </c>
      <c r="D514" s="6">
        <f>(C514/12)*9</f>
        <v>3750</v>
      </c>
      <c r="E514" s="67">
        <v>0</v>
      </c>
      <c r="F514" s="6">
        <f>SUM(E506:E514)</f>
        <v>700</v>
      </c>
      <c r="G514" s="36" t="str">
        <f t="shared" si="83"/>
        <v>Farol Vermelho</v>
      </c>
      <c r="H514">
        <f t="shared" ref="H514:H577" si="92">IF(D514-F514&lt;0,0,D514-F514)</f>
        <v>3050</v>
      </c>
      <c r="I514" s="6">
        <f t="shared" ref="I514:I577" si="93">_xlfn.IFS(B514="Janeiro",1,B514="Fevereiro",2,B514="Março",3,B514="Abril",4,B514="Maio",5,B514="Junho",6,B514="Julho",7,B514="Agosto",8,B514="Setembro",9,B514="Outubro",10,B514="Novembro",11,B514="Dezembro",12,TRUE,0)</f>
        <v>9</v>
      </c>
      <c r="J514" s="77">
        <v>20</v>
      </c>
      <c r="K514" s="77">
        <v>0</v>
      </c>
      <c r="L514" s="6">
        <f>$L506+L513</f>
        <v>14.999999999999998</v>
      </c>
      <c r="M514" s="6">
        <f t="shared" si="91"/>
        <v>6</v>
      </c>
      <c r="N514" s="78">
        <v>100</v>
      </c>
      <c r="O514">
        <f t="shared" si="84"/>
        <v>0.5</v>
      </c>
      <c r="P514" s="78">
        <v>50</v>
      </c>
      <c r="Q514">
        <f t="shared" si="85"/>
        <v>0.3</v>
      </c>
      <c r="R514" s="75">
        <v>15</v>
      </c>
      <c r="S514" s="6">
        <f t="shared" si="86"/>
        <v>0.15</v>
      </c>
    </row>
    <row r="515" spans="1:19" x14ac:dyDescent="0.25">
      <c r="A515" s="37" t="s">
        <v>53</v>
      </c>
      <c r="B515" s="6" t="s">
        <v>167</v>
      </c>
      <c r="C515" s="67">
        <v>5000</v>
      </c>
      <c r="D515" s="6">
        <f>(C515/12)*10</f>
        <v>4166.666666666667</v>
      </c>
      <c r="E515" s="67">
        <v>1196.54</v>
      </c>
      <c r="F515" s="6">
        <f>SUM(E506:E515)</f>
        <v>1896.54</v>
      </c>
      <c r="G515" s="36" t="str">
        <f t="shared" ref="G515:G578" si="94">_xlfn.IFS(F515&gt;D515,"Farol Verde",F515&gt;=D515*0.85,"Farol Amarelo",F515&lt;D515*0.85,"Farol Vermelho","Verdadeiro",0)</f>
        <v>Farol Vermelho</v>
      </c>
      <c r="H515">
        <f t="shared" si="92"/>
        <v>2270.126666666667</v>
      </c>
      <c r="I515" s="6">
        <f t="shared" si="93"/>
        <v>10</v>
      </c>
      <c r="J515" s="75">
        <v>20</v>
      </c>
      <c r="K515" s="75">
        <v>3</v>
      </c>
      <c r="L515" s="6">
        <f>$L506+L514</f>
        <v>16.666666666666664</v>
      </c>
      <c r="M515" s="6">
        <f t="shared" si="91"/>
        <v>9</v>
      </c>
      <c r="N515" s="78">
        <v>100</v>
      </c>
      <c r="O515">
        <f t="shared" ref="O515:O578" si="95">P515/N515</f>
        <v>0.5</v>
      </c>
      <c r="P515" s="78">
        <v>50</v>
      </c>
      <c r="Q515">
        <f t="shared" ref="Q515:Q578" si="96">R515/P515</f>
        <v>0.3</v>
      </c>
      <c r="R515" s="75">
        <v>15</v>
      </c>
      <c r="S515" s="6">
        <f t="shared" ref="S515:S578" si="97">R515/N515</f>
        <v>0.15</v>
      </c>
    </row>
    <row r="516" spans="1:19" x14ac:dyDescent="0.25">
      <c r="A516" s="37" t="s">
        <v>53</v>
      </c>
      <c r="B516" s="6" t="s">
        <v>168</v>
      </c>
      <c r="C516" s="67">
        <v>5000</v>
      </c>
      <c r="D516" s="6">
        <f>(C516/12)*11</f>
        <v>4583.3333333333339</v>
      </c>
      <c r="E516" s="67">
        <v>2838.5</v>
      </c>
      <c r="F516" s="6">
        <f>SUM(E506:E516)</f>
        <v>4735.04</v>
      </c>
      <c r="G516" s="36" t="str">
        <f t="shared" si="94"/>
        <v>Farol Verde</v>
      </c>
      <c r="H516">
        <f t="shared" si="92"/>
        <v>0</v>
      </c>
      <c r="I516" s="6">
        <f t="shared" si="93"/>
        <v>11</v>
      </c>
      <c r="J516" s="77">
        <v>20</v>
      </c>
      <c r="K516" s="77">
        <v>7</v>
      </c>
      <c r="L516" s="6">
        <f>L506+L515</f>
        <v>18.333333333333332</v>
      </c>
      <c r="M516" s="6">
        <f t="shared" si="91"/>
        <v>16</v>
      </c>
      <c r="N516" s="78">
        <v>100</v>
      </c>
      <c r="O516">
        <f t="shared" si="95"/>
        <v>0.5</v>
      </c>
      <c r="P516" s="78">
        <v>50</v>
      </c>
      <c r="Q516">
        <f t="shared" si="96"/>
        <v>0.3</v>
      </c>
      <c r="R516" s="75">
        <v>15</v>
      </c>
      <c r="S516" s="6">
        <f t="shared" si="97"/>
        <v>0.15</v>
      </c>
    </row>
    <row r="517" spans="1:19" x14ac:dyDescent="0.25">
      <c r="A517" s="37" t="s">
        <v>53</v>
      </c>
      <c r="B517" s="6" t="s">
        <v>169</v>
      </c>
      <c r="C517" s="67">
        <v>5000</v>
      </c>
      <c r="D517" s="6">
        <f>(C517/12)*12</f>
        <v>5000</v>
      </c>
      <c r="E517" s="67">
        <v>525</v>
      </c>
      <c r="F517" s="6">
        <f>SUM(E506:E517)</f>
        <v>5260.04</v>
      </c>
      <c r="G517" s="36" t="str">
        <f t="shared" si="94"/>
        <v>Farol Verde</v>
      </c>
      <c r="H517">
        <f t="shared" si="92"/>
        <v>0</v>
      </c>
      <c r="I517" s="6">
        <f t="shared" si="93"/>
        <v>12</v>
      </c>
      <c r="J517" s="75">
        <v>20</v>
      </c>
      <c r="K517" s="75">
        <v>4</v>
      </c>
      <c r="L517" s="6">
        <f>$L506+L516</f>
        <v>20</v>
      </c>
      <c r="M517" s="6">
        <f t="shared" si="91"/>
        <v>20</v>
      </c>
      <c r="N517" s="78">
        <v>100</v>
      </c>
      <c r="O517">
        <f t="shared" si="95"/>
        <v>0.5</v>
      </c>
      <c r="P517" s="78">
        <v>50</v>
      </c>
      <c r="Q517">
        <f t="shared" si="96"/>
        <v>0.3</v>
      </c>
      <c r="R517" s="75">
        <v>15</v>
      </c>
      <c r="S517" s="6">
        <f t="shared" si="97"/>
        <v>0.15</v>
      </c>
    </row>
    <row r="518" spans="1:19" x14ac:dyDescent="0.25">
      <c r="A518" s="37" t="s">
        <v>109</v>
      </c>
      <c r="B518" s="6" t="s">
        <v>158</v>
      </c>
      <c r="C518" s="67">
        <v>15000</v>
      </c>
      <c r="D518" s="6">
        <f>(C518/12)*1</f>
        <v>1250</v>
      </c>
      <c r="E518" s="67">
        <v>0</v>
      </c>
      <c r="F518" s="6">
        <f>E518</f>
        <v>0</v>
      </c>
      <c r="G518" s="36" t="str">
        <f t="shared" si="94"/>
        <v>Farol Vermelho</v>
      </c>
      <c r="H518">
        <f t="shared" si="92"/>
        <v>1250</v>
      </c>
      <c r="I518" s="6">
        <f t="shared" si="93"/>
        <v>1</v>
      </c>
      <c r="J518" s="77">
        <v>16</v>
      </c>
      <c r="K518" s="77">
        <v>0</v>
      </c>
      <c r="L518" s="6">
        <f>J518/12</f>
        <v>1.3333333333333333</v>
      </c>
      <c r="M518" s="6">
        <f>K518</f>
        <v>0</v>
      </c>
      <c r="N518" s="78">
        <v>100</v>
      </c>
      <c r="O518">
        <f t="shared" si="95"/>
        <v>0.5</v>
      </c>
      <c r="P518" s="78">
        <v>50</v>
      </c>
      <c r="Q518">
        <f t="shared" si="96"/>
        <v>0.3</v>
      </c>
      <c r="R518" s="75">
        <v>15</v>
      </c>
      <c r="S518" s="6">
        <f t="shared" si="97"/>
        <v>0.15</v>
      </c>
    </row>
    <row r="519" spans="1:19" x14ac:dyDescent="0.25">
      <c r="A519" s="37" t="s">
        <v>109</v>
      </c>
      <c r="B519" s="6" t="s">
        <v>159</v>
      </c>
      <c r="C519" s="67">
        <v>15000</v>
      </c>
      <c r="D519" s="6">
        <f>(C519/12)*2</f>
        <v>2500</v>
      </c>
      <c r="E519" s="67">
        <v>1535</v>
      </c>
      <c r="F519" s="6">
        <f>SUM(E518:E519)</f>
        <v>1535</v>
      </c>
      <c r="G519" s="36" t="str">
        <f t="shared" si="94"/>
        <v>Farol Vermelho</v>
      </c>
      <c r="H519">
        <f t="shared" si="92"/>
        <v>965</v>
      </c>
      <c r="I519" s="6">
        <f t="shared" si="93"/>
        <v>2</v>
      </c>
      <c r="J519" s="75">
        <v>16</v>
      </c>
      <c r="K519" s="75">
        <v>2</v>
      </c>
      <c r="L519" s="6">
        <f>L518+L518</f>
        <v>2.6666666666666665</v>
      </c>
      <c r="M519" s="6">
        <f>M518+K519</f>
        <v>2</v>
      </c>
      <c r="N519" s="78">
        <v>100</v>
      </c>
      <c r="O519">
        <f t="shared" si="95"/>
        <v>0.5</v>
      </c>
      <c r="P519" s="78">
        <v>50</v>
      </c>
      <c r="Q519">
        <f t="shared" si="96"/>
        <v>0.3</v>
      </c>
      <c r="R519" s="75">
        <v>15</v>
      </c>
      <c r="S519" s="6">
        <f t="shared" si="97"/>
        <v>0.15</v>
      </c>
    </row>
    <row r="520" spans="1:19" x14ac:dyDescent="0.25">
      <c r="A520" s="37" t="s">
        <v>109</v>
      </c>
      <c r="B520" s="6" t="s">
        <v>160</v>
      </c>
      <c r="C520" s="67">
        <v>15000</v>
      </c>
      <c r="D520" s="6">
        <f>(C520/12)*3</f>
        <v>3750</v>
      </c>
      <c r="E520" s="67">
        <v>0</v>
      </c>
      <c r="F520" s="6">
        <f>SUM(E518:E520)</f>
        <v>1535</v>
      </c>
      <c r="G520" s="36" t="str">
        <f t="shared" si="94"/>
        <v>Farol Vermelho</v>
      </c>
      <c r="H520">
        <f t="shared" si="92"/>
        <v>2215</v>
      </c>
      <c r="I520" s="6">
        <f t="shared" si="93"/>
        <v>3</v>
      </c>
      <c r="J520" s="77">
        <v>16</v>
      </c>
      <c r="K520" s="77">
        <v>0</v>
      </c>
      <c r="L520" s="6">
        <f>$L518+L519</f>
        <v>4</v>
      </c>
      <c r="M520" s="6">
        <f t="shared" ref="M520:M529" si="98">M519+K520</f>
        <v>2</v>
      </c>
      <c r="N520" s="78">
        <v>100</v>
      </c>
      <c r="O520">
        <f t="shared" si="95"/>
        <v>0.5</v>
      </c>
      <c r="P520" s="78">
        <v>50</v>
      </c>
      <c r="Q520">
        <f t="shared" si="96"/>
        <v>0.3</v>
      </c>
      <c r="R520" s="75">
        <v>15</v>
      </c>
      <c r="S520" s="6">
        <f t="shared" si="97"/>
        <v>0.15</v>
      </c>
    </row>
    <row r="521" spans="1:19" x14ac:dyDescent="0.25">
      <c r="A521" s="37" t="s">
        <v>109</v>
      </c>
      <c r="B521" s="6" t="s">
        <v>161</v>
      </c>
      <c r="C521" s="67">
        <v>15000</v>
      </c>
      <c r="D521" s="6">
        <f>(C521/12)*4</f>
        <v>5000</v>
      </c>
      <c r="E521" s="67">
        <v>100</v>
      </c>
      <c r="F521" s="6">
        <f>SUM(E518:E521)</f>
        <v>1635</v>
      </c>
      <c r="G521" s="36" t="str">
        <f t="shared" si="94"/>
        <v>Farol Vermelho</v>
      </c>
      <c r="H521">
        <f t="shared" si="92"/>
        <v>3365</v>
      </c>
      <c r="I521" s="6">
        <f t="shared" si="93"/>
        <v>4</v>
      </c>
      <c r="J521" s="75">
        <v>16</v>
      </c>
      <c r="K521" s="75">
        <v>1</v>
      </c>
      <c r="L521" s="6">
        <f>$L518+L520</f>
        <v>5.333333333333333</v>
      </c>
      <c r="M521" s="6">
        <f t="shared" si="98"/>
        <v>3</v>
      </c>
      <c r="N521" s="78">
        <v>100</v>
      </c>
      <c r="O521">
        <f t="shared" si="95"/>
        <v>0.5</v>
      </c>
      <c r="P521" s="78">
        <v>50</v>
      </c>
      <c r="Q521">
        <f t="shared" si="96"/>
        <v>0.3</v>
      </c>
      <c r="R521" s="75">
        <v>15</v>
      </c>
      <c r="S521" s="6">
        <f t="shared" si="97"/>
        <v>0.15</v>
      </c>
    </row>
    <row r="522" spans="1:19" x14ac:dyDescent="0.25">
      <c r="A522" s="37" t="s">
        <v>109</v>
      </c>
      <c r="B522" s="6" t="s">
        <v>162</v>
      </c>
      <c r="C522" s="67">
        <v>15000</v>
      </c>
      <c r="D522" s="6">
        <f>(C522/12)*5</f>
        <v>6250</v>
      </c>
      <c r="E522" s="67">
        <v>1200</v>
      </c>
      <c r="F522" s="6">
        <f>SUM(E518:E522)</f>
        <v>2835</v>
      </c>
      <c r="G522" s="36" t="str">
        <f t="shared" si="94"/>
        <v>Farol Vermelho</v>
      </c>
      <c r="H522">
        <f t="shared" si="92"/>
        <v>3415</v>
      </c>
      <c r="I522" s="6">
        <f t="shared" si="93"/>
        <v>5</v>
      </c>
      <c r="J522" s="77">
        <v>16</v>
      </c>
      <c r="K522" s="77">
        <v>1</v>
      </c>
      <c r="L522" s="6">
        <f>L518+L521</f>
        <v>6.6666666666666661</v>
      </c>
      <c r="M522" s="6">
        <f t="shared" si="98"/>
        <v>4</v>
      </c>
      <c r="N522" s="78">
        <v>100</v>
      </c>
      <c r="O522">
        <f t="shared" si="95"/>
        <v>0.5</v>
      </c>
      <c r="P522" s="78">
        <v>50</v>
      </c>
      <c r="Q522">
        <f t="shared" si="96"/>
        <v>0.3</v>
      </c>
      <c r="R522" s="75">
        <v>15</v>
      </c>
      <c r="S522" s="6">
        <f t="shared" si="97"/>
        <v>0.15</v>
      </c>
    </row>
    <row r="523" spans="1:19" x14ac:dyDescent="0.25">
      <c r="A523" s="37" t="s">
        <v>109</v>
      </c>
      <c r="B523" s="6" t="s">
        <v>163</v>
      </c>
      <c r="C523" s="67">
        <v>15000</v>
      </c>
      <c r="D523" s="6">
        <f>(C523/12)*6</f>
        <v>7500</v>
      </c>
      <c r="E523" s="67">
        <v>850</v>
      </c>
      <c r="F523" s="6">
        <f>SUM(E518:E523)</f>
        <v>3685</v>
      </c>
      <c r="G523" s="36" t="str">
        <f t="shared" si="94"/>
        <v>Farol Vermelho</v>
      </c>
      <c r="H523">
        <f t="shared" si="92"/>
        <v>3815</v>
      </c>
      <c r="I523" s="6">
        <f t="shared" si="93"/>
        <v>6</v>
      </c>
      <c r="J523" s="75">
        <v>16</v>
      </c>
      <c r="K523" s="75">
        <v>1</v>
      </c>
      <c r="L523" s="6">
        <f>$L518+L522</f>
        <v>7.9999999999999991</v>
      </c>
      <c r="M523" s="6">
        <f t="shared" si="98"/>
        <v>5</v>
      </c>
      <c r="N523" s="78">
        <v>100</v>
      </c>
      <c r="O523">
        <f t="shared" si="95"/>
        <v>0.5</v>
      </c>
      <c r="P523" s="78">
        <v>50</v>
      </c>
      <c r="Q523">
        <f t="shared" si="96"/>
        <v>0.3</v>
      </c>
      <c r="R523" s="75">
        <v>15</v>
      </c>
      <c r="S523" s="6">
        <f t="shared" si="97"/>
        <v>0.15</v>
      </c>
    </row>
    <row r="524" spans="1:19" x14ac:dyDescent="0.25">
      <c r="A524" s="37" t="s">
        <v>109</v>
      </c>
      <c r="B524" s="6" t="s">
        <v>164</v>
      </c>
      <c r="C524" s="67">
        <v>15000</v>
      </c>
      <c r="D524" s="6">
        <f>(C524/12)*7</f>
        <v>8750</v>
      </c>
      <c r="E524" s="67">
        <v>1160.0999999999999</v>
      </c>
      <c r="F524" s="6">
        <f>SUM(E518:E524)</f>
        <v>4845.1000000000004</v>
      </c>
      <c r="G524" s="36" t="str">
        <f t="shared" si="94"/>
        <v>Farol Vermelho</v>
      </c>
      <c r="H524">
        <f t="shared" si="92"/>
        <v>3904.8999999999996</v>
      </c>
      <c r="I524" s="6">
        <f t="shared" si="93"/>
        <v>7</v>
      </c>
      <c r="J524" s="77">
        <v>16</v>
      </c>
      <c r="K524" s="77">
        <v>3</v>
      </c>
      <c r="L524" s="6">
        <f>$L518+L523</f>
        <v>9.3333333333333321</v>
      </c>
      <c r="M524" s="6">
        <f t="shared" si="98"/>
        <v>8</v>
      </c>
      <c r="N524" s="78">
        <v>100</v>
      </c>
      <c r="O524">
        <f t="shared" si="95"/>
        <v>0.5</v>
      </c>
      <c r="P524" s="78">
        <v>50</v>
      </c>
      <c r="Q524">
        <f t="shared" si="96"/>
        <v>0.3</v>
      </c>
      <c r="R524" s="75">
        <v>15</v>
      </c>
      <c r="S524" s="6">
        <f t="shared" si="97"/>
        <v>0.15</v>
      </c>
    </row>
    <row r="525" spans="1:19" x14ac:dyDescent="0.25">
      <c r="A525" s="37" t="s">
        <v>109</v>
      </c>
      <c r="B525" s="6" t="s">
        <v>165</v>
      </c>
      <c r="C525" s="67">
        <v>15000</v>
      </c>
      <c r="D525" s="6">
        <f>(C525/12)*8</f>
        <v>10000</v>
      </c>
      <c r="E525" s="67">
        <v>885</v>
      </c>
      <c r="F525" s="6">
        <f>SUM(E518:E525)</f>
        <v>5730.1</v>
      </c>
      <c r="G525" s="36" t="str">
        <f t="shared" si="94"/>
        <v>Farol Vermelho</v>
      </c>
      <c r="H525">
        <f t="shared" si="92"/>
        <v>4269.8999999999996</v>
      </c>
      <c r="I525" s="6">
        <f t="shared" si="93"/>
        <v>8</v>
      </c>
      <c r="J525" s="75">
        <v>16</v>
      </c>
      <c r="K525" s="75">
        <v>1</v>
      </c>
      <c r="L525" s="6">
        <f>L518+L524</f>
        <v>10.666666666666666</v>
      </c>
      <c r="M525" s="6">
        <f t="shared" si="98"/>
        <v>9</v>
      </c>
      <c r="N525" s="78">
        <v>100</v>
      </c>
      <c r="O525">
        <f t="shared" si="95"/>
        <v>0.5</v>
      </c>
      <c r="P525" s="78">
        <v>50</v>
      </c>
      <c r="Q525">
        <f t="shared" si="96"/>
        <v>0.3</v>
      </c>
      <c r="R525" s="75">
        <v>15</v>
      </c>
      <c r="S525" s="6">
        <f t="shared" si="97"/>
        <v>0.15</v>
      </c>
    </row>
    <row r="526" spans="1:19" x14ac:dyDescent="0.25">
      <c r="A526" s="37" t="s">
        <v>109</v>
      </c>
      <c r="B526" s="6" t="s">
        <v>166</v>
      </c>
      <c r="C526" s="67">
        <v>15000</v>
      </c>
      <c r="D526" s="6">
        <f>(C526/12)*9</f>
        <v>11250</v>
      </c>
      <c r="E526" s="67">
        <v>3280</v>
      </c>
      <c r="F526" s="6">
        <f>SUM(E518:E526)</f>
        <v>9010.1</v>
      </c>
      <c r="G526" s="36" t="str">
        <f t="shared" si="94"/>
        <v>Farol Vermelho</v>
      </c>
      <c r="H526">
        <f t="shared" si="92"/>
        <v>2239.8999999999996</v>
      </c>
      <c r="I526" s="6">
        <f t="shared" si="93"/>
        <v>9</v>
      </c>
      <c r="J526" s="77">
        <v>16</v>
      </c>
      <c r="K526" s="77">
        <v>3</v>
      </c>
      <c r="L526" s="6">
        <f>$L518+L525</f>
        <v>12</v>
      </c>
      <c r="M526" s="6">
        <f t="shared" si="98"/>
        <v>12</v>
      </c>
      <c r="N526" s="78">
        <v>100</v>
      </c>
      <c r="O526">
        <f t="shared" si="95"/>
        <v>0.5</v>
      </c>
      <c r="P526" s="78">
        <v>50</v>
      </c>
      <c r="Q526">
        <f t="shared" si="96"/>
        <v>0.3</v>
      </c>
      <c r="R526" s="75">
        <v>15</v>
      </c>
      <c r="S526" s="6">
        <f t="shared" si="97"/>
        <v>0.15</v>
      </c>
    </row>
    <row r="527" spans="1:19" x14ac:dyDescent="0.25">
      <c r="A527" s="37" t="s">
        <v>109</v>
      </c>
      <c r="B527" s="6" t="s">
        <v>167</v>
      </c>
      <c r="C527" s="67">
        <v>15000</v>
      </c>
      <c r="D527" s="6">
        <f>(C527/12)*10</f>
        <v>12500</v>
      </c>
      <c r="E527" s="67">
        <v>0</v>
      </c>
      <c r="F527" s="6">
        <f>SUM(E518:E527)</f>
        <v>9010.1</v>
      </c>
      <c r="G527" s="36" t="str">
        <f t="shared" si="94"/>
        <v>Farol Vermelho</v>
      </c>
      <c r="H527">
        <f t="shared" si="92"/>
        <v>3489.8999999999996</v>
      </c>
      <c r="I527" s="6">
        <f t="shared" si="93"/>
        <v>10</v>
      </c>
      <c r="J527" s="75">
        <v>16</v>
      </c>
      <c r="K527" s="75">
        <v>0</v>
      </c>
      <c r="L527" s="6">
        <f>$L518+L526</f>
        <v>13.333333333333334</v>
      </c>
      <c r="M527" s="6">
        <f t="shared" si="98"/>
        <v>12</v>
      </c>
      <c r="N527" s="78">
        <v>100</v>
      </c>
      <c r="O527">
        <f t="shared" si="95"/>
        <v>0.5</v>
      </c>
      <c r="P527" s="78">
        <v>50</v>
      </c>
      <c r="Q527">
        <f t="shared" si="96"/>
        <v>0.3</v>
      </c>
      <c r="R527" s="75">
        <v>15</v>
      </c>
      <c r="S527" s="6">
        <f t="shared" si="97"/>
        <v>0.15</v>
      </c>
    </row>
    <row r="528" spans="1:19" x14ac:dyDescent="0.25">
      <c r="A528" s="37" t="s">
        <v>109</v>
      </c>
      <c r="B528" s="6" t="s">
        <v>168</v>
      </c>
      <c r="C528" s="67">
        <v>15000</v>
      </c>
      <c r="D528" s="6">
        <f>(C528/12)*11</f>
        <v>13750</v>
      </c>
      <c r="E528" s="67">
        <v>1100</v>
      </c>
      <c r="F528" s="6">
        <f>SUM(E518:E528)</f>
        <v>10110.1</v>
      </c>
      <c r="G528" s="36" t="str">
        <f t="shared" si="94"/>
        <v>Farol Vermelho</v>
      </c>
      <c r="H528">
        <f t="shared" si="92"/>
        <v>3639.8999999999996</v>
      </c>
      <c r="I528" s="6">
        <f t="shared" si="93"/>
        <v>11</v>
      </c>
      <c r="J528" s="77">
        <v>16</v>
      </c>
      <c r="K528" s="77">
        <v>1</v>
      </c>
      <c r="L528" s="6">
        <f>L518+L527</f>
        <v>14.666666666666668</v>
      </c>
      <c r="M528" s="6">
        <f t="shared" si="98"/>
        <v>13</v>
      </c>
      <c r="N528" s="78">
        <v>100</v>
      </c>
      <c r="O528">
        <f t="shared" si="95"/>
        <v>0.5</v>
      </c>
      <c r="P528" s="78">
        <v>50</v>
      </c>
      <c r="Q528">
        <f t="shared" si="96"/>
        <v>0.3</v>
      </c>
      <c r="R528" s="75">
        <v>15</v>
      </c>
      <c r="S528" s="6">
        <f t="shared" si="97"/>
        <v>0.15</v>
      </c>
    </row>
    <row r="529" spans="1:19" x14ac:dyDescent="0.25">
      <c r="A529" s="37" t="s">
        <v>109</v>
      </c>
      <c r="B529" s="6" t="s">
        <v>169</v>
      </c>
      <c r="C529" s="67">
        <v>15000</v>
      </c>
      <c r="D529" s="6">
        <f>(C529/12)*12</f>
        <v>15000</v>
      </c>
      <c r="E529" s="67">
        <v>6320</v>
      </c>
      <c r="F529" s="6">
        <f>SUM(E518:E529)</f>
        <v>16430.099999999999</v>
      </c>
      <c r="G529" s="36" t="str">
        <f t="shared" si="94"/>
        <v>Farol Verde</v>
      </c>
      <c r="H529">
        <f t="shared" si="92"/>
        <v>0</v>
      </c>
      <c r="I529" s="6">
        <f t="shared" si="93"/>
        <v>12</v>
      </c>
      <c r="J529" s="75">
        <v>16</v>
      </c>
      <c r="K529" s="75">
        <v>8</v>
      </c>
      <c r="L529" s="6">
        <f>$L518+L528</f>
        <v>16</v>
      </c>
      <c r="M529" s="6">
        <f t="shared" si="98"/>
        <v>21</v>
      </c>
      <c r="N529" s="78">
        <v>100</v>
      </c>
      <c r="O529">
        <f t="shared" si="95"/>
        <v>0.5</v>
      </c>
      <c r="P529" s="78">
        <v>50</v>
      </c>
      <c r="Q529">
        <f t="shared" si="96"/>
        <v>0.3</v>
      </c>
      <c r="R529" s="75">
        <v>15</v>
      </c>
      <c r="S529" s="6">
        <f t="shared" si="97"/>
        <v>0.15</v>
      </c>
    </row>
    <row r="530" spans="1:19" x14ac:dyDescent="0.25">
      <c r="A530" s="37" t="s">
        <v>102</v>
      </c>
      <c r="B530" s="6" t="s">
        <v>158</v>
      </c>
      <c r="C530" s="67">
        <v>500000</v>
      </c>
      <c r="D530" s="6">
        <f>(C530/12)*1</f>
        <v>41666.666666666664</v>
      </c>
      <c r="E530" s="67">
        <v>37884.69</v>
      </c>
      <c r="F530" s="6">
        <f>E530</f>
        <v>37884.69</v>
      </c>
      <c r="G530" s="36" t="str">
        <f t="shared" si="94"/>
        <v>Farol Amarelo</v>
      </c>
      <c r="H530">
        <f t="shared" si="92"/>
        <v>3781.9766666666619</v>
      </c>
      <c r="I530" s="6">
        <f t="shared" si="93"/>
        <v>1</v>
      </c>
      <c r="J530" s="77">
        <v>65</v>
      </c>
      <c r="K530" s="77">
        <v>5</v>
      </c>
      <c r="L530" s="6">
        <f>J530/12</f>
        <v>5.416666666666667</v>
      </c>
      <c r="M530" s="6">
        <f>K530</f>
        <v>5</v>
      </c>
      <c r="N530" s="78">
        <v>100</v>
      </c>
      <c r="O530">
        <f t="shared" si="95"/>
        <v>0.5</v>
      </c>
      <c r="P530" s="78">
        <v>50</v>
      </c>
      <c r="Q530">
        <f t="shared" si="96"/>
        <v>0.3</v>
      </c>
      <c r="R530" s="75">
        <v>15</v>
      </c>
      <c r="S530" s="6">
        <f t="shared" si="97"/>
        <v>0.15</v>
      </c>
    </row>
    <row r="531" spans="1:19" x14ac:dyDescent="0.25">
      <c r="A531" s="37" t="s">
        <v>102</v>
      </c>
      <c r="B531" s="6" t="s">
        <v>159</v>
      </c>
      <c r="C531" s="67">
        <v>500000</v>
      </c>
      <c r="D531" s="6">
        <f>(C531/12)*2</f>
        <v>83333.333333333328</v>
      </c>
      <c r="E531" s="67">
        <v>8685</v>
      </c>
      <c r="F531" s="6">
        <f>SUM(E530:E531)</f>
        <v>46569.69</v>
      </c>
      <c r="G531" s="36" t="str">
        <f t="shared" si="94"/>
        <v>Farol Vermelho</v>
      </c>
      <c r="H531">
        <f t="shared" si="92"/>
        <v>36763.643333333326</v>
      </c>
      <c r="I531" s="6">
        <f t="shared" si="93"/>
        <v>2</v>
      </c>
      <c r="J531" s="75">
        <v>65</v>
      </c>
      <c r="K531" s="75">
        <v>2</v>
      </c>
      <c r="L531" s="6">
        <f>L530+L530</f>
        <v>10.833333333333334</v>
      </c>
      <c r="M531" s="6">
        <f>M530+K531</f>
        <v>7</v>
      </c>
      <c r="N531" s="78">
        <v>100</v>
      </c>
      <c r="O531">
        <f t="shared" si="95"/>
        <v>0.5</v>
      </c>
      <c r="P531" s="78">
        <v>50</v>
      </c>
      <c r="Q531">
        <f t="shared" si="96"/>
        <v>0.3</v>
      </c>
      <c r="R531" s="75">
        <v>15</v>
      </c>
      <c r="S531" s="6">
        <f t="shared" si="97"/>
        <v>0.15</v>
      </c>
    </row>
    <row r="532" spans="1:19" x14ac:dyDescent="0.25">
      <c r="A532" s="37" t="s">
        <v>102</v>
      </c>
      <c r="B532" s="6" t="s">
        <v>160</v>
      </c>
      <c r="C532" s="67">
        <v>500000</v>
      </c>
      <c r="D532" s="6">
        <f>(C532/12)*3</f>
        <v>125000</v>
      </c>
      <c r="E532" s="67">
        <v>33589.5</v>
      </c>
      <c r="F532" s="6">
        <f>SUM(E530:E532)</f>
        <v>80159.19</v>
      </c>
      <c r="G532" s="36" t="str">
        <f t="shared" si="94"/>
        <v>Farol Vermelho</v>
      </c>
      <c r="H532">
        <f t="shared" si="92"/>
        <v>44840.81</v>
      </c>
      <c r="I532" s="6">
        <f t="shared" si="93"/>
        <v>3</v>
      </c>
      <c r="J532" s="77">
        <v>65</v>
      </c>
      <c r="K532" s="77">
        <v>5</v>
      </c>
      <c r="L532" s="6">
        <f>$L530+L531</f>
        <v>16.25</v>
      </c>
      <c r="M532" s="6">
        <f t="shared" ref="M532:M541" si="99">M531+K532</f>
        <v>12</v>
      </c>
      <c r="N532" s="78">
        <v>100</v>
      </c>
      <c r="O532">
        <f t="shared" si="95"/>
        <v>0.5</v>
      </c>
      <c r="P532" s="78">
        <v>50</v>
      </c>
      <c r="Q532">
        <f t="shared" si="96"/>
        <v>0.3</v>
      </c>
      <c r="R532" s="75">
        <v>15</v>
      </c>
      <c r="S532" s="6">
        <f t="shared" si="97"/>
        <v>0.15</v>
      </c>
    </row>
    <row r="533" spans="1:19" x14ac:dyDescent="0.25">
      <c r="A533" s="37" t="s">
        <v>102</v>
      </c>
      <c r="B533" s="6" t="s">
        <v>161</v>
      </c>
      <c r="C533" s="67">
        <v>500000</v>
      </c>
      <c r="D533" s="6">
        <f>(C533/12)*4</f>
        <v>166666.66666666666</v>
      </c>
      <c r="E533" s="67">
        <v>8873.35</v>
      </c>
      <c r="F533" s="6">
        <f>SUM(E530:E533)</f>
        <v>89032.540000000008</v>
      </c>
      <c r="G533" s="36" t="str">
        <f t="shared" si="94"/>
        <v>Farol Vermelho</v>
      </c>
      <c r="H533">
        <f t="shared" si="92"/>
        <v>77634.126666666649</v>
      </c>
      <c r="I533" s="6">
        <f t="shared" si="93"/>
        <v>4</v>
      </c>
      <c r="J533" s="75">
        <v>65</v>
      </c>
      <c r="K533" s="75">
        <v>4</v>
      </c>
      <c r="L533" s="6">
        <f>$L530+L532</f>
        <v>21.666666666666668</v>
      </c>
      <c r="M533" s="6">
        <f t="shared" si="99"/>
        <v>16</v>
      </c>
      <c r="N533" s="78">
        <v>100</v>
      </c>
      <c r="O533">
        <f t="shared" si="95"/>
        <v>0.5</v>
      </c>
      <c r="P533" s="78">
        <v>50</v>
      </c>
      <c r="Q533">
        <f t="shared" si="96"/>
        <v>0.3</v>
      </c>
      <c r="R533" s="75">
        <v>15</v>
      </c>
      <c r="S533" s="6">
        <f t="shared" si="97"/>
        <v>0.15</v>
      </c>
    </row>
    <row r="534" spans="1:19" x14ac:dyDescent="0.25">
      <c r="A534" s="37" t="s">
        <v>102</v>
      </c>
      <c r="B534" s="6" t="s">
        <v>162</v>
      </c>
      <c r="C534" s="67">
        <v>500000</v>
      </c>
      <c r="D534" s="6">
        <f>(C534/12)*5</f>
        <v>208333.33333333331</v>
      </c>
      <c r="E534" s="67">
        <v>49065.79</v>
      </c>
      <c r="F534" s="6">
        <f>SUM(E530:E534)</f>
        <v>138098.33000000002</v>
      </c>
      <c r="G534" s="36" t="str">
        <f t="shared" si="94"/>
        <v>Farol Vermelho</v>
      </c>
      <c r="H534">
        <f t="shared" si="92"/>
        <v>70235.003333333298</v>
      </c>
      <c r="I534" s="6">
        <f t="shared" si="93"/>
        <v>5</v>
      </c>
      <c r="J534" s="77">
        <v>65</v>
      </c>
      <c r="K534" s="77">
        <v>11</v>
      </c>
      <c r="L534" s="6">
        <f>L530+L533</f>
        <v>27.083333333333336</v>
      </c>
      <c r="M534" s="6">
        <f t="shared" si="99"/>
        <v>27</v>
      </c>
      <c r="N534" s="78">
        <v>100</v>
      </c>
      <c r="O534">
        <f t="shared" si="95"/>
        <v>0.5</v>
      </c>
      <c r="P534" s="78">
        <v>50</v>
      </c>
      <c r="Q534">
        <f t="shared" si="96"/>
        <v>0.3</v>
      </c>
      <c r="R534" s="75">
        <v>15</v>
      </c>
      <c r="S534" s="6">
        <f t="shared" si="97"/>
        <v>0.15</v>
      </c>
    </row>
    <row r="535" spans="1:19" x14ac:dyDescent="0.25">
      <c r="A535" s="37" t="s">
        <v>102</v>
      </c>
      <c r="B535" s="6" t="s">
        <v>163</v>
      </c>
      <c r="C535" s="67">
        <v>500000</v>
      </c>
      <c r="D535" s="6">
        <f>(C535/12)*6</f>
        <v>250000</v>
      </c>
      <c r="E535" s="67">
        <v>9350</v>
      </c>
      <c r="F535" s="6">
        <f>SUM(E530:E535)</f>
        <v>147448.33000000002</v>
      </c>
      <c r="G535" s="36" t="str">
        <f t="shared" si="94"/>
        <v>Farol Vermelho</v>
      </c>
      <c r="H535">
        <f t="shared" si="92"/>
        <v>102551.66999999998</v>
      </c>
      <c r="I535" s="6">
        <f t="shared" si="93"/>
        <v>6</v>
      </c>
      <c r="J535" s="75">
        <v>65</v>
      </c>
      <c r="K535" s="75">
        <v>2</v>
      </c>
      <c r="L535" s="6">
        <f>$L530+L534</f>
        <v>32.5</v>
      </c>
      <c r="M535" s="6">
        <f t="shared" si="99"/>
        <v>29</v>
      </c>
      <c r="N535" s="78">
        <v>100</v>
      </c>
      <c r="O535">
        <f t="shared" si="95"/>
        <v>0.5</v>
      </c>
      <c r="P535" s="78">
        <v>50</v>
      </c>
      <c r="Q535">
        <f t="shared" si="96"/>
        <v>0.3</v>
      </c>
      <c r="R535" s="75">
        <v>15</v>
      </c>
      <c r="S535" s="6">
        <f t="shared" si="97"/>
        <v>0.15</v>
      </c>
    </row>
    <row r="536" spans="1:19" x14ac:dyDescent="0.25">
      <c r="A536" s="37" t="s">
        <v>102</v>
      </c>
      <c r="B536" s="6" t="s">
        <v>164</v>
      </c>
      <c r="C536" s="67">
        <v>500000</v>
      </c>
      <c r="D536" s="6">
        <f>(C536/12)*7</f>
        <v>291666.66666666663</v>
      </c>
      <c r="E536" s="67">
        <v>22477.26</v>
      </c>
      <c r="F536" s="6">
        <f>SUM(E530:E536)</f>
        <v>169925.59000000003</v>
      </c>
      <c r="G536" s="36" t="str">
        <f t="shared" si="94"/>
        <v>Farol Vermelho</v>
      </c>
      <c r="H536">
        <f t="shared" si="92"/>
        <v>121741.0766666666</v>
      </c>
      <c r="I536" s="6">
        <f t="shared" si="93"/>
        <v>7</v>
      </c>
      <c r="J536" s="77">
        <v>65</v>
      </c>
      <c r="K536" s="77">
        <v>4</v>
      </c>
      <c r="L536" s="6">
        <f>$L530+L535</f>
        <v>37.916666666666664</v>
      </c>
      <c r="M536" s="6">
        <f t="shared" si="99"/>
        <v>33</v>
      </c>
      <c r="N536" s="78">
        <v>100</v>
      </c>
      <c r="O536">
        <f t="shared" si="95"/>
        <v>0.5</v>
      </c>
      <c r="P536" s="78">
        <v>50</v>
      </c>
      <c r="Q536">
        <f t="shared" si="96"/>
        <v>0.3</v>
      </c>
      <c r="R536" s="75">
        <v>15</v>
      </c>
      <c r="S536" s="6">
        <f t="shared" si="97"/>
        <v>0.15</v>
      </c>
    </row>
    <row r="537" spans="1:19" x14ac:dyDescent="0.25">
      <c r="A537" s="37" t="s">
        <v>102</v>
      </c>
      <c r="B537" s="6" t="s">
        <v>165</v>
      </c>
      <c r="C537" s="67">
        <v>500000</v>
      </c>
      <c r="D537" s="6">
        <f>(C537/12)*8</f>
        <v>333333.33333333331</v>
      </c>
      <c r="E537" s="67">
        <v>29737.54</v>
      </c>
      <c r="F537" s="6">
        <f>SUM(E530:E537)</f>
        <v>199663.13000000003</v>
      </c>
      <c r="G537" s="36" t="str">
        <f t="shared" si="94"/>
        <v>Farol Vermelho</v>
      </c>
      <c r="H537">
        <f t="shared" si="92"/>
        <v>133670.20333333328</v>
      </c>
      <c r="I537" s="6">
        <f t="shared" si="93"/>
        <v>8</v>
      </c>
      <c r="J537" s="75">
        <v>65</v>
      </c>
      <c r="K537" s="75">
        <v>8</v>
      </c>
      <c r="L537" s="6">
        <f>L530+L536</f>
        <v>43.333333333333329</v>
      </c>
      <c r="M537" s="6">
        <f t="shared" si="99"/>
        <v>41</v>
      </c>
      <c r="N537" s="78">
        <v>100</v>
      </c>
      <c r="O537">
        <f t="shared" si="95"/>
        <v>0.5</v>
      </c>
      <c r="P537" s="78">
        <v>50</v>
      </c>
      <c r="Q537">
        <f t="shared" si="96"/>
        <v>0.3</v>
      </c>
      <c r="R537" s="75">
        <v>15</v>
      </c>
      <c r="S537" s="6">
        <f t="shared" si="97"/>
        <v>0.15</v>
      </c>
    </row>
    <row r="538" spans="1:19" x14ac:dyDescent="0.25">
      <c r="A538" s="37" t="s">
        <v>102</v>
      </c>
      <c r="B538" s="6" t="s">
        <v>166</v>
      </c>
      <c r="C538" s="67">
        <v>500000</v>
      </c>
      <c r="D538" s="6">
        <f>(C538/12)*9</f>
        <v>375000</v>
      </c>
      <c r="E538" s="67">
        <v>16614.07</v>
      </c>
      <c r="F538" s="6">
        <f>SUM(E530:E538)</f>
        <v>216277.20000000004</v>
      </c>
      <c r="G538" s="36" t="str">
        <f t="shared" si="94"/>
        <v>Farol Vermelho</v>
      </c>
      <c r="H538">
        <f t="shared" si="92"/>
        <v>158722.79999999996</v>
      </c>
      <c r="I538" s="6">
        <f t="shared" si="93"/>
        <v>9</v>
      </c>
      <c r="J538" s="77">
        <v>65</v>
      </c>
      <c r="K538" s="77">
        <v>3</v>
      </c>
      <c r="L538" s="6">
        <f>$L530+L537</f>
        <v>48.749999999999993</v>
      </c>
      <c r="M538" s="6">
        <f t="shared" si="99"/>
        <v>44</v>
      </c>
      <c r="N538" s="78">
        <v>100</v>
      </c>
      <c r="O538">
        <f t="shared" si="95"/>
        <v>0.5</v>
      </c>
      <c r="P538" s="78">
        <v>50</v>
      </c>
      <c r="Q538">
        <f t="shared" si="96"/>
        <v>0.3</v>
      </c>
      <c r="R538" s="75">
        <v>15</v>
      </c>
      <c r="S538" s="6">
        <f t="shared" si="97"/>
        <v>0.15</v>
      </c>
    </row>
    <row r="539" spans="1:19" x14ac:dyDescent="0.25">
      <c r="A539" s="37" t="s">
        <v>102</v>
      </c>
      <c r="B539" s="6" t="s">
        <v>167</v>
      </c>
      <c r="C539" s="67">
        <v>500000</v>
      </c>
      <c r="D539" s="6">
        <f>(C539/12)*10</f>
        <v>416666.66666666663</v>
      </c>
      <c r="E539" s="67">
        <v>30986.5</v>
      </c>
      <c r="F539" s="6">
        <f>SUM(E530:E539)</f>
        <v>247263.70000000004</v>
      </c>
      <c r="G539" s="36" t="str">
        <f t="shared" si="94"/>
        <v>Farol Vermelho</v>
      </c>
      <c r="H539">
        <f t="shared" si="92"/>
        <v>169402.96666666659</v>
      </c>
      <c r="I539" s="6">
        <f t="shared" si="93"/>
        <v>10</v>
      </c>
      <c r="J539" s="75">
        <v>65</v>
      </c>
      <c r="K539" s="75">
        <v>8</v>
      </c>
      <c r="L539" s="6">
        <f>$L530+L538</f>
        <v>54.166666666666657</v>
      </c>
      <c r="M539" s="6">
        <f t="shared" si="99"/>
        <v>52</v>
      </c>
      <c r="N539" s="78">
        <v>100</v>
      </c>
      <c r="O539">
        <f t="shared" si="95"/>
        <v>0.5</v>
      </c>
      <c r="P539" s="78">
        <v>50</v>
      </c>
      <c r="Q539">
        <f t="shared" si="96"/>
        <v>0.3</v>
      </c>
      <c r="R539" s="75">
        <v>15</v>
      </c>
      <c r="S539" s="6">
        <f t="shared" si="97"/>
        <v>0.15</v>
      </c>
    </row>
    <row r="540" spans="1:19" x14ac:dyDescent="0.25">
      <c r="A540" s="37" t="s">
        <v>102</v>
      </c>
      <c r="B540" s="6" t="s">
        <v>168</v>
      </c>
      <c r="C540" s="67">
        <v>500000</v>
      </c>
      <c r="D540" s="6">
        <f>(C540/12)*11</f>
        <v>458333.33333333331</v>
      </c>
      <c r="E540" s="67">
        <v>4000</v>
      </c>
      <c r="F540" s="6">
        <f>SUM(E530:E540)</f>
        <v>251263.70000000004</v>
      </c>
      <c r="G540" s="36" t="str">
        <f t="shared" si="94"/>
        <v>Farol Vermelho</v>
      </c>
      <c r="H540">
        <f t="shared" si="92"/>
        <v>207069.63333333327</v>
      </c>
      <c r="I540" s="6">
        <f t="shared" si="93"/>
        <v>11</v>
      </c>
      <c r="J540" s="77">
        <v>65</v>
      </c>
      <c r="K540" s="77">
        <v>2</v>
      </c>
      <c r="L540" s="6">
        <f>L530+L539</f>
        <v>59.583333333333321</v>
      </c>
      <c r="M540" s="6">
        <f t="shared" si="99"/>
        <v>54</v>
      </c>
      <c r="N540" s="78">
        <v>100</v>
      </c>
      <c r="O540">
        <f t="shared" si="95"/>
        <v>0.5</v>
      </c>
      <c r="P540" s="78">
        <v>50</v>
      </c>
      <c r="Q540">
        <f t="shared" si="96"/>
        <v>0.3</v>
      </c>
      <c r="R540" s="75">
        <v>15</v>
      </c>
      <c r="S540" s="6">
        <f t="shared" si="97"/>
        <v>0.15</v>
      </c>
    </row>
    <row r="541" spans="1:19" x14ac:dyDescent="0.25">
      <c r="A541" s="37" t="s">
        <v>102</v>
      </c>
      <c r="B541" s="6" t="s">
        <v>169</v>
      </c>
      <c r="C541" s="67">
        <v>500000</v>
      </c>
      <c r="D541" s="6">
        <f>(C541/12)*12</f>
        <v>500000</v>
      </c>
      <c r="E541" s="67">
        <v>7602.84</v>
      </c>
      <c r="F541" s="6">
        <f>SUM(E530:E541)</f>
        <v>258866.54000000004</v>
      </c>
      <c r="G541" s="36" t="str">
        <f t="shared" si="94"/>
        <v>Farol Vermelho</v>
      </c>
      <c r="H541">
        <f t="shared" si="92"/>
        <v>241133.45999999996</v>
      </c>
      <c r="I541" s="6">
        <f t="shared" si="93"/>
        <v>12</v>
      </c>
      <c r="J541" s="75">
        <v>65</v>
      </c>
      <c r="K541" s="75">
        <v>1</v>
      </c>
      <c r="L541" s="6">
        <f>$L530+L540</f>
        <v>64.999999999999986</v>
      </c>
      <c r="M541" s="6">
        <f t="shared" si="99"/>
        <v>55</v>
      </c>
      <c r="N541" s="78">
        <v>100</v>
      </c>
      <c r="O541">
        <f t="shared" si="95"/>
        <v>0.5</v>
      </c>
      <c r="P541" s="78">
        <v>50</v>
      </c>
      <c r="Q541">
        <f t="shared" si="96"/>
        <v>0.3</v>
      </c>
      <c r="R541" s="75">
        <v>15</v>
      </c>
      <c r="S541" s="6">
        <f t="shared" si="97"/>
        <v>0.15</v>
      </c>
    </row>
    <row r="542" spans="1:19" x14ac:dyDescent="0.25">
      <c r="A542" s="37" t="s">
        <v>113</v>
      </c>
      <c r="B542" s="6" t="s">
        <v>158</v>
      </c>
      <c r="C542" s="67">
        <v>12500</v>
      </c>
      <c r="D542" s="6">
        <f>(C542/12)*1</f>
        <v>1041.6666666666667</v>
      </c>
      <c r="E542" s="67">
        <v>0</v>
      </c>
      <c r="F542" s="6">
        <f>E542</f>
        <v>0</v>
      </c>
      <c r="G542" s="36" t="str">
        <f t="shared" si="94"/>
        <v>Farol Vermelho</v>
      </c>
      <c r="H542">
        <f t="shared" si="92"/>
        <v>1041.6666666666667</v>
      </c>
      <c r="I542" s="6">
        <f t="shared" si="93"/>
        <v>1</v>
      </c>
      <c r="J542" s="77">
        <v>12</v>
      </c>
      <c r="K542" s="77">
        <v>0</v>
      </c>
      <c r="L542" s="6">
        <f>J542/12</f>
        <v>1</v>
      </c>
      <c r="M542" s="6">
        <f>K542</f>
        <v>0</v>
      </c>
      <c r="N542" s="78">
        <v>100</v>
      </c>
      <c r="O542">
        <f t="shared" si="95"/>
        <v>0.5</v>
      </c>
      <c r="P542" s="78">
        <v>50</v>
      </c>
      <c r="Q542">
        <f t="shared" si="96"/>
        <v>0.3</v>
      </c>
      <c r="R542" s="75">
        <v>15</v>
      </c>
      <c r="S542" s="6">
        <f t="shared" si="97"/>
        <v>0.15</v>
      </c>
    </row>
    <row r="543" spans="1:19" x14ac:dyDescent="0.25">
      <c r="A543" s="37" t="s">
        <v>113</v>
      </c>
      <c r="B543" s="6" t="s">
        <v>159</v>
      </c>
      <c r="C543" s="67">
        <v>12500</v>
      </c>
      <c r="D543" s="6">
        <f>(C543/12)*2</f>
        <v>2083.3333333333335</v>
      </c>
      <c r="E543" s="67">
        <v>0</v>
      </c>
      <c r="F543" s="6">
        <f>SUM(E542:E543)</f>
        <v>0</v>
      </c>
      <c r="G543" s="36" t="str">
        <f t="shared" si="94"/>
        <v>Farol Vermelho</v>
      </c>
      <c r="H543">
        <f t="shared" si="92"/>
        <v>2083.3333333333335</v>
      </c>
      <c r="I543" s="6">
        <f t="shared" si="93"/>
        <v>2</v>
      </c>
      <c r="J543" s="75">
        <v>12</v>
      </c>
      <c r="K543" s="75">
        <v>0</v>
      </c>
      <c r="L543" s="6">
        <f>L542+L542</f>
        <v>2</v>
      </c>
      <c r="M543" s="6">
        <f>M542+K543</f>
        <v>0</v>
      </c>
      <c r="N543" s="78">
        <v>100</v>
      </c>
      <c r="O543">
        <f t="shared" si="95"/>
        <v>0.5</v>
      </c>
      <c r="P543" s="78">
        <v>50</v>
      </c>
      <c r="Q543">
        <f t="shared" si="96"/>
        <v>0.3</v>
      </c>
      <c r="R543" s="75">
        <v>15</v>
      </c>
      <c r="S543" s="6">
        <f t="shared" si="97"/>
        <v>0.15</v>
      </c>
    </row>
    <row r="544" spans="1:19" x14ac:dyDescent="0.25">
      <c r="A544" s="37" t="s">
        <v>113</v>
      </c>
      <c r="B544" s="6" t="s">
        <v>160</v>
      </c>
      <c r="C544" s="67">
        <v>12500</v>
      </c>
      <c r="D544" s="6">
        <f>(C544/12)*3</f>
        <v>3125</v>
      </c>
      <c r="E544" s="67">
        <v>320.10000000000002</v>
      </c>
      <c r="F544" s="6">
        <f>SUM(E542:E544)</f>
        <v>320.10000000000002</v>
      </c>
      <c r="G544" s="36" t="str">
        <f t="shared" si="94"/>
        <v>Farol Vermelho</v>
      </c>
      <c r="H544">
        <f t="shared" si="92"/>
        <v>2804.9</v>
      </c>
      <c r="I544" s="6">
        <f t="shared" si="93"/>
        <v>3</v>
      </c>
      <c r="J544" s="77">
        <v>12</v>
      </c>
      <c r="K544" s="77">
        <v>1</v>
      </c>
      <c r="L544" s="6">
        <f>$L542+L543</f>
        <v>3</v>
      </c>
      <c r="M544" s="6">
        <f t="shared" ref="M544:M553" si="100">M543+K544</f>
        <v>1</v>
      </c>
      <c r="N544" s="78">
        <v>100</v>
      </c>
      <c r="O544">
        <f t="shared" si="95"/>
        <v>0.5</v>
      </c>
      <c r="P544" s="78">
        <v>50</v>
      </c>
      <c r="Q544">
        <f t="shared" si="96"/>
        <v>0.3</v>
      </c>
      <c r="R544" s="75">
        <v>15</v>
      </c>
      <c r="S544" s="6">
        <f t="shared" si="97"/>
        <v>0.15</v>
      </c>
    </row>
    <row r="545" spans="1:19" x14ac:dyDescent="0.25">
      <c r="A545" s="37" t="s">
        <v>113</v>
      </c>
      <c r="B545" s="6" t="s">
        <v>161</v>
      </c>
      <c r="C545" s="67">
        <v>12500</v>
      </c>
      <c r="D545" s="6">
        <f>(C545/12)*4</f>
        <v>4166.666666666667</v>
      </c>
      <c r="E545" s="67">
        <v>2294.8000000000002</v>
      </c>
      <c r="F545" s="6">
        <f>SUM(E542:E545)</f>
        <v>2614.9</v>
      </c>
      <c r="G545" s="36" t="str">
        <f t="shared" si="94"/>
        <v>Farol Vermelho</v>
      </c>
      <c r="H545">
        <f t="shared" si="92"/>
        <v>1551.7666666666669</v>
      </c>
      <c r="I545" s="6">
        <f t="shared" si="93"/>
        <v>4</v>
      </c>
      <c r="J545" s="75">
        <v>12</v>
      </c>
      <c r="K545" s="75">
        <v>2</v>
      </c>
      <c r="L545" s="6">
        <f>$L542+L544</f>
        <v>4</v>
      </c>
      <c r="M545" s="6">
        <f t="shared" si="100"/>
        <v>3</v>
      </c>
      <c r="N545" s="78">
        <v>100</v>
      </c>
      <c r="O545">
        <f t="shared" si="95"/>
        <v>0.5</v>
      </c>
      <c r="P545" s="78">
        <v>50</v>
      </c>
      <c r="Q545">
        <f t="shared" si="96"/>
        <v>0.3</v>
      </c>
      <c r="R545" s="75">
        <v>15</v>
      </c>
      <c r="S545" s="6">
        <f t="shared" si="97"/>
        <v>0.15</v>
      </c>
    </row>
    <row r="546" spans="1:19" x14ac:dyDescent="0.25">
      <c r="A546" s="37" t="s">
        <v>113</v>
      </c>
      <c r="B546" s="6" t="s">
        <v>162</v>
      </c>
      <c r="C546" s="67">
        <v>12500</v>
      </c>
      <c r="D546" s="6">
        <f>(C546/12)*5</f>
        <v>5208.3333333333339</v>
      </c>
      <c r="E546" s="67">
        <v>2400</v>
      </c>
      <c r="F546" s="6">
        <f>SUM(E542:E546)</f>
        <v>5014.8999999999996</v>
      </c>
      <c r="G546" s="36" t="str">
        <f t="shared" si="94"/>
        <v>Farol Amarelo</v>
      </c>
      <c r="H546">
        <f t="shared" si="92"/>
        <v>193.4333333333343</v>
      </c>
      <c r="I546" s="6">
        <f t="shared" si="93"/>
        <v>5</v>
      </c>
      <c r="J546" s="77">
        <v>12</v>
      </c>
      <c r="K546" s="77">
        <v>1</v>
      </c>
      <c r="L546" s="6">
        <f>L542+L545</f>
        <v>5</v>
      </c>
      <c r="M546" s="6">
        <f t="shared" si="100"/>
        <v>4</v>
      </c>
      <c r="N546" s="78">
        <v>100</v>
      </c>
      <c r="O546">
        <f t="shared" si="95"/>
        <v>0.5</v>
      </c>
      <c r="P546" s="78">
        <v>50</v>
      </c>
      <c r="Q546">
        <f t="shared" si="96"/>
        <v>0.3</v>
      </c>
      <c r="R546" s="75">
        <v>15</v>
      </c>
      <c r="S546" s="6">
        <f t="shared" si="97"/>
        <v>0.15</v>
      </c>
    </row>
    <row r="547" spans="1:19" x14ac:dyDescent="0.25">
      <c r="A547" s="37" t="s">
        <v>113</v>
      </c>
      <c r="B547" s="6" t="s">
        <v>163</v>
      </c>
      <c r="C547" s="67">
        <v>12500</v>
      </c>
      <c r="D547" s="6">
        <f>(C547/12)*6</f>
        <v>6250</v>
      </c>
      <c r="E547" s="67">
        <v>550</v>
      </c>
      <c r="F547" s="6">
        <f>SUM(E542:E547)</f>
        <v>5564.9</v>
      </c>
      <c r="G547" s="36" t="str">
        <f t="shared" si="94"/>
        <v>Farol Amarelo</v>
      </c>
      <c r="H547">
        <f t="shared" si="92"/>
        <v>685.10000000000036</v>
      </c>
      <c r="I547" s="6">
        <f t="shared" si="93"/>
        <v>6</v>
      </c>
      <c r="J547" s="75">
        <v>12</v>
      </c>
      <c r="K547" s="75">
        <v>1</v>
      </c>
      <c r="L547" s="6">
        <f>$L542+L546</f>
        <v>6</v>
      </c>
      <c r="M547" s="6">
        <f t="shared" si="100"/>
        <v>5</v>
      </c>
      <c r="N547" s="78">
        <v>100</v>
      </c>
      <c r="O547">
        <f t="shared" si="95"/>
        <v>0.5</v>
      </c>
      <c r="P547" s="78">
        <v>50</v>
      </c>
      <c r="Q547">
        <f t="shared" si="96"/>
        <v>0.3</v>
      </c>
      <c r="R547" s="75">
        <v>15</v>
      </c>
      <c r="S547" s="6">
        <f t="shared" si="97"/>
        <v>0.15</v>
      </c>
    </row>
    <row r="548" spans="1:19" x14ac:dyDescent="0.25">
      <c r="A548" s="37" t="s">
        <v>113</v>
      </c>
      <c r="B548" s="6" t="s">
        <v>164</v>
      </c>
      <c r="C548" s="67">
        <v>12500</v>
      </c>
      <c r="D548" s="6">
        <f>(C548/12)*7</f>
        <v>7291.666666666667</v>
      </c>
      <c r="E548" s="67">
        <v>0</v>
      </c>
      <c r="F548" s="6">
        <f>SUM(E542:E548)</f>
        <v>5564.9</v>
      </c>
      <c r="G548" s="36" t="str">
        <f t="shared" si="94"/>
        <v>Farol Vermelho</v>
      </c>
      <c r="H548">
        <f t="shared" si="92"/>
        <v>1726.7666666666673</v>
      </c>
      <c r="I548" s="6">
        <f t="shared" si="93"/>
        <v>7</v>
      </c>
      <c r="J548" s="77">
        <v>12</v>
      </c>
      <c r="K548" s="77">
        <v>0</v>
      </c>
      <c r="L548" s="6">
        <f>$L542+L547</f>
        <v>7</v>
      </c>
      <c r="M548" s="6">
        <f t="shared" si="100"/>
        <v>5</v>
      </c>
      <c r="N548" s="78">
        <v>100</v>
      </c>
      <c r="O548">
        <f t="shared" si="95"/>
        <v>0.5</v>
      </c>
      <c r="P548" s="78">
        <v>50</v>
      </c>
      <c r="Q548">
        <f t="shared" si="96"/>
        <v>0.3</v>
      </c>
      <c r="R548" s="75">
        <v>15</v>
      </c>
      <c r="S548" s="6">
        <f t="shared" si="97"/>
        <v>0.15</v>
      </c>
    </row>
    <row r="549" spans="1:19" x14ac:dyDescent="0.25">
      <c r="A549" s="37" t="s">
        <v>113</v>
      </c>
      <c r="B549" s="6" t="s">
        <v>165</v>
      </c>
      <c r="C549" s="67">
        <v>12500</v>
      </c>
      <c r="D549" s="6">
        <f>(C549/12)*8</f>
        <v>8333.3333333333339</v>
      </c>
      <c r="E549" s="67">
        <v>425</v>
      </c>
      <c r="F549" s="6">
        <f>SUM(E542:E549)</f>
        <v>5989.9</v>
      </c>
      <c r="G549" s="36" t="str">
        <f t="shared" si="94"/>
        <v>Farol Vermelho</v>
      </c>
      <c r="H549">
        <f t="shared" si="92"/>
        <v>2343.4333333333343</v>
      </c>
      <c r="I549" s="6">
        <f t="shared" si="93"/>
        <v>8</v>
      </c>
      <c r="J549" s="75">
        <v>12</v>
      </c>
      <c r="K549" s="75">
        <v>2</v>
      </c>
      <c r="L549" s="6">
        <f>L542+L548</f>
        <v>8</v>
      </c>
      <c r="M549" s="6">
        <f t="shared" si="100"/>
        <v>7</v>
      </c>
      <c r="N549" s="78">
        <v>100</v>
      </c>
      <c r="O549">
        <f t="shared" si="95"/>
        <v>0.5</v>
      </c>
      <c r="P549" s="78">
        <v>50</v>
      </c>
      <c r="Q549">
        <f t="shared" si="96"/>
        <v>0.3</v>
      </c>
      <c r="R549" s="75">
        <v>15</v>
      </c>
      <c r="S549" s="6">
        <f t="shared" si="97"/>
        <v>0.15</v>
      </c>
    </row>
    <row r="550" spans="1:19" x14ac:dyDescent="0.25">
      <c r="A550" s="37" t="s">
        <v>113</v>
      </c>
      <c r="B550" s="6" t="s">
        <v>166</v>
      </c>
      <c r="C550" s="67">
        <v>12500</v>
      </c>
      <c r="D550" s="6">
        <f>(C550/12)*9</f>
        <v>9375</v>
      </c>
      <c r="E550" s="67">
        <v>0</v>
      </c>
      <c r="F550" s="6">
        <f>SUM(E542:E550)</f>
        <v>5989.9</v>
      </c>
      <c r="G550" s="36" t="str">
        <f t="shared" si="94"/>
        <v>Farol Vermelho</v>
      </c>
      <c r="H550">
        <f t="shared" si="92"/>
        <v>3385.1000000000004</v>
      </c>
      <c r="I550" s="6">
        <f t="shared" si="93"/>
        <v>9</v>
      </c>
      <c r="J550" s="77">
        <v>12</v>
      </c>
      <c r="K550" s="77">
        <v>0</v>
      </c>
      <c r="L550" s="6">
        <f>$L542+L549</f>
        <v>9</v>
      </c>
      <c r="M550" s="6">
        <f t="shared" si="100"/>
        <v>7</v>
      </c>
      <c r="N550" s="78">
        <v>100</v>
      </c>
      <c r="O550">
        <f t="shared" si="95"/>
        <v>0.5</v>
      </c>
      <c r="P550" s="78">
        <v>50</v>
      </c>
      <c r="Q550">
        <f t="shared" si="96"/>
        <v>0.3</v>
      </c>
      <c r="R550" s="75">
        <v>15</v>
      </c>
      <c r="S550" s="6">
        <f t="shared" si="97"/>
        <v>0.15</v>
      </c>
    </row>
    <row r="551" spans="1:19" x14ac:dyDescent="0.25">
      <c r="A551" s="37" t="s">
        <v>113</v>
      </c>
      <c r="B551" s="6" t="s">
        <v>167</v>
      </c>
      <c r="C551" s="67">
        <v>12500</v>
      </c>
      <c r="D551" s="6">
        <f>(C551/12)*10</f>
        <v>10416.666666666668</v>
      </c>
      <c r="E551" s="67">
        <v>340</v>
      </c>
      <c r="F551" s="6">
        <f>SUM(E542:E551)</f>
        <v>6329.9</v>
      </c>
      <c r="G551" s="36" t="str">
        <f t="shared" si="94"/>
        <v>Farol Vermelho</v>
      </c>
      <c r="H551">
        <f t="shared" si="92"/>
        <v>4086.7666666666682</v>
      </c>
      <c r="I551" s="6">
        <f t="shared" si="93"/>
        <v>10</v>
      </c>
      <c r="J551" s="75">
        <v>12</v>
      </c>
      <c r="K551" s="75">
        <v>2</v>
      </c>
      <c r="L551" s="6">
        <f>$L542+L550</f>
        <v>10</v>
      </c>
      <c r="M551" s="6">
        <f t="shared" si="100"/>
        <v>9</v>
      </c>
      <c r="N551" s="78">
        <v>100</v>
      </c>
      <c r="O551">
        <f t="shared" si="95"/>
        <v>0.5</v>
      </c>
      <c r="P551" s="78">
        <v>50</v>
      </c>
      <c r="Q551">
        <f t="shared" si="96"/>
        <v>0.3</v>
      </c>
      <c r="R551" s="75">
        <v>15</v>
      </c>
      <c r="S551" s="6">
        <f t="shared" si="97"/>
        <v>0.15</v>
      </c>
    </row>
    <row r="552" spans="1:19" x14ac:dyDescent="0.25">
      <c r="A552" s="37" t="s">
        <v>113</v>
      </c>
      <c r="B552" s="6" t="s">
        <v>168</v>
      </c>
      <c r="C552" s="67">
        <v>12500</v>
      </c>
      <c r="D552" s="6">
        <f>(C552/12)*11</f>
        <v>11458.333333333334</v>
      </c>
      <c r="E552" s="67">
        <v>2400</v>
      </c>
      <c r="F552" s="6">
        <f>SUM(E542:E552)</f>
        <v>8729.9</v>
      </c>
      <c r="G552" s="36" t="str">
        <f t="shared" si="94"/>
        <v>Farol Vermelho</v>
      </c>
      <c r="H552">
        <f t="shared" si="92"/>
        <v>2728.4333333333343</v>
      </c>
      <c r="I552" s="6">
        <f t="shared" si="93"/>
        <v>11</v>
      </c>
      <c r="J552" s="77">
        <v>12</v>
      </c>
      <c r="K552" s="77">
        <v>1</v>
      </c>
      <c r="L552" s="6">
        <f>L542+L551</f>
        <v>11</v>
      </c>
      <c r="M552" s="6">
        <f t="shared" si="100"/>
        <v>10</v>
      </c>
      <c r="N552" s="78">
        <v>100</v>
      </c>
      <c r="O552">
        <f t="shared" si="95"/>
        <v>0.5</v>
      </c>
      <c r="P552" s="78">
        <v>50</v>
      </c>
      <c r="Q552">
        <f t="shared" si="96"/>
        <v>0.3</v>
      </c>
      <c r="R552" s="75">
        <v>15</v>
      </c>
      <c r="S552" s="6">
        <f t="shared" si="97"/>
        <v>0.15</v>
      </c>
    </row>
    <row r="553" spans="1:19" x14ac:dyDescent="0.25">
      <c r="A553" s="37" t="s">
        <v>113</v>
      </c>
      <c r="B553" s="6" t="s">
        <v>169</v>
      </c>
      <c r="C553" s="67">
        <v>12500</v>
      </c>
      <c r="D553" s="6">
        <f>(C553/12)*12</f>
        <v>12500</v>
      </c>
      <c r="E553" s="67">
        <v>0</v>
      </c>
      <c r="F553" s="6">
        <f>SUM(E542:E553)</f>
        <v>8729.9</v>
      </c>
      <c r="G553" s="36" t="str">
        <f t="shared" si="94"/>
        <v>Farol Vermelho</v>
      </c>
      <c r="H553">
        <f t="shared" si="92"/>
        <v>3770.1000000000004</v>
      </c>
      <c r="I553" s="6">
        <f t="shared" si="93"/>
        <v>12</v>
      </c>
      <c r="J553" s="75">
        <v>12</v>
      </c>
      <c r="K553" s="75">
        <v>0</v>
      </c>
      <c r="L553" s="6">
        <f>$L542+L552</f>
        <v>12</v>
      </c>
      <c r="M553" s="6">
        <f t="shared" si="100"/>
        <v>10</v>
      </c>
      <c r="N553" s="78">
        <v>100</v>
      </c>
      <c r="O553">
        <f t="shared" si="95"/>
        <v>0.5</v>
      </c>
      <c r="P553" s="78">
        <v>50</v>
      </c>
      <c r="Q553">
        <f t="shared" si="96"/>
        <v>0.3</v>
      </c>
      <c r="R553" s="75">
        <v>15</v>
      </c>
      <c r="S553" s="6">
        <f t="shared" si="97"/>
        <v>0.15</v>
      </c>
    </row>
    <row r="554" spans="1:19" x14ac:dyDescent="0.25">
      <c r="A554" s="37" t="s">
        <v>100</v>
      </c>
      <c r="B554" s="6" t="s">
        <v>158</v>
      </c>
      <c r="C554" s="67">
        <v>33314.28</v>
      </c>
      <c r="D554" s="6">
        <f>(C554/12)*1</f>
        <v>2776.19</v>
      </c>
      <c r="E554" s="67">
        <v>0</v>
      </c>
      <c r="F554" s="6">
        <f>E554</f>
        <v>0</v>
      </c>
      <c r="G554" s="36" t="str">
        <f t="shared" si="94"/>
        <v>Farol Vermelho</v>
      </c>
      <c r="H554">
        <f t="shared" si="92"/>
        <v>2776.19</v>
      </c>
      <c r="I554" s="6">
        <f t="shared" si="93"/>
        <v>1</v>
      </c>
      <c r="J554" s="77">
        <v>18</v>
      </c>
      <c r="K554" s="77">
        <v>0</v>
      </c>
      <c r="L554" s="6">
        <f>J554/12</f>
        <v>1.5</v>
      </c>
      <c r="M554" s="6">
        <f>K554</f>
        <v>0</v>
      </c>
      <c r="N554" s="78">
        <v>100</v>
      </c>
      <c r="O554">
        <f t="shared" si="95"/>
        <v>0.5</v>
      </c>
      <c r="P554" s="78">
        <v>50</v>
      </c>
      <c r="Q554">
        <f t="shared" si="96"/>
        <v>0.3</v>
      </c>
      <c r="R554" s="75">
        <v>15</v>
      </c>
      <c r="S554" s="6">
        <f t="shared" si="97"/>
        <v>0.15</v>
      </c>
    </row>
    <row r="555" spans="1:19" x14ac:dyDescent="0.25">
      <c r="A555" s="37" t="s">
        <v>100</v>
      </c>
      <c r="B555" s="6" t="s">
        <v>159</v>
      </c>
      <c r="C555" s="67">
        <v>33314.28</v>
      </c>
      <c r="D555" s="6">
        <f>(C555/12)*2</f>
        <v>5552.38</v>
      </c>
      <c r="E555" s="67">
        <v>651.78</v>
      </c>
      <c r="F555" s="6">
        <f>SUM(E554:E555)</f>
        <v>651.78</v>
      </c>
      <c r="G555" s="36" t="str">
        <f t="shared" si="94"/>
        <v>Farol Vermelho</v>
      </c>
      <c r="H555">
        <f t="shared" si="92"/>
        <v>4900.6000000000004</v>
      </c>
      <c r="I555" s="6">
        <f t="shared" si="93"/>
        <v>2</v>
      </c>
      <c r="J555" s="75">
        <v>18</v>
      </c>
      <c r="K555" s="75">
        <v>1</v>
      </c>
      <c r="L555" s="6">
        <f>L554+L554</f>
        <v>3</v>
      </c>
      <c r="M555" s="6">
        <f>M554+K555</f>
        <v>1</v>
      </c>
      <c r="N555" s="78">
        <v>100</v>
      </c>
      <c r="O555">
        <f t="shared" si="95"/>
        <v>0.5</v>
      </c>
      <c r="P555" s="78">
        <v>50</v>
      </c>
      <c r="Q555">
        <f t="shared" si="96"/>
        <v>0.3</v>
      </c>
      <c r="R555" s="75">
        <v>15</v>
      </c>
      <c r="S555" s="6">
        <f t="shared" si="97"/>
        <v>0.15</v>
      </c>
    </row>
    <row r="556" spans="1:19" x14ac:dyDescent="0.25">
      <c r="A556" s="37" t="s">
        <v>100</v>
      </c>
      <c r="B556" s="6" t="s">
        <v>160</v>
      </c>
      <c r="C556" s="67">
        <v>33314.28</v>
      </c>
      <c r="D556" s="6">
        <f>(C556/12)*3</f>
        <v>8328.57</v>
      </c>
      <c r="E556" s="67">
        <v>1004</v>
      </c>
      <c r="F556" s="6">
        <f>SUM(E554:E556)</f>
        <v>1655.78</v>
      </c>
      <c r="G556" s="36" t="str">
        <f t="shared" si="94"/>
        <v>Farol Vermelho</v>
      </c>
      <c r="H556">
        <f t="shared" si="92"/>
        <v>6672.79</v>
      </c>
      <c r="I556" s="6">
        <f t="shared" si="93"/>
        <v>3</v>
      </c>
      <c r="J556" s="77">
        <v>18</v>
      </c>
      <c r="K556" s="77">
        <v>1</v>
      </c>
      <c r="L556" s="6">
        <f>$L554+L555</f>
        <v>4.5</v>
      </c>
      <c r="M556" s="6">
        <f t="shared" ref="M556:M565" si="101">M555+K556</f>
        <v>2</v>
      </c>
      <c r="N556" s="78">
        <v>100</v>
      </c>
      <c r="O556">
        <f t="shared" si="95"/>
        <v>0.5</v>
      </c>
      <c r="P556" s="78">
        <v>50</v>
      </c>
      <c r="Q556">
        <f t="shared" si="96"/>
        <v>0.3</v>
      </c>
      <c r="R556" s="75">
        <v>15</v>
      </c>
      <c r="S556" s="6">
        <f t="shared" si="97"/>
        <v>0.15</v>
      </c>
    </row>
    <row r="557" spans="1:19" x14ac:dyDescent="0.25">
      <c r="A557" s="37" t="s">
        <v>100</v>
      </c>
      <c r="B557" s="6" t="s">
        <v>161</v>
      </c>
      <c r="C557" s="67">
        <v>33314.28</v>
      </c>
      <c r="D557" s="6">
        <f>(C557/12)*4</f>
        <v>11104.76</v>
      </c>
      <c r="E557" s="67">
        <v>2938.45</v>
      </c>
      <c r="F557" s="6">
        <f>SUM(E554:E557)</f>
        <v>4594.2299999999996</v>
      </c>
      <c r="G557" s="36" t="str">
        <f t="shared" si="94"/>
        <v>Farol Vermelho</v>
      </c>
      <c r="H557">
        <f t="shared" si="92"/>
        <v>6510.5300000000007</v>
      </c>
      <c r="I557" s="6">
        <f t="shared" si="93"/>
        <v>4</v>
      </c>
      <c r="J557" s="75">
        <v>18</v>
      </c>
      <c r="K557" s="75">
        <v>2</v>
      </c>
      <c r="L557" s="6">
        <f>$L554+L556</f>
        <v>6</v>
      </c>
      <c r="M557" s="6">
        <f t="shared" si="101"/>
        <v>4</v>
      </c>
      <c r="N557" s="78">
        <v>100</v>
      </c>
      <c r="O557">
        <f t="shared" si="95"/>
        <v>0.5</v>
      </c>
      <c r="P557" s="78">
        <v>50</v>
      </c>
      <c r="Q557">
        <f t="shared" si="96"/>
        <v>0.3</v>
      </c>
      <c r="R557" s="75">
        <v>15</v>
      </c>
      <c r="S557" s="6">
        <f t="shared" si="97"/>
        <v>0.15</v>
      </c>
    </row>
    <row r="558" spans="1:19" x14ac:dyDescent="0.25">
      <c r="A558" s="37" t="s">
        <v>100</v>
      </c>
      <c r="B558" s="6" t="s">
        <v>162</v>
      </c>
      <c r="C558" s="67">
        <v>33314.28</v>
      </c>
      <c r="D558" s="6">
        <f>(C558/12)*5</f>
        <v>13880.95</v>
      </c>
      <c r="E558" s="67">
        <v>0</v>
      </c>
      <c r="F558" s="6">
        <f>SUM(E554:E558)</f>
        <v>4594.2299999999996</v>
      </c>
      <c r="G558" s="36" t="str">
        <f t="shared" si="94"/>
        <v>Farol Vermelho</v>
      </c>
      <c r="H558">
        <f t="shared" si="92"/>
        <v>9286.7200000000012</v>
      </c>
      <c r="I558" s="6">
        <f t="shared" si="93"/>
        <v>5</v>
      </c>
      <c r="J558" s="77">
        <v>18</v>
      </c>
      <c r="K558" s="77">
        <v>0</v>
      </c>
      <c r="L558" s="6">
        <f>L554+L557</f>
        <v>7.5</v>
      </c>
      <c r="M558" s="6">
        <f t="shared" si="101"/>
        <v>4</v>
      </c>
      <c r="N558" s="78">
        <v>100</v>
      </c>
      <c r="O558">
        <f t="shared" si="95"/>
        <v>0.5</v>
      </c>
      <c r="P558" s="78">
        <v>50</v>
      </c>
      <c r="Q558">
        <f t="shared" si="96"/>
        <v>0.3</v>
      </c>
      <c r="R558" s="75">
        <v>15</v>
      </c>
      <c r="S558" s="6">
        <f t="shared" si="97"/>
        <v>0.15</v>
      </c>
    </row>
    <row r="559" spans="1:19" x14ac:dyDescent="0.25">
      <c r="A559" s="37" t="s">
        <v>100</v>
      </c>
      <c r="B559" s="6" t="s">
        <v>163</v>
      </c>
      <c r="C559" s="67">
        <v>33314.28</v>
      </c>
      <c r="D559" s="6">
        <f>(C559/12)*6</f>
        <v>16657.14</v>
      </c>
      <c r="E559" s="67">
        <v>0</v>
      </c>
      <c r="F559" s="6">
        <f>SUM(E554:E559)</f>
        <v>4594.2299999999996</v>
      </c>
      <c r="G559" s="36" t="str">
        <f t="shared" si="94"/>
        <v>Farol Vermelho</v>
      </c>
      <c r="H559">
        <f t="shared" si="92"/>
        <v>12062.91</v>
      </c>
      <c r="I559" s="6">
        <f t="shared" si="93"/>
        <v>6</v>
      </c>
      <c r="J559" s="75">
        <v>18</v>
      </c>
      <c r="K559" s="75">
        <v>0</v>
      </c>
      <c r="L559" s="6">
        <f>$L554+L558</f>
        <v>9</v>
      </c>
      <c r="M559" s="6">
        <f t="shared" si="101"/>
        <v>4</v>
      </c>
      <c r="N559" s="78">
        <v>100</v>
      </c>
      <c r="O559">
        <f t="shared" si="95"/>
        <v>0.5</v>
      </c>
      <c r="P559" s="78">
        <v>50</v>
      </c>
      <c r="Q559">
        <f t="shared" si="96"/>
        <v>0.3</v>
      </c>
      <c r="R559" s="75">
        <v>15</v>
      </c>
      <c r="S559" s="6">
        <f t="shared" si="97"/>
        <v>0.15</v>
      </c>
    </row>
    <row r="560" spans="1:19" x14ac:dyDescent="0.25">
      <c r="A560" s="37" t="s">
        <v>100</v>
      </c>
      <c r="B560" s="6" t="s">
        <v>164</v>
      </c>
      <c r="C560" s="67">
        <v>33314.28</v>
      </c>
      <c r="D560" s="6">
        <f>(C560/12)*7</f>
        <v>19433.330000000002</v>
      </c>
      <c r="E560" s="67">
        <v>20612.060000000001</v>
      </c>
      <c r="F560" s="6">
        <f>SUM(E554:E560)</f>
        <v>25206.29</v>
      </c>
      <c r="G560" s="36" t="str">
        <f t="shared" si="94"/>
        <v>Farol Verde</v>
      </c>
      <c r="H560">
        <f t="shared" si="92"/>
        <v>0</v>
      </c>
      <c r="I560" s="6">
        <f t="shared" si="93"/>
        <v>7</v>
      </c>
      <c r="J560" s="77">
        <v>18</v>
      </c>
      <c r="K560" s="77">
        <v>6</v>
      </c>
      <c r="L560" s="6">
        <f>$L554+L559</f>
        <v>10.5</v>
      </c>
      <c r="M560" s="6">
        <f t="shared" si="101"/>
        <v>10</v>
      </c>
      <c r="N560" s="78">
        <v>100</v>
      </c>
      <c r="O560">
        <f t="shared" si="95"/>
        <v>0.5</v>
      </c>
      <c r="P560" s="78">
        <v>50</v>
      </c>
      <c r="Q560">
        <f t="shared" si="96"/>
        <v>0.3</v>
      </c>
      <c r="R560" s="75">
        <v>15</v>
      </c>
      <c r="S560" s="6">
        <f t="shared" si="97"/>
        <v>0.15</v>
      </c>
    </row>
    <row r="561" spans="1:19" x14ac:dyDescent="0.25">
      <c r="A561" s="37" t="s">
        <v>100</v>
      </c>
      <c r="B561" s="6" t="s">
        <v>165</v>
      </c>
      <c r="C561" s="67">
        <v>33314.28</v>
      </c>
      <c r="D561" s="6">
        <f>(C561/12)*8</f>
        <v>22209.52</v>
      </c>
      <c r="E561" s="67">
        <v>975.9</v>
      </c>
      <c r="F561" s="6">
        <f>SUM(E554:E561)</f>
        <v>26182.190000000002</v>
      </c>
      <c r="G561" s="36" t="str">
        <f t="shared" si="94"/>
        <v>Farol Verde</v>
      </c>
      <c r="H561">
        <f t="shared" si="92"/>
        <v>0</v>
      </c>
      <c r="I561" s="6">
        <f t="shared" si="93"/>
        <v>8</v>
      </c>
      <c r="J561" s="75">
        <v>18</v>
      </c>
      <c r="K561" s="75">
        <v>2</v>
      </c>
      <c r="L561" s="6">
        <f>L554+L560</f>
        <v>12</v>
      </c>
      <c r="M561" s="6">
        <f t="shared" si="101"/>
        <v>12</v>
      </c>
      <c r="N561" s="78">
        <v>100</v>
      </c>
      <c r="O561">
        <f t="shared" si="95"/>
        <v>0.5</v>
      </c>
      <c r="P561" s="78">
        <v>50</v>
      </c>
      <c r="Q561">
        <f t="shared" si="96"/>
        <v>0.3</v>
      </c>
      <c r="R561" s="75">
        <v>15</v>
      </c>
      <c r="S561" s="6">
        <f t="shared" si="97"/>
        <v>0.15</v>
      </c>
    </row>
    <row r="562" spans="1:19" x14ac:dyDescent="0.25">
      <c r="A562" s="37" t="s">
        <v>100</v>
      </c>
      <c r="B562" s="6" t="s">
        <v>166</v>
      </c>
      <c r="C562" s="67">
        <v>33314.28</v>
      </c>
      <c r="D562" s="6">
        <f>(C562/12)*9</f>
        <v>24985.71</v>
      </c>
      <c r="E562" s="67">
        <v>0</v>
      </c>
      <c r="F562" s="6">
        <f>SUM(E554:E562)</f>
        <v>26182.190000000002</v>
      </c>
      <c r="G562" s="36" t="str">
        <f t="shared" si="94"/>
        <v>Farol Verde</v>
      </c>
      <c r="H562">
        <f t="shared" si="92"/>
        <v>0</v>
      </c>
      <c r="I562" s="6">
        <f t="shared" si="93"/>
        <v>9</v>
      </c>
      <c r="J562" s="77">
        <v>18</v>
      </c>
      <c r="K562" s="77">
        <v>0</v>
      </c>
      <c r="L562" s="6">
        <f>$L554+L561</f>
        <v>13.5</v>
      </c>
      <c r="M562" s="6">
        <f t="shared" si="101"/>
        <v>12</v>
      </c>
      <c r="N562" s="78">
        <v>100</v>
      </c>
      <c r="O562">
        <f t="shared" si="95"/>
        <v>0.5</v>
      </c>
      <c r="P562" s="78">
        <v>50</v>
      </c>
      <c r="Q562">
        <f t="shared" si="96"/>
        <v>0.3</v>
      </c>
      <c r="R562" s="75">
        <v>15</v>
      </c>
      <c r="S562" s="6">
        <f t="shared" si="97"/>
        <v>0.15</v>
      </c>
    </row>
    <row r="563" spans="1:19" x14ac:dyDescent="0.25">
      <c r="A563" s="37" t="s">
        <v>100</v>
      </c>
      <c r="B563" s="6" t="s">
        <v>167</v>
      </c>
      <c r="C563" s="67">
        <v>33314.28</v>
      </c>
      <c r="D563" s="6">
        <f>(C563/12)*10</f>
        <v>27761.9</v>
      </c>
      <c r="E563" s="67">
        <v>8859.44</v>
      </c>
      <c r="F563" s="6">
        <f>SUM(E554:E563)</f>
        <v>35041.630000000005</v>
      </c>
      <c r="G563" s="36" t="str">
        <f t="shared" si="94"/>
        <v>Farol Verde</v>
      </c>
      <c r="H563">
        <f t="shared" si="92"/>
        <v>0</v>
      </c>
      <c r="I563" s="6">
        <f t="shared" si="93"/>
        <v>10</v>
      </c>
      <c r="J563" s="75">
        <v>18</v>
      </c>
      <c r="K563" s="75">
        <v>4</v>
      </c>
      <c r="L563" s="6">
        <f>$L554+L562</f>
        <v>15</v>
      </c>
      <c r="M563" s="6">
        <f t="shared" si="101"/>
        <v>16</v>
      </c>
      <c r="N563" s="78">
        <v>100</v>
      </c>
      <c r="O563">
        <f t="shared" si="95"/>
        <v>0.5</v>
      </c>
      <c r="P563" s="78">
        <v>50</v>
      </c>
      <c r="Q563">
        <f t="shared" si="96"/>
        <v>0.3</v>
      </c>
      <c r="R563" s="75">
        <v>15</v>
      </c>
      <c r="S563" s="6">
        <f t="shared" si="97"/>
        <v>0.15</v>
      </c>
    </row>
    <row r="564" spans="1:19" x14ac:dyDescent="0.25">
      <c r="A564" s="37" t="s">
        <v>100</v>
      </c>
      <c r="B564" s="6" t="s">
        <v>168</v>
      </c>
      <c r="C564" s="67">
        <v>33314.28</v>
      </c>
      <c r="D564" s="6">
        <f>(C564/12)*11</f>
        <v>30538.09</v>
      </c>
      <c r="E564" s="67">
        <v>4201.03</v>
      </c>
      <c r="F564" s="6">
        <f>SUM(E554:E564)</f>
        <v>39242.660000000003</v>
      </c>
      <c r="G564" s="36" t="str">
        <f t="shared" si="94"/>
        <v>Farol Verde</v>
      </c>
      <c r="H564">
        <f t="shared" si="92"/>
        <v>0</v>
      </c>
      <c r="I564" s="6">
        <f t="shared" si="93"/>
        <v>11</v>
      </c>
      <c r="J564" s="77">
        <v>18</v>
      </c>
      <c r="K564" s="77">
        <v>4</v>
      </c>
      <c r="L564" s="6">
        <f>L554+L563</f>
        <v>16.5</v>
      </c>
      <c r="M564" s="6">
        <f t="shared" si="101"/>
        <v>20</v>
      </c>
      <c r="N564" s="78">
        <v>100</v>
      </c>
      <c r="O564">
        <f t="shared" si="95"/>
        <v>0.5</v>
      </c>
      <c r="P564" s="78">
        <v>50</v>
      </c>
      <c r="Q564">
        <f t="shared" si="96"/>
        <v>0.3</v>
      </c>
      <c r="R564" s="75">
        <v>15</v>
      </c>
      <c r="S564" s="6">
        <f t="shared" si="97"/>
        <v>0.15</v>
      </c>
    </row>
    <row r="565" spans="1:19" x14ac:dyDescent="0.25">
      <c r="A565" s="37" t="s">
        <v>100</v>
      </c>
      <c r="B565" s="6" t="s">
        <v>169</v>
      </c>
      <c r="C565" s="67">
        <v>33314.28</v>
      </c>
      <c r="D565" s="6">
        <f>(C565/12)*12</f>
        <v>33314.28</v>
      </c>
      <c r="E565" s="67">
        <v>0</v>
      </c>
      <c r="F565" s="6">
        <f>SUM(E554:E565)</f>
        <v>39242.660000000003</v>
      </c>
      <c r="G565" s="36" t="str">
        <f t="shared" si="94"/>
        <v>Farol Verde</v>
      </c>
      <c r="H565">
        <f t="shared" si="92"/>
        <v>0</v>
      </c>
      <c r="I565" s="6">
        <f t="shared" si="93"/>
        <v>12</v>
      </c>
      <c r="J565" s="75">
        <v>18</v>
      </c>
      <c r="K565" s="75">
        <v>0</v>
      </c>
      <c r="L565" s="6">
        <f>$L554+L564</f>
        <v>18</v>
      </c>
      <c r="M565" s="6">
        <f t="shared" si="101"/>
        <v>20</v>
      </c>
      <c r="N565" s="78">
        <v>100</v>
      </c>
      <c r="O565">
        <f t="shared" si="95"/>
        <v>0.5</v>
      </c>
      <c r="P565" s="78">
        <v>50</v>
      </c>
      <c r="Q565">
        <f t="shared" si="96"/>
        <v>0.3</v>
      </c>
      <c r="R565" s="75">
        <v>15</v>
      </c>
      <c r="S565" s="6">
        <f t="shared" si="97"/>
        <v>0.15</v>
      </c>
    </row>
    <row r="566" spans="1:19" x14ac:dyDescent="0.25">
      <c r="A566" s="37" t="s">
        <v>67</v>
      </c>
      <c r="B566" s="6" t="s">
        <v>158</v>
      </c>
      <c r="C566" s="67">
        <v>4000</v>
      </c>
      <c r="D566" s="6">
        <f>(C566/12)*1</f>
        <v>333.33333333333331</v>
      </c>
      <c r="E566" s="67">
        <v>0</v>
      </c>
      <c r="F566" s="6">
        <f>E566</f>
        <v>0</v>
      </c>
      <c r="G566" s="36" t="str">
        <f t="shared" si="94"/>
        <v>Farol Vermelho</v>
      </c>
      <c r="H566">
        <f t="shared" si="92"/>
        <v>333.33333333333331</v>
      </c>
      <c r="I566" s="6">
        <f t="shared" si="93"/>
        <v>1</v>
      </c>
      <c r="J566" s="77">
        <v>8</v>
      </c>
      <c r="K566" s="77">
        <v>0</v>
      </c>
      <c r="L566" s="6">
        <f>J566/12</f>
        <v>0.66666666666666663</v>
      </c>
      <c r="M566" s="6">
        <f>K566</f>
        <v>0</v>
      </c>
      <c r="N566" s="78">
        <v>100</v>
      </c>
      <c r="O566">
        <f t="shared" si="95"/>
        <v>0.5</v>
      </c>
      <c r="P566" s="78">
        <v>50</v>
      </c>
      <c r="Q566">
        <f t="shared" si="96"/>
        <v>0.3</v>
      </c>
      <c r="R566" s="75">
        <v>15</v>
      </c>
      <c r="S566" s="6">
        <f t="shared" si="97"/>
        <v>0.15</v>
      </c>
    </row>
    <row r="567" spans="1:19" x14ac:dyDescent="0.25">
      <c r="A567" s="37" t="s">
        <v>67</v>
      </c>
      <c r="B567" s="6" t="s">
        <v>159</v>
      </c>
      <c r="C567" s="67">
        <v>4000</v>
      </c>
      <c r="D567" s="6">
        <f>(C567/12)*2</f>
        <v>666.66666666666663</v>
      </c>
      <c r="E567" s="67">
        <v>0</v>
      </c>
      <c r="F567" s="6">
        <f>SUM(E566:E567)</f>
        <v>0</v>
      </c>
      <c r="G567" s="36" t="str">
        <f t="shared" si="94"/>
        <v>Farol Vermelho</v>
      </c>
      <c r="H567">
        <f t="shared" si="92"/>
        <v>666.66666666666663</v>
      </c>
      <c r="I567" s="6">
        <f t="shared" si="93"/>
        <v>2</v>
      </c>
      <c r="J567" s="75">
        <v>8</v>
      </c>
      <c r="K567" s="75">
        <v>0</v>
      </c>
      <c r="L567" s="6">
        <f>L566+L566</f>
        <v>1.3333333333333333</v>
      </c>
      <c r="M567" s="6">
        <f>M566+K567</f>
        <v>0</v>
      </c>
      <c r="N567" s="78">
        <v>100</v>
      </c>
      <c r="O567">
        <f t="shared" si="95"/>
        <v>0.5</v>
      </c>
      <c r="P567" s="78">
        <v>50</v>
      </c>
      <c r="Q567">
        <f t="shared" si="96"/>
        <v>0.3</v>
      </c>
      <c r="R567" s="75">
        <v>15</v>
      </c>
      <c r="S567" s="6">
        <f t="shared" si="97"/>
        <v>0.15</v>
      </c>
    </row>
    <row r="568" spans="1:19" x14ac:dyDescent="0.25">
      <c r="A568" s="37" t="s">
        <v>67</v>
      </c>
      <c r="B568" s="6" t="s">
        <v>160</v>
      </c>
      <c r="C568" s="67">
        <v>4000</v>
      </c>
      <c r="D568" s="6">
        <f>(C568/12)*3</f>
        <v>1000</v>
      </c>
      <c r="E568" s="67">
        <v>0</v>
      </c>
      <c r="F568" s="6">
        <f>SUM(E566:E568)</f>
        <v>0</v>
      </c>
      <c r="G568" s="36" t="str">
        <f t="shared" si="94"/>
        <v>Farol Vermelho</v>
      </c>
      <c r="H568">
        <f t="shared" si="92"/>
        <v>1000</v>
      </c>
      <c r="I568" s="6">
        <f t="shared" si="93"/>
        <v>3</v>
      </c>
      <c r="J568" s="77">
        <v>8</v>
      </c>
      <c r="K568" s="77">
        <v>0</v>
      </c>
      <c r="L568" s="6">
        <f>$L566+L567</f>
        <v>2</v>
      </c>
      <c r="M568" s="6">
        <f t="shared" ref="M568:M577" si="102">M567+K568</f>
        <v>0</v>
      </c>
      <c r="N568" s="78">
        <v>100</v>
      </c>
      <c r="O568">
        <f t="shared" si="95"/>
        <v>0.5</v>
      </c>
      <c r="P568" s="78">
        <v>50</v>
      </c>
      <c r="Q568">
        <f t="shared" si="96"/>
        <v>0.3</v>
      </c>
      <c r="R568" s="75">
        <v>15</v>
      </c>
      <c r="S568" s="6">
        <f t="shared" si="97"/>
        <v>0.15</v>
      </c>
    </row>
    <row r="569" spans="1:19" x14ac:dyDescent="0.25">
      <c r="A569" s="37" t="s">
        <v>67</v>
      </c>
      <c r="B569" s="6" t="s">
        <v>161</v>
      </c>
      <c r="C569" s="67">
        <v>4000</v>
      </c>
      <c r="D569" s="6">
        <f>(C569/12)*4</f>
        <v>1333.3333333333333</v>
      </c>
      <c r="E569" s="67">
        <v>0</v>
      </c>
      <c r="F569" s="6">
        <f>SUM(E566:E569)</f>
        <v>0</v>
      </c>
      <c r="G569" s="36" t="str">
        <f t="shared" si="94"/>
        <v>Farol Vermelho</v>
      </c>
      <c r="H569">
        <f t="shared" si="92"/>
        <v>1333.3333333333333</v>
      </c>
      <c r="I569" s="6">
        <f t="shared" si="93"/>
        <v>4</v>
      </c>
      <c r="J569" s="75">
        <v>8</v>
      </c>
      <c r="K569" s="75">
        <v>0</v>
      </c>
      <c r="L569" s="6">
        <f>$L566+L568</f>
        <v>2.6666666666666665</v>
      </c>
      <c r="M569" s="6">
        <f t="shared" si="102"/>
        <v>0</v>
      </c>
      <c r="N569" s="78">
        <v>100</v>
      </c>
      <c r="O569">
        <f t="shared" si="95"/>
        <v>0.5</v>
      </c>
      <c r="P569" s="78">
        <v>50</v>
      </c>
      <c r="Q569">
        <f t="shared" si="96"/>
        <v>0.3</v>
      </c>
      <c r="R569" s="75">
        <v>15</v>
      </c>
      <c r="S569" s="6">
        <f t="shared" si="97"/>
        <v>0.15</v>
      </c>
    </row>
    <row r="570" spans="1:19" x14ac:dyDescent="0.25">
      <c r="A570" s="37" t="s">
        <v>67</v>
      </c>
      <c r="B570" s="6" t="s">
        <v>162</v>
      </c>
      <c r="C570" s="67">
        <v>4000</v>
      </c>
      <c r="D570" s="6">
        <f>(C570/12)*5</f>
        <v>1666.6666666666665</v>
      </c>
      <c r="E570" s="67">
        <v>100</v>
      </c>
      <c r="F570" s="6">
        <f>SUM(E566:E570)</f>
        <v>100</v>
      </c>
      <c r="G570" s="36" t="str">
        <f t="shared" si="94"/>
        <v>Farol Vermelho</v>
      </c>
      <c r="H570">
        <f t="shared" si="92"/>
        <v>1566.6666666666665</v>
      </c>
      <c r="I570" s="6">
        <f t="shared" si="93"/>
        <v>5</v>
      </c>
      <c r="J570" s="77">
        <v>8</v>
      </c>
      <c r="K570" s="77">
        <v>1</v>
      </c>
      <c r="L570" s="6">
        <f>L566+L569</f>
        <v>3.333333333333333</v>
      </c>
      <c r="M570" s="6">
        <f t="shared" si="102"/>
        <v>1</v>
      </c>
      <c r="N570" s="78">
        <v>100</v>
      </c>
      <c r="O570">
        <f t="shared" si="95"/>
        <v>0.5</v>
      </c>
      <c r="P570" s="78">
        <v>50</v>
      </c>
      <c r="Q570">
        <f t="shared" si="96"/>
        <v>0.3</v>
      </c>
      <c r="R570" s="75">
        <v>15</v>
      </c>
      <c r="S570" s="6">
        <f t="shared" si="97"/>
        <v>0.15</v>
      </c>
    </row>
    <row r="571" spans="1:19" x14ac:dyDescent="0.25">
      <c r="A571" s="37" t="s">
        <v>67</v>
      </c>
      <c r="B571" s="6" t="s">
        <v>163</v>
      </c>
      <c r="C571" s="67">
        <v>4000</v>
      </c>
      <c r="D571" s="6">
        <f>(C571/12)*6</f>
        <v>2000</v>
      </c>
      <c r="E571" s="67">
        <v>0</v>
      </c>
      <c r="F571" s="6">
        <f>SUM(E566:E571)</f>
        <v>100</v>
      </c>
      <c r="G571" s="36" t="str">
        <f t="shared" si="94"/>
        <v>Farol Vermelho</v>
      </c>
      <c r="H571">
        <f t="shared" si="92"/>
        <v>1900</v>
      </c>
      <c r="I571" s="6">
        <f t="shared" si="93"/>
        <v>6</v>
      </c>
      <c r="J571" s="75">
        <v>8</v>
      </c>
      <c r="K571" s="75">
        <v>0</v>
      </c>
      <c r="L571" s="6">
        <f>$L566+L570</f>
        <v>3.9999999999999996</v>
      </c>
      <c r="M571" s="6">
        <f t="shared" si="102"/>
        <v>1</v>
      </c>
      <c r="N571" s="78">
        <v>100</v>
      </c>
      <c r="O571">
        <f t="shared" si="95"/>
        <v>0.5</v>
      </c>
      <c r="P571" s="78">
        <v>50</v>
      </c>
      <c r="Q571">
        <f t="shared" si="96"/>
        <v>0.3</v>
      </c>
      <c r="R571" s="75">
        <v>15</v>
      </c>
      <c r="S571" s="6">
        <f t="shared" si="97"/>
        <v>0.15</v>
      </c>
    </row>
    <row r="572" spans="1:19" x14ac:dyDescent="0.25">
      <c r="A572" s="37" t="s">
        <v>67</v>
      </c>
      <c r="B572" s="6" t="s">
        <v>164</v>
      </c>
      <c r="C572" s="67">
        <v>4000</v>
      </c>
      <c r="D572" s="6">
        <f>(C572/12)*7</f>
        <v>2333.333333333333</v>
      </c>
      <c r="E572" s="67">
        <v>0</v>
      </c>
      <c r="F572" s="6">
        <f>SUM(E566:E572)</f>
        <v>100</v>
      </c>
      <c r="G572" s="36" t="str">
        <f t="shared" si="94"/>
        <v>Farol Vermelho</v>
      </c>
      <c r="H572">
        <f t="shared" si="92"/>
        <v>2233.333333333333</v>
      </c>
      <c r="I572" s="6">
        <f t="shared" si="93"/>
        <v>7</v>
      </c>
      <c r="J572" s="77">
        <v>8</v>
      </c>
      <c r="K572" s="77">
        <v>0</v>
      </c>
      <c r="L572" s="6">
        <f>$L566+L571</f>
        <v>4.6666666666666661</v>
      </c>
      <c r="M572" s="6">
        <f t="shared" si="102"/>
        <v>1</v>
      </c>
      <c r="N572" s="78">
        <v>100</v>
      </c>
      <c r="O572">
        <f t="shared" si="95"/>
        <v>0.5</v>
      </c>
      <c r="P572" s="78">
        <v>50</v>
      </c>
      <c r="Q572">
        <f t="shared" si="96"/>
        <v>0.3</v>
      </c>
      <c r="R572" s="75">
        <v>15</v>
      </c>
      <c r="S572" s="6">
        <f t="shared" si="97"/>
        <v>0.15</v>
      </c>
    </row>
    <row r="573" spans="1:19" x14ac:dyDescent="0.25">
      <c r="A573" s="37" t="s">
        <v>67</v>
      </c>
      <c r="B573" s="6" t="s">
        <v>165</v>
      </c>
      <c r="C573" s="67">
        <v>4000</v>
      </c>
      <c r="D573" s="6">
        <f>(C573/12)*8</f>
        <v>2666.6666666666665</v>
      </c>
      <c r="E573" s="67">
        <v>200</v>
      </c>
      <c r="F573" s="6">
        <f>SUM(E566:E573)</f>
        <v>300</v>
      </c>
      <c r="G573" s="36" t="str">
        <f t="shared" si="94"/>
        <v>Farol Vermelho</v>
      </c>
      <c r="H573">
        <f t="shared" si="92"/>
        <v>2366.6666666666665</v>
      </c>
      <c r="I573" s="6">
        <f t="shared" si="93"/>
        <v>8</v>
      </c>
      <c r="J573" s="75">
        <v>8</v>
      </c>
      <c r="K573" s="75">
        <v>1</v>
      </c>
      <c r="L573" s="6">
        <f>L566+L572</f>
        <v>5.333333333333333</v>
      </c>
      <c r="M573" s="6">
        <f t="shared" si="102"/>
        <v>2</v>
      </c>
      <c r="N573" s="78">
        <v>100</v>
      </c>
      <c r="O573">
        <f t="shared" si="95"/>
        <v>0.5</v>
      </c>
      <c r="P573" s="78">
        <v>50</v>
      </c>
      <c r="Q573">
        <f t="shared" si="96"/>
        <v>0.3</v>
      </c>
      <c r="R573" s="75">
        <v>15</v>
      </c>
      <c r="S573" s="6">
        <f t="shared" si="97"/>
        <v>0.15</v>
      </c>
    </row>
    <row r="574" spans="1:19" x14ac:dyDescent="0.25">
      <c r="A574" s="37" t="s">
        <v>67</v>
      </c>
      <c r="B574" s="6" t="s">
        <v>166</v>
      </c>
      <c r="C574" s="67">
        <v>4000</v>
      </c>
      <c r="D574" s="6">
        <f>(C574/12)*9</f>
        <v>3000</v>
      </c>
      <c r="E574" s="67">
        <v>0</v>
      </c>
      <c r="F574" s="6">
        <f>SUM(E566:E574)</f>
        <v>300</v>
      </c>
      <c r="G574" s="36" t="str">
        <f t="shared" si="94"/>
        <v>Farol Vermelho</v>
      </c>
      <c r="H574">
        <f t="shared" si="92"/>
        <v>2700</v>
      </c>
      <c r="I574" s="6">
        <f t="shared" si="93"/>
        <v>9</v>
      </c>
      <c r="J574" s="77">
        <v>8</v>
      </c>
      <c r="K574" s="77">
        <v>0</v>
      </c>
      <c r="L574" s="6">
        <f>$L566+L573</f>
        <v>6</v>
      </c>
      <c r="M574" s="6">
        <f t="shared" si="102"/>
        <v>2</v>
      </c>
      <c r="N574" s="78">
        <v>100</v>
      </c>
      <c r="O574">
        <f t="shared" si="95"/>
        <v>0.5</v>
      </c>
      <c r="P574" s="78">
        <v>50</v>
      </c>
      <c r="Q574">
        <f t="shared" si="96"/>
        <v>0.3</v>
      </c>
      <c r="R574" s="75">
        <v>15</v>
      </c>
      <c r="S574" s="6">
        <f t="shared" si="97"/>
        <v>0.15</v>
      </c>
    </row>
    <row r="575" spans="1:19" x14ac:dyDescent="0.25">
      <c r="A575" s="37" t="s">
        <v>67</v>
      </c>
      <c r="B575" s="6" t="s">
        <v>167</v>
      </c>
      <c r="C575" s="67">
        <v>4000</v>
      </c>
      <c r="D575" s="6">
        <f>(C575/12)*10</f>
        <v>3333.333333333333</v>
      </c>
      <c r="E575" s="67">
        <v>0</v>
      </c>
      <c r="F575" s="6">
        <f>SUM(E566:E575)</f>
        <v>300</v>
      </c>
      <c r="G575" s="36" t="str">
        <f t="shared" si="94"/>
        <v>Farol Vermelho</v>
      </c>
      <c r="H575">
        <f t="shared" si="92"/>
        <v>3033.333333333333</v>
      </c>
      <c r="I575" s="6">
        <f t="shared" si="93"/>
        <v>10</v>
      </c>
      <c r="J575" s="75">
        <v>8</v>
      </c>
      <c r="K575" s="75">
        <v>0</v>
      </c>
      <c r="L575" s="6">
        <f>$L566+L574</f>
        <v>6.666666666666667</v>
      </c>
      <c r="M575" s="6">
        <f t="shared" si="102"/>
        <v>2</v>
      </c>
      <c r="N575" s="78">
        <v>100</v>
      </c>
      <c r="O575">
        <f t="shared" si="95"/>
        <v>0.5</v>
      </c>
      <c r="P575" s="78">
        <v>50</v>
      </c>
      <c r="Q575">
        <f t="shared" si="96"/>
        <v>0.3</v>
      </c>
      <c r="R575" s="75">
        <v>15</v>
      </c>
      <c r="S575" s="6">
        <f t="shared" si="97"/>
        <v>0.15</v>
      </c>
    </row>
    <row r="576" spans="1:19" x14ac:dyDescent="0.25">
      <c r="A576" s="37" t="s">
        <v>67</v>
      </c>
      <c r="B576" s="6" t="s">
        <v>168</v>
      </c>
      <c r="C576" s="67">
        <v>4000</v>
      </c>
      <c r="D576" s="6">
        <f>(C576/12)*11</f>
        <v>3666.6666666666665</v>
      </c>
      <c r="E576" s="67">
        <v>3593.79</v>
      </c>
      <c r="F576" s="6">
        <f>SUM(E566:E576)</f>
        <v>3893.79</v>
      </c>
      <c r="G576" s="36" t="str">
        <f t="shared" si="94"/>
        <v>Farol Verde</v>
      </c>
      <c r="H576">
        <f t="shared" si="92"/>
        <v>0</v>
      </c>
      <c r="I576" s="6">
        <f t="shared" si="93"/>
        <v>11</v>
      </c>
      <c r="J576" s="77">
        <v>8</v>
      </c>
      <c r="K576" s="77">
        <v>6</v>
      </c>
      <c r="L576" s="6">
        <f>L566+L575</f>
        <v>7.3333333333333339</v>
      </c>
      <c r="M576" s="6">
        <f t="shared" si="102"/>
        <v>8</v>
      </c>
      <c r="N576" s="78">
        <v>100</v>
      </c>
      <c r="O576">
        <f t="shared" si="95"/>
        <v>0.5</v>
      </c>
      <c r="P576" s="78">
        <v>50</v>
      </c>
      <c r="Q576">
        <f t="shared" si="96"/>
        <v>0.3</v>
      </c>
      <c r="R576" s="75">
        <v>15</v>
      </c>
      <c r="S576" s="6">
        <f t="shared" si="97"/>
        <v>0.15</v>
      </c>
    </row>
    <row r="577" spans="1:19" x14ac:dyDescent="0.25">
      <c r="A577" s="37" t="s">
        <v>67</v>
      </c>
      <c r="B577" s="6" t="s">
        <v>169</v>
      </c>
      <c r="C577" s="67">
        <v>4000</v>
      </c>
      <c r="D577" s="6">
        <f>(C577/12)*12</f>
        <v>4000</v>
      </c>
      <c r="E577" s="67">
        <v>180</v>
      </c>
      <c r="F577" s="6">
        <f>SUM(E566:E577)</f>
        <v>4073.79</v>
      </c>
      <c r="G577" s="36" t="str">
        <f t="shared" si="94"/>
        <v>Farol Verde</v>
      </c>
      <c r="H577">
        <f t="shared" si="92"/>
        <v>0</v>
      </c>
      <c r="I577" s="6">
        <f t="shared" si="93"/>
        <v>12</v>
      </c>
      <c r="J577" s="75">
        <v>8</v>
      </c>
      <c r="K577" s="75">
        <v>1</v>
      </c>
      <c r="L577" s="6">
        <f>$L566+L576</f>
        <v>8</v>
      </c>
      <c r="M577" s="6">
        <f t="shared" si="102"/>
        <v>9</v>
      </c>
      <c r="N577" s="78">
        <v>100</v>
      </c>
      <c r="O577">
        <f t="shared" si="95"/>
        <v>0.5</v>
      </c>
      <c r="P577" s="78">
        <v>50</v>
      </c>
      <c r="Q577">
        <f t="shared" si="96"/>
        <v>0.3</v>
      </c>
      <c r="R577" s="75">
        <v>15</v>
      </c>
      <c r="S577" s="6">
        <f t="shared" si="97"/>
        <v>0.15</v>
      </c>
    </row>
    <row r="578" spans="1:19" x14ac:dyDescent="0.25">
      <c r="A578" s="37" t="s">
        <v>153</v>
      </c>
      <c r="B578" s="6" t="s">
        <v>158</v>
      </c>
      <c r="C578" s="67">
        <v>28517.09</v>
      </c>
      <c r="D578" s="6">
        <f>(C578/12)*1</f>
        <v>2376.4241666666667</v>
      </c>
      <c r="E578" s="67">
        <v>1551.42</v>
      </c>
      <c r="F578" s="6">
        <f>E578</f>
        <v>1551.42</v>
      </c>
      <c r="G578" s="36" t="str">
        <f t="shared" si="94"/>
        <v>Farol Vermelho</v>
      </c>
      <c r="H578">
        <f t="shared" ref="H578:H641" si="103">IF(D578-F578&lt;0,0,D578-F578)</f>
        <v>825.00416666666661</v>
      </c>
      <c r="I578" s="6">
        <f t="shared" ref="I578:I641" si="104">_xlfn.IFS(B578="Janeiro",1,B578="Fevereiro",2,B578="Março",3,B578="Abril",4,B578="Maio",5,B578="Junho",6,B578="Julho",7,B578="Agosto",8,B578="Setembro",9,B578="Outubro",10,B578="Novembro",11,B578="Dezembro",12,TRUE,0)</f>
        <v>1</v>
      </c>
      <c r="J578" s="77">
        <v>40</v>
      </c>
      <c r="K578" s="77">
        <v>4</v>
      </c>
      <c r="L578" s="6">
        <f>J578/12</f>
        <v>3.3333333333333335</v>
      </c>
      <c r="M578" s="6">
        <f>K578</f>
        <v>4</v>
      </c>
      <c r="N578" s="78">
        <v>100</v>
      </c>
      <c r="O578">
        <f t="shared" si="95"/>
        <v>0.5</v>
      </c>
      <c r="P578" s="78">
        <v>50</v>
      </c>
      <c r="Q578">
        <f t="shared" si="96"/>
        <v>0.3</v>
      </c>
      <c r="R578" s="75">
        <v>15</v>
      </c>
      <c r="S578" s="6">
        <f t="shared" si="97"/>
        <v>0.15</v>
      </c>
    </row>
    <row r="579" spans="1:19" x14ac:dyDescent="0.25">
      <c r="A579" s="37" t="s">
        <v>153</v>
      </c>
      <c r="B579" s="6" t="s">
        <v>159</v>
      </c>
      <c r="C579" s="67">
        <v>28517.09</v>
      </c>
      <c r="D579" s="6">
        <f>(C579/12)*2</f>
        <v>4752.8483333333334</v>
      </c>
      <c r="E579" s="67">
        <v>0</v>
      </c>
      <c r="F579" s="6">
        <f>SUM(E578:E579)</f>
        <v>1551.42</v>
      </c>
      <c r="G579" s="36" t="str">
        <f t="shared" ref="G579:G642" si="105">_xlfn.IFS(F579&gt;D579,"Farol Verde",F579&gt;=D579*0.85,"Farol Amarelo",F579&lt;D579*0.85,"Farol Vermelho","Verdadeiro",0)</f>
        <v>Farol Vermelho</v>
      </c>
      <c r="H579">
        <f t="shared" si="103"/>
        <v>3201.4283333333333</v>
      </c>
      <c r="I579" s="6">
        <f t="shared" si="104"/>
        <v>2</v>
      </c>
      <c r="J579" s="75">
        <v>40</v>
      </c>
      <c r="K579" s="75">
        <v>0</v>
      </c>
      <c r="L579" s="6">
        <f>L578+L578</f>
        <v>6.666666666666667</v>
      </c>
      <c r="M579" s="6">
        <f>M578+K579</f>
        <v>4</v>
      </c>
      <c r="N579" s="78">
        <v>100</v>
      </c>
      <c r="O579">
        <f t="shared" ref="O579:O642" si="106">P579/N579</f>
        <v>0.5</v>
      </c>
      <c r="P579" s="78">
        <v>50</v>
      </c>
      <c r="Q579">
        <f t="shared" ref="Q579:Q642" si="107">R579/P579</f>
        <v>0.3</v>
      </c>
      <c r="R579" s="75">
        <v>15</v>
      </c>
      <c r="S579" s="6">
        <f t="shared" ref="S579:S642" si="108">R579/N579</f>
        <v>0.15</v>
      </c>
    </row>
    <row r="580" spans="1:19" x14ac:dyDescent="0.25">
      <c r="A580" s="37" t="s">
        <v>153</v>
      </c>
      <c r="B580" s="6" t="s">
        <v>160</v>
      </c>
      <c r="C580" s="67">
        <v>28517.09</v>
      </c>
      <c r="D580" s="6">
        <f>(C580/12)*3</f>
        <v>7129.2725</v>
      </c>
      <c r="E580" s="67">
        <v>2003.34</v>
      </c>
      <c r="F580" s="6">
        <f>SUM(E578:E580)</f>
        <v>3554.76</v>
      </c>
      <c r="G580" s="36" t="str">
        <f t="shared" si="105"/>
        <v>Farol Vermelho</v>
      </c>
      <c r="H580">
        <f t="shared" si="103"/>
        <v>3574.5124999999998</v>
      </c>
      <c r="I580" s="6">
        <f t="shared" si="104"/>
        <v>3</v>
      </c>
      <c r="J580" s="77">
        <v>40</v>
      </c>
      <c r="K580" s="77">
        <v>7</v>
      </c>
      <c r="L580" s="6">
        <f>$L578+L579</f>
        <v>10</v>
      </c>
      <c r="M580" s="6">
        <f t="shared" ref="M580:M589" si="109">M579+K580</f>
        <v>11</v>
      </c>
      <c r="N580" s="78">
        <v>100</v>
      </c>
      <c r="O580">
        <f t="shared" si="106"/>
        <v>0.5</v>
      </c>
      <c r="P580" s="78">
        <v>50</v>
      </c>
      <c r="Q580">
        <f t="shared" si="107"/>
        <v>0.3</v>
      </c>
      <c r="R580" s="75">
        <v>15</v>
      </c>
      <c r="S580" s="6">
        <f t="shared" si="108"/>
        <v>0.15</v>
      </c>
    </row>
    <row r="581" spans="1:19" x14ac:dyDescent="0.25">
      <c r="A581" s="37" t="s">
        <v>153</v>
      </c>
      <c r="B581" s="6" t="s">
        <v>161</v>
      </c>
      <c r="C581" s="67">
        <v>28517.09</v>
      </c>
      <c r="D581" s="6">
        <f>(C581/12)*4</f>
        <v>9505.6966666666667</v>
      </c>
      <c r="E581" s="67">
        <v>2952</v>
      </c>
      <c r="F581" s="6">
        <f>SUM(E578:E581)</f>
        <v>6506.76</v>
      </c>
      <c r="G581" s="36" t="str">
        <f t="shared" si="105"/>
        <v>Farol Vermelho</v>
      </c>
      <c r="H581">
        <f t="shared" si="103"/>
        <v>2998.9366666666665</v>
      </c>
      <c r="I581" s="6">
        <f t="shared" si="104"/>
        <v>4</v>
      </c>
      <c r="J581" s="75">
        <v>40</v>
      </c>
      <c r="K581" s="75">
        <v>2</v>
      </c>
      <c r="L581" s="6">
        <f>$L578+L580</f>
        <v>13.333333333333334</v>
      </c>
      <c r="M581" s="6">
        <f t="shared" si="109"/>
        <v>13</v>
      </c>
      <c r="N581" s="78">
        <v>100</v>
      </c>
      <c r="O581">
        <f t="shared" si="106"/>
        <v>0.5</v>
      </c>
      <c r="P581" s="78">
        <v>50</v>
      </c>
      <c r="Q581">
        <f t="shared" si="107"/>
        <v>0.3</v>
      </c>
      <c r="R581" s="75">
        <v>15</v>
      </c>
      <c r="S581" s="6">
        <f t="shared" si="108"/>
        <v>0.15</v>
      </c>
    </row>
    <row r="582" spans="1:19" x14ac:dyDescent="0.25">
      <c r="A582" s="37" t="s">
        <v>153</v>
      </c>
      <c r="B582" s="6" t="s">
        <v>162</v>
      </c>
      <c r="C582" s="67">
        <v>28517.09</v>
      </c>
      <c r="D582" s="6">
        <f>(C582/12)*5</f>
        <v>11882.120833333334</v>
      </c>
      <c r="E582" s="67">
        <v>2532</v>
      </c>
      <c r="F582" s="6">
        <f>SUM(E578:E582)</f>
        <v>9038.76</v>
      </c>
      <c r="G582" s="36" t="str">
        <f t="shared" si="105"/>
        <v>Farol Vermelho</v>
      </c>
      <c r="H582">
        <f t="shared" si="103"/>
        <v>2843.3608333333341</v>
      </c>
      <c r="I582" s="6">
        <f t="shared" si="104"/>
        <v>5</v>
      </c>
      <c r="J582" s="77">
        <v>40</v>
      </c>
      <c r="K582" s="77">
        <v>4</v>
      </c>
      <c r="L582" s="6">
        <f>L578+L581</f>
        <v>16.666666666666668</v>
      </c>
      <c r="M582" s="6">
        <f t="shared" si="109"/>
        <v>17</v>
      </c>
      <c r="N582" s="78">
        <v>100</v>
      </c>
      <c r="O582">
        <f t="shared" si="106"/>
        <v>0.5</v>
      </c>
      <c r="P582" s="78">
        <v>50</v>
      </c>
      <c r="Q582">
        <f t="shared" si="107"/>
        <v>0.3</v>
      </c>
      <c r="R582" s="75">
        <v>15</v>
      </c>
      <c r="S582" s="6">
        <f t="shared" si="108"/>
        <v>0.15</v>
      </c>
    </row>
    <row r="583" spans="1:19" x14ac:dyDescent="0.25">
      <c r="A583" s="37" t="s">
        <v>153</v>
      </c>
      <c r="B583" s="6" t="s">
        <v>163</v>
      </c>
      <c r="C583" s="67">
        <v>28517.09</v>
      </c>
      <c r="D583" s="6">
        <f>(C583/12)*6</f>
        <v>14258.545</v>
      </c>
      <c r="E583" s="67">
        <v>300</v>
      </c>
      <c r="F583" s="6">
        <f>SUM(E578:E583)</f>
        <v>9338.76</v>
      </c>
      <c r="G583" s="36" t="str">
        <f t="shared" si="105"/>
        <v>Farol Vermelho</v>
      </c>
      <c r="H583">
        <f t="shared" si="103"/>
        <v>4919.7849999999999</v>
      </c>
      <c r="I583" s="6">
        <f t="shared" si="104"/>
        <v>6</v>
      </c>
      <c r="J583" s="75">
        <v>40</v>
      </c>
      <c r="K583" s="75">
        <v>1</v>
      </c>
      <c r="L583" s="6">
        <f>$L578+L582</f>
        <v>20</v>
      </c>
      <c r="M583" s="6">
        <f t="shared" si="109"/>
        <v>18</v>
      </c>
      <c r="N583" s="78">
        <v>100</v>
      </c>
      <c r="O583">
        <f t="shared" si="106"/>
        <v>0.5</v>
      </c>
      <c r="P583" s="78">
        <v>50</v>
      </c>
      <c r="Q583">
        <f t="shared" si="107"/>
        <v>0.3</v>
      </c>
      <c r="R583" s="75">
        <v>15</v>
      </c>
      <c r="S583" s="6">
        <f t="shared" si="108"/>
        <v>0.15</v>
      </c>
    </row>
    <row r="584" spans="1:19" x14ac:dyDescent="0.25">
      <c r="A584" s="37" t="s">
        <v>153</v>
      </c>
      <c r="B584" s="6" t="s">
        <v>164</v>
      </c>
      <c r="C584" s="67">
        <v>28517.09</v>
      </c>
      <c r="D584" s="6">
        <f>(C584/12)*7</f>
        <v>16634.969166666666</v>
      </c>
      <c r="E584" s="67">
        <v>2641.06</v>
      </c>
      <c r="F584" s="6">
        <f>SUM(E578:E584)</f>
        <v>11979.82</v>
      </c>
      <c r="G584" s="36" t="str">
        <f t="shared" si="105"/>
        <v>Farol Vermelho</v>
      </c>
      <c r="H584">
        <f t="shared" si="103"/>
        <v>4655.1491666666661</v>
      </c>
      <c r="I584" s="6">
        <f t="shared" si="104"/>
        <v>7</v>
      </c>
      <c r="J584" s="77">
        <v>40</v>
      </c>
      <c r="K584" s="77">
        <v>3</v>
      </c>
      <c r="L584" s="6">
        <f>$L578+L583</f>
        <v>23.333333333333332</v>
      </c>
      <c r="M584" s="6">
        <f t="shared" si="109"/>
        <v>21</v>
      </c>
      <c r="N584" s="78">
        <v>100</v>
      </c>
      <c r="O584">
        <f t="shared" si="106"/>
        <v>0.5</v>
      </c>
      <c r="P584" s="78">
        <v>50</v>
      </c>
      <c r="Q584">
        <f t="shared" si="107"/>
        <v>0.3</v>
      </c>
      <c r="R584" s="75">
        <v>15</v>
      </c>
      <c r="S584" s="6">
        <f t="shared" si="108"/>
        <v>0.15</v>
      </c>
    </row>
    <row r="585" spans="1:19" x14ac:dyDescent="0.25">
      <c r="A585" s="37" t="s">
        <v>153</v>
      </c>
      <c r="B585" s="6" t="s">
        <v>165</v>
      </c>
      <c r="C585" s="67">
        <v>28517.09</v>
      </c>
      <c r="D585" s="6">
        <f>(C585/12)*8</f>
        <v>19011.393333333333</v>
      </c>
      <c r="E585" s="67">
        <v>0</v>
      </c>
      <c r="F585" s="6">
        <f>SUM(E578:E585)</f>
        <v>11979.82</v>
      </c>
      <c r="G585" s="36" t="str">
        <f t="shared" si="105"/>
        <v>Farol Vermelho</v>
      </c>
      <c r="H585">
        <f t="shared" si="103"/>
        <v>7031.5733333333337</v>
      </c>
      <c r="I585" s="6">
        <f t="shared" si="104"/>
        <v>8</v>
      </c>
      <c r="J585" s="75">
        <v>40</v>
      </c>
      <c r="K585" s="75">
        <v>0</v>
      </c>
      <c r="L585" s="6">
        <f>L578+L584</f>
        <v>26.666666666666664</v>
      </c>
      <c r="M585" s="6">
        <f t="shared" si="109"/>
        <v>21</v>
      </c>
      <c r="N585" s="78">
        <v>100</v>
      </c>
      <c r="O585">
        <f t="shared" si="106"/>
        <v>0.5</v>
      </c>
      <c r="P585" s="78">
        <v>50</v>
      </c>
      <c r="Q585">
        <f t="shared" si="107"/>
        <v>0.3</v>
      </c>
      <c r="R585" s="75">
        <v>15</v>
      </c>
      <c r="S585" s="6">
        <f t="shared" si="108"/>
        <v>0.15</v>
      </c>
    </row>
    <row r="586" spans="1:19" x14ac:dyDescent="0.25">
      <c r="A586" s="37" t="s">
        <v>153</v>
      </c>
      <c r="B586" s="6" t="s">
        <v>166</v>
      </c>
      <c r="C586" s="67">
        <v>28517.09</v>
      </c>
      <c r="D586" s="6">
        <f>(C586/12)*9</f>
        <v>21387.817500000001</v>
      </c>
      <c r="E586" s="67">
        <v>1263</v>
      </c>
      <c r="F586" s="6">
        <f>SUM(E578:E586)</f>
        <v>13242.82</v>
      </c>
      <c r="G586" s="36" t="str">
        <f t="shared" si="105"/>
        <v>Farol Vermelho</v>
      </c>
      <c r="H586">
        <f t="shared" si="103"/>
        <v>8144.9975000000013</v>
      </c>
      <c r="I586" s="6">
        <f t="shared" si="104"/>
        <v>9</v>
      </c>
      <c r="J586" s="77">
        <v>40</v>
      </c>
      <c r="K586" s="77">
        <v>3</v>
      </c>
      <c r="L586" s="6">
        <f>$L578+L585</f>
        <v>29.999999999999996</v>
      </c>
      <c r="M586" s="6">
        <f t="shared" si="109"/>
        <v>24</v>
      </c>
      <c r="N586" s="78">
        <v>100</v>
      </c>
      <c r="O586">
        <f t="shared" si="106"/>
        <v>0.5</v>
      </c>
      <c r="P586" s="78">
        <v>50</v>
      </c>
      <c r="Q586">
        <f t="shared" si="107"/>
        <v>0.3</v>
      </c>
      <c r="R586" s="75">
        <v>15</v>
      </c>
      <c r="S586" s="6">
        <f t="shared" si="108"/>
        <v>0.15</v>
      </c>
    </row>
    <row r="587" spans="1:19" x14ac:dyDescent="0.25">
      <c r="A587" s="37" t="s">
        <v>153</v>
      </c>
      <c r="B587" s="6" t="s">
        <v>167</v>
      </c>
      <c r="C587" s="67">
        <v>28517.09</v>
      </c>
      <c r="D587" s="6">
        <f>(C587/12)*10</f>
        <v>23764.241666666669</v>
      </c>
      <c r="E587" s="67">
        <v>0</v>
      </c>
      <c r="F587" s="6">
        <f>SUM(E578:E587)</f>
        <v>13242.82</v>
      </c>
      <c r="G587" s="36" t="str">
        <f t="shared" si="105"/>
        <v>Farol Vermelho</v>
      </c>
      <c r="H587">
        <f t="shared" si="103"/>
        <v>10521.421666666669</v>
      </c>
      <c r="I587" s="6">
        <f t="shared" si="104"/>
        <v>10</v>
      </c>
      <c r="J587" s="75">
        <v>40</v>
      </c>
      <c r="K587" s="75">
        <v>0</v>
      </c>
      <c r="L587" s="6">
        <f>$L578+L586</f>
        <v>33.333333333333329</v>
      </c>
      <c r="M587" s="6">
        <f t="shared" si="109"/>
        <v>24</v>
      </c>
      <c r="N587" s="78">
        <v>100</v>
      </c>
      <c r="O587">
        <f t="shared" si="106"/>
        <v>0.5</v>
      </c>
      <c r="P587" s="78">
        <v>50</v>
      </c>
      <c r="Q587">
        <f t="shared" si="107"/>
        <v>0.3</v>
      </c>
      <c r="R587" s="75">
        <v>15</v>
      </c>
      <c r="S587" s="6">
        <f t="shared" si="108"/>
        <v>0.15</v>
      </c>
    </row>
    <row r="588" spans="1:19" x14ac:dyDescent="0.25">
      <c r="A588" s="37" t="s">
        <v>153</v>
      </c>
      <c r="B588" s="6" t="s">
        <v>168</v>
      </c>
      <c r="C588" s="67">
        <v>28517.09</v>
      </c>
      <c r="D588" s="6">
        <f>(C588/12)*11</f>
        <v>26140.665833333333</v>
      </c>
      <c r="E588" s="67">
        <v>0</v>
      </c>
      <c r="F588" s="6">
        <f>SUM(E578:E588)</f>
        <v>13242.82</v>
      </c>
      <c r="G588" s="36" t="str">
        <f t="shared" si="105"/>
        <v>Farol Vermelho</v>
      </c>
      <c r="H588">
        <f t="shared" si="103"/>
        <v>12897.845833333333</v>
      </c>
      <c r="I588" s="6">
        <f t="shared" si="104"/>
        <v>11</v>
      </c>
      <c r="J588" s="77">
        <v>40</v>
      </c>
      <c r="K588" s="77">
        <v>0</v>
      </c>
      <c r="L588" s="6">
        <f>L578+L587</f>
        <v>36.666666666666664</v>
      </c>
      <c r="M588" s="6">
        <f t="shared" si="109"/>
        <v>24</v>
      </c>
      <c r="N588" s="78">
        <v>100</v>
      </c>
      <c r="O588">
        <f t="shared" si="106"/>
        <v>0.5</v>
      </c>
      <c r="P588" s="78">
        <v>50</v>
      </c>
      <c r="Q588">
        <f t="shared" si="107"/>
        <v>0.3</v>
      </c>
      <c r="R588" s="75">
        <v>15</v>
      </c>
      <c r="S588" s="6">
        <f t="shared" si="108"/>
        <v>0.15</v>
      </c>
    </row>
    <row r="589" spans="1:19" x14ac:dyDescent="0.25">
      <c r="A589" s="37" t="s">
        <v>153</v>
      </c>
      <c r="B589" s="6" t="s">
        <v>169</v>
      </c>
      <c r="C589" s="67">
        <v>28517.09</v>
      </c>
      <c r="D589" s="6">
        <f>(C589/12)*12</f>
        <v>28517.09</v>
      </c>
      <c r="E589" s="67">
        <v>0</v>
      </c>
      <c r="F589" s="6">
        <f>SUM(E578:E589)</f>
        <v>13242.82</v>
      </c>
      <c r="G589" s="36" t="str">
        <f t="shared" si="105"/>
        <v>Farol Vermelho</v>
      </c>
      <c r="H589">
        <f t="shared" si="103"/>
        <v>15274.27</v>
      </c>
      <c r="I589" s="6">
        <f t="shared" si="104"/>
        <v>12</v>
      </c>
      <c r="J589" s="75">
        <v>40</v>
      </c>
      <c r="K589" s="75">
        <v>0</v>
      </c>
      <c r="L589" s="6">
        <f>$L578+L588</f>
        <v>40</v>
      </c>
      <c r="M589" s="6">
        <f t="shared" si="109"/>
        <v>24</v>
      </c>
      <c r="N589" s="78">
        <v>100</v>
      </c>
      <c r="O589">
        <f t="shared" si="106"/>
        <v>0.5</v>
      </c>
      <c r="P589" s="78">
        <v>50</v>
      </c>
      <c r="Q589">
        <f t="shared" si="107"/>
        <v>0.3</v>
      </c>
      <c r="R589" s="75">
        <v>15</v>
      </c>
      <c r="S589" s="6">
        <f t="shared" si="108"/>
        <v>0.15</v>
      </c>
    </row>
    <row r="590" spans="1:19" x14ac:dyDescent="0.25">
      <c r="A590" s="37" t="s">
        <v>137</v>
      </c>
      <c r="B590" s="6" t="s">
        <v>158</v>
      </c>
      <c r="C590" s="67">
        <v>25000</v>
      </c>
      <c r="D590" s="6">
        <f>(C590/12)*1</f>
        <v>2083.3333333333335</v>
      </c>
      <c r="E590" s="67">
        <v>2300</v>
      </c>
      <c r="F590" s="6">
        <f>E590</f>
        <v>2300</v>
      </c>
      <c r="G590" s="36" t="str">
        <f t="shared" si="105"/>
        <v>Farol Verde</v>
      </c>
      <c r="H590">
        <f t="shared" si="103"/>
        <v>0</v>
      </c>
      <c r="I590" s="6">
        <f t="shared" si="104"/>
        <v>1</v>
      </c>
      <c r="J590" s="77">
        <v>11</v>
      </c>
      <c r="K590" s="77">
        <v>2</v>
      </c>
      <c r="L590" s="6">
        <f>J590/12</f>
        <v>0.91666666666666663</v>
      </c>
      <c r="M590" s="6">
        <f>K590</f>
        <v>2</v>
      </c>
      <c r="N590" s="78">
        <v>100</v>
      </c>
      <c r="O590">
        <f t="shared" si="106"/>
        <v>0.5</v>
      </c>
      <c r="P590" s="78">
        <v>50</v>
      </c>
      <c r="Q590">
        <f t="shared" si="107"/>
        <v>0.3</v>
      </c>
      <c r="R590" s="75">
        <v>15</v>
      </c>
      <c r="S590" s="6">
        <f t="shared" si="108"/>
        <v>0.15</v>
      </c>
    </row>
    <row r="591" spans="1:19" x14ac:dyDescent="0.25">
      <c r="A591" s="37" t="s">
        <v>137</v>
      </c>
      <c r="B591" s="6" t="s">
        <v>159</v>
      </c>
      <c r="C591" s="67">
        <v>25000</v>
      </c>
      <c r="D591" s="6">
        <f>(C591/12)*2</f>
        <v>4166.666666666667</v>
      </c>
      <c r="E591" s="67">
        <v>0</v>
      </c>
      <c r="F591" s="6">
        <f>SUM(E590:E591)</f>
        <v>2300</v>
      </c>
      <c r="G591" s="36" t="str">
        <f t="shared" si="105"/>
        <v>Farol Vermelho</v>
      </c>
      <c r="H591">
        <f t="shared" si="103"/>
        <v>1866.666666666667</v>
      </c>
      <c r="I591" s="6">
        <f t="shared" si="104"/>
        <v>2</v>
      </c>
      <c r="J591" s="75">
        <v>11</v>
      </c>
      <c r="K591" s="75">
        <v>0</v>
      </c>
      <c r="L591" s="6">
        <f>L590+L590</f>
        <v>1.8333333333333333</v>
      </c>
      <c r="M591" s="6">
        <f>M590+K591</f>
        <v>2</v>
      </c>
      <c r="N591" s="78">
        <v>100</v>
      </c>
      <c r="O591">
        <f t="shared" si="106"/>
        <v>0.5</v>
      </c>
      <c r="P591" s="78">
        <v>50</v>
      </c>
      <c r="Q591">
        <f t="shared" si="107"/>
        <v>0.3</v>
      </c>
      <c r="R591" s="75">
        <v>15</v>
      </c>
      <c r="S591" s="6">
        <f t="shared" si="108"/>
        <v>0.15</v>
      </c>
    </row>
    <row r="592" spans="1:19" x14ac:dyDescent="0.25">
      <c r="A592" s="37" t="s">
        <v>137</v>
      </c>
      <c r="B592" s="6" t="s">
        <v>160</v>
      </c>
      <c r="C592" s="67">
        <v>25000</v>
      </c>
      <c r="D592" s="6">
        <f>(C592/12)*3</f>
        <v>6250</v>
      </c>
      <c r="E592" s="67">
        <v>0</v>
      </c>
      <c r="F592" s="6">
        <f>SUM(E590:E592)</f>
        <v>2300</v>
      </c>
      <c r="G592" s="36" t="str">
        <f t="shared" si="105"/>
        <v>Farol Vermelho</v>
      </c>
      <c r="H592">
        <f t="shared" si="103"/>
        <v>3950</v>
      </c>
      <c r="I592" s="6">
        <f t="shared" si="104"/>
        <v>3</v>
      </c>
      <c r="J592" s="77">
        <v>11</v>
      </c>
      <c r="K592" s="77">
        <v>0</v>
      </c>
      <c r="L592" s="6">
        <f>$L590+L591</f>
        <v>2.75</v>
      </c>
      <c r="M592" s="6">
        <f t="shared" ref="M592:M601" si="110">M591+K592</f>
        <v>2</v>
      </c>
      <c r="N592" s="78">
        <v>100</v>
      </c>
      <c r="O592">
        <f t="shared" si="106"/>
        <v>0.5</v>
      </c>
      <c r="P592" s="78">
        <v>50</v>
      </c>
      <c r="Q592">
        <f t="shared" si="107"/>
        <v>0.3</v>
      </c>
      <c r="R592" s="75">
        <v>15</v>
      </c>
      <c r="S592" s="6">
        <f t="shared" si="108"/>
        <v>0.15</v>
      </c>
    </row>
    <row r="593" spans="1:19" x14ac:dyDescent="0.25">
      <c r="A593" s="37" t="s">
        <v>137</v>
      </c>
      <c r="B593" s="6" t="s">
        <v>161</v>
      </c>
      <c r="C593" s="67">
        <v>25000</v>
      </c>
      <c r="D593" s="6">
        <f>(C593/12)*4</f>
        <v>8333.3333333333339</v>
      </c>
      <c r="E593" s="67">
        <v>0</v>
      </c>
      <c r="F593" s="6">
        <f>SUM(E590:E593)</f>
        <v>2300</v>
      </c>
      <c r="G593" s="36" t="str">
        <f t="shared" si="105"/>
        <v>Farol Vermelho</v>
      </c>
      <c r="H593">
        <f t="shared" si="103"/>
        <v>6033.3333333333339</v>
      </c>
      <c r="I593" s="6">
        <f t="shared" si="104"/>
        <v>4</v>
      </c>
      <c r="J593" s="75">
        <v>11</v>
      </c>
      <c r="K593" s="75">
        <v>0</v>
      </c>
      <c r="L593" s="6">
        <f>$L590+L592</f>
        <v>3.6666666666666665</v>
      </c>
      <c r="M593" s="6">
        <f t="shared" si="110"/>
        <v>2</v>
      </c>
      <c r="N593" s="78">
        <v>100</v>
      </c>
      <c r="O593">
        <f t="shared" si="106"/>
        <v>0.5</v>
      </c>
      <c r="P593" s="78">
        <v>50</v>
      </c>
      <c r="Q593">
        <f t="shared" si="107"/>
        <v>0.3</v>
      </c>
      <c r="R593" s="75">
        <v>15</v>
      </c>
      <c r="S593" s="6">
        <f t="shared" si="108"/>
        <v>0.15</v>
      </c>
    </row>
    <row r="594" spans="1:19" x14ac:dyDescent="0.25">
      <c r="A594" s="37" t="s">
        <v>137</v>
      </c>
      <c r="B594" s="6" t="s">
        <v>162</v>
      </c>
      <c r="C594" s="67">
        <v>25000</v>
      </c>
      <c r="D594" s="6">
        <f>(C594/12)*5</f>
        <v>10416.666666666668</v>
      </c>
      <c r="E594" s="67">
        <v>0</v>
      </c>
      <c r="F594" s="6">
        <f>SUM(E590:E594)</f>
        <v>2300</v>
      </c>
      <c r="G594" s="36" t="str">
        <f t="shared" si="105"/>
        <v>Farol Vermelho</v>
      </c>
      <c r="H594">
        <f t="shared" si="103"/>
        <v>8116.6666666666679</v>
      </c>
      <c r="I594" s="6">
        <f t="shared" si="104"/>
        <v>5</v>
      </c>
      <c r="J594" s="77">
        <v>11</v>
      </c>
      <c r="K594" s="77">
        <v>0</v>
      </c>
      <c r="L594" s="6">
        <f>L590+L593</f>
        <v>4.583333333333333</v>
      </c>
      <c r="M594" s="6">
        <f t="shared" si="110"/>
        <v>2</v>
      </c>
      <c r="N594" s="78">
        <v>100</v>
      </c>
      <c r="O594">
        <f t="shared" si="106"/>
        <v>0.5</v>
      </c>
      <c r="P594" s="78">
        <v>50</v>
      </c>
      <c r="Q594">
        <f t="shared" si="107"/>
        <v>0.3</v>
      </c>
      <c r="R594" s="75">
        <v>15</v>
      </c>
      <c r="S594" s="6">
        <f t="shared" si="108"/>
        <v>0.15</v>
      </c>
    </row>
    <row r="595" spans="1:19" x14ac:dyDescent="0.25">
      <c r="A595" s="37" t="s">
        <v>137</v>
      </c>
      <c r="B595" s="6" t="s">
        <v>163</v>
      </c>
      <c r="C595" s="67">
        <v>25000</v>
      </c>
      <c r="D595" s="6">
        <f>(C595/12)*6</f>
        <v>12500</v>
      </c>
      <c r="E595" s="67">
        <v>2184</v>
      </c>
      <c r="F595" s="6">
        <f>SUM(E590:E595)</f>
        <v>4484</v>
      </c>
      <c r="G595" s="36" t="str">
        <f t="shared" si="105"/>
        <v>Farol Vermelho</v>
      </c>
      <c r="H595">
        <f t="shared" si="103"/>
        <v>8016</v>
      </c>
      <c r="I595" s="6">
        <f t="shared" si="104"/>
        <v>6</v>
      </c>
      <c r="J595" s="75">
        <v>11</v>
      </c>
      <c r="K595" s="75">
        <v>1</v>
      </c>
      <c r="L595" s="6">
        <f>$L590+L594</f>
        <v>5.5</v>
      </c>
      <c r="M595" s="6">
        <f t="shared" si="110"/>
        <v>3</v>
      </c>
      <c r="N595" s="78">
        <v>100</v>
      </c>
      <c r="O595">
        <f t="shared" si="106"/>
        <v>0.5</v>
      </c>
      <c r="P595" s="78">
        <v>50</v>
      </c>
      <c r="Q595">
        <f t="shared" si="107"/>
        <v>0.3</v>
      </c>
      <c r="R595" s="75">
        <v>15</v>
      </c>
      <c r="S595" s="6">
        <f t="shared" si="108"/>
        <v>0.15</v>
      </c>
    </row>
    <row r="596" spans="1:19" x14ac:dyDescent="0.25">
      <c r="A596" s="37" t="s">
        <v>137</v>
      </c>
      <c r="B596" s="6" t="s">
        <v>164</v>
      </c>
      <c r="C596" s="67">
        <v>25000</v>
      </c>
      <c r="D596" s="6">
        <f>(C596/12)*7</f>
        <v>14583.333333333334</v>
      </c>
      <c r="E596" s="67">
        <v>1400</v>
      </c>
      <c r="F596" s="6">
        <f>SUM(E590:E596)</f>
        <v>5884</v>
      </c>
      <c r="G596" s="36" t="str">
        <f t="shared" si="105"/>
        <v>Farol Vermelho</v>
      </c>
      <c r="H596">
        <f t="shared" si="103"/>
        <v>8699.3333333333339</v>
      </c>
      <c r="I596" s="6">
        <f t="shared" si="104"/>
        <v>7</v>
      </c>
      <c r="J596" s="77">
        <v>11</v>
      </c>
      <c r="K596" s="77">
        <v>1</v>
      </c>
      <c r="L596" s="6">
        <f>$L590+L595</f>
        <v>6.416666666666667</v>
      </c>
      <c r="M596" s="6">
        <f t="shared" si="110"/>
        <v>4</v>
      </c>
      <c r="N596" s="78">
        <v>100</v>
      </c>
      <c r="O596">
        <f t="shared" si="106"/>
        <v>0.5</v>
      </c>
      <c r="P596" s="78">
        <v>50</v>
      </c>
      <c r="Q596">
        <f t="shared" si="107"/>
        <v>0.3</v>
      </c>
      <c r="R596" s="75">
        <v>15</v>
      </c>
      <c r="S596" s="6">
        <f t="shared" si="108"/>
        <v>0.15</v>
      </c>
    </row>
    <row r="597" spans="1:19" x14ac:dyDescent="0.25">
      <c r="A597" s="37" t="s">
        <v>137</v>
      </c>
      <c r="B597" s="6" t="s">
        <v>165</v>
      </c>
      <c r="C597" s="67">
        <v>25000</v>
      </c>
      <c r="D597" s="6">
        <f>(C597/12)*8</f>
        <v>16666.666666666668</v>
      </c>
      <c r="E597" s="67">
        <v>0</v>
      </c>
      <c r="F597" s="6">
        <f>SUM(E590:E597)</f>
        <v>5884</v>
      </c>
      <c r="G597" s="36" t="str">
        <f t="shared" si="105"/>
        <v>Farol Vermelho</v>
      </c>
      <c r="H597">
        <f t="shared" si="103"/>
        <v>10782.666666666668</v>
      </c>
      <c r="I597" s="6">
        <f t="shared" si="104"/>
        <v>8</v>
      </c>
      <c r="J597" s="75">
        <v>11</v>
      </c>
      <c r="K597" s="75">
        <v>0</v>
      </c>
      <c r="L597" s="6">
        <f>L590+L596</f>
        <v>7.3333333333333339</v>
      </c>
      <c r="M597" s="6">
        <f t="shared" si="110"/>
        <v>4</v>
      </c>
      <c r="N597" s="78">
        <v>100</v>
      </c>
      <c r="O597">
        <f t="shared" si="106"/>
        <v>0.5</v>
      </c>
      <c r="P597" s="78">
        <v>50</v>
      </c>
      <c r="Q597">
        <f t="shared" si="107"/>
        <v>0.3</v>
      </c>
      <c r="R597" s="75">
        <v>15</v>
      </c>
      <c r="S597" s="6">
        <f t="shared" si="108"/>
        <v>0.15</v>
      </c>
    </row>
    <row r="598" spans="1:19" x14ac:dyDescent="0.25">
      <c r="A598" s="37" t="s">
        <v>137</v>
      </c>
      <c r="B598" s="6" t="s">
        <v>166</v>
      </c>
      <c r="C598" s="67">
        <v>25000</v>
      </c>
      <c r="D598" s="6">
        <f>(C598/12)*9</f>
        <v>18750</v>
      </c>
      <c r="E598" s="67">
        <v>0</v>
      </c>
      <c r="F598" s="6">
        <f>SUM(E590:E598)</f>
        <v>5884</v>
      </c>
      <c r="G598" s="36" t="str">
        <f t="shared" si="105"/>
        <v>Farol Vermelho</v>
      </c>
      <c r="H598">
        <f t="shared" si="103"/>
        <v>12866</v>
      </c>
      <c r="I598" s="6">
        <f t="shared" si="104"/>
        <v>9</v>
      </c>
      <c r="J598" s="77">
        <v>11</v>
      </c>
      <c r="K598" s="77">
        <v>0</v>
      </c>
      <c r="L598" s="6">
        <f>$L590+L597</f>
        <v>8.25</v>
      </c>
      <c r="M598" s="6">
        <f t="shared" si="110"/>
        <v>4</v>
      </c>
      <c r="N598" s="78">
        <v>100</v>
      </c>
      <c r="O598">
        <f t="shared" si="106"/>
        <v>0.5</v>
      </c>
      <c r="P598" s="78">
        <v>50</v>
      </c>
      <c r="Q598">
        <f t="shared" si="107"/>
        <v>0.3</v>
      </c>
      <c r="R598" s="75">
        <v>15</v>
      </c>
      <c r="S598" s="6">
        <f t="shared" si="108"/>
        <v>0.15</v>
      </c>
    </row>
    <row r="599" spans="1:19" x14ac:dyDescent="0.25">
      <c r="A599" s="37" t="s">
        <v>137</v>
      </c>
      <c r="B599" s="6" t="s">
        <v>167</v>
      </c>
      <c r="C599" s="67">
        <v>25000</v>
      </c>
      <c r="D599" s="6">
        <f>(C599/12)*10</f>
        <v>20833.333333333336</v>
      </c>
      <c r="E599" s="67">
        <v>850</v>
      </c>
      <c r="F599" s="6">
        <f>SUM(E590:E599)</f>
        <v>6734</v>
      </c>
      <c r="G599" s="36" t="str">
        <f t="shared" si="105"/>
        <v>Farol Vermelho</v>
      </c>
      <c r="H599">
        <f t="shared" si="103"/>
        <v>14099.333333333336</v>
      </c>
      <c r="I599" s="6">
        <f t="shared" si="104"/>
        <v>10</v>
      </c>
      <c r="J599" s="75">
        <v>11</v>
      </c>
      <c r="K599" s="75">
        <v>2</v>
      </c>
      <c r="L599" s="6">
        <f>$L590+L598</f>
        <v>9.1666666666666661</v>
      </c>
      <c r="M599" s="6">
        <f t="shared" si="110"/>
        <v>6</v>
      </c>
      <c r="N599" s="78">
        <v>100</v>
      </c>
      <c r="O599">
        <f t="shared" si="106"/>
        <v>0.5</v>
      </c>
      <c r="P599" s="78">
        <v>50</v>
      </c>
      <c r="Q599">
        <f t="shared" si="107"/>
        <v>0.3</v>
      </c>
      <c r="R599" s="75">
        <v>15</v>
      </c>
      <c r="S599" s="6">
        <f t="shared" si="108"/>
        <v>0.15</v>
      </c>
    </row>
    <row r="600" spans="1:19" x14ac:dyDescent="0.25">
      <c r="A600" s="37" t="s">
        <v>137</v>
      </c>
      <c r="B600" s="6" t="s">
        <v>168</v>
      </c>
      <c r="C600" s="67">
        <v>25000</v>
      </c>
      <c r="D600" s="6">
        <f>(C600/12)*11</f>
        <v>22916.666666666668</v>
      </c>
      <c r="E600" s="67">
        <v>1500</v>
      </c>
      <c r="F600" s="6">
        <f>SUM(E590:E600)</f>
        <v>8234</v>
      </c>
      <c r="G600" s="36" t="str">
        <f t="shared" si="105"/>
        <v>Farol Vermelho</v>
      </c>
      <c r="H600">
        <f t="shared" si="103"/>
        <v>14682.666666666668</v>
      </c>
      <c r="I600" s="6">
        <f t="shared" si="104"/>
        <v>11</v>
      </c>
      <c r="J600" s="77">
        <v>11</v>
      </c>
      <c r="K600" s="77">
        <v>1</v>
      </c>
      <c r="L600" s="6">
        <f>L590+L599</f>
        <v>10.083333333333332</v>
      </c>
      <c r="M600" s="6">
        <f t="shared" si="110"/>
        <v>7</v>
      </c>
      <c r="N600" s="78">
        <v>100</v>
      </c>
      <c r="O600">
        <f t="shared" si="106"/>
        <v>0.5</v>
      </c>
      <c r="P600" s="78">
        <v>50</v>
      </c>
      <c r="Q600">
        <f t="shared" si="107"/>
        <v>0.3</v>
      </c>
      <c r="R600" s="75">
        <v>15</v>
      </c>
      <c r="S600" s="6">
        <f t="shared" si="108"/>
        <v>0.15</v>
      </c>
    </row>
    <row r="601" spans="1:19" x14ac:dyDescent="0.25">
      <c r="A601" s="37" t="s">
        <v>137</v>
      </c>
      <c r="B601" s="6" t="s">
        <v>169</v>
      </c>
      <c r="C601" s="67">
        <v>25000</v>
      </c>
      <c r="D601" s="6">
        <f>(C601/12)*12</f>
        <v>25000</v>
      </c>
      <c r="E601" s="67">
        <v>0</v>
      </c>
      <c r="F601" s="6">
        <f>SUM(E590:E601)</f>
        <v>8234</v>
      </c>
      <c r="G601" s="36" t="str">
        <f t="shared" si="105"/>
        <v>Farol Vermelho</v>
      </c>
      <c r="H601">
        <f t="shared" si="103"/>
        <v>16766</v>
      </c>
      <c r="I601" s="6">
        <f t="shared" si="104"/>
        <v>12</v>
      </c>
      <c r="J601" s="75">
        <v>11</v>
      </c>
      <c r="K601" s="75">
        <v>0</v>
      </c>
      <c r="L601" s="6">
        <f>$L590+L600</f>
        <v>10.999999999999998</v>
      </c>
      <c r="M601" s="6">
        <f t="shared" si="110"/>
        <v>7</v>
      </c>
      <c r="N601" s="78">
        <v>100</v>
      </c>
      <c r="O601">
        <f t="shared" si="106"/>
        <v>0.5</v>
      </c>
      <c r="P601" s="78">
        <v>50</v>
      </c>
      <c r="Q601">
        <f t="shared" si="107"/>
        <v>0.3</v>
      </c>
      <c r="R601" s="75">
        <v>15</v>
      </c>
      <c r="S601" s="6">
        <f t="shared" si="108"/>
        <v>0.15</v>
      </c>
    </row>
    <row r="602" spans="1:19" x14ac:dyDescent="0.25">
      <c r="A602" s="37" t="s">
        <v>43</v>
      </c>
      <c r="B602" s="6" t="s">
        <v>158</v>
      </c>
      <c r="C602" s="67">
        <v>13178.62</v>
      </c>
      <c r="D602" s="6">
        <f>(C602/12)*1</f>
        <v>1098.2183333333335</v>
      </c>
      <c r="E602" s="67">
        <v>240</v>
      </c>
      <c r="F602" s="6">
        <f>E602</f>
        <v>240</v>
      </c>
      <c r="G602" s="36" t="str">
        <f t="shared" si="105"/>
        <v>Farol Vermelho</v>
      </c>
      <c r="H602">
        <f t="shared" si="103"/>
        <v>858.21833333333348</v>
      </c>
      <c r="I602" s="6">
        <f t="shared" si="104"/>
        <v>1</v>
      </c>
      <c r="J602" s="77">
        <v>10</v>
      </c>
      <c r="K602" s="77">
        <v>1</v>
      </c>
      <c r="L602" s="6">
        <f>J602/12</f>
        <v>0.83333333333333337</v>
      </c>
      <c r="M602" s="6">
        <f>K602</f>
        <v>1</v>
      </c>
      <c r="N602" s="78">
        <v>100</v>
      </c>
      <c r="O602">
        <f t="shared" si="106"/>
        <v>0.5</v>
      </c>
      <c r="P602" s="78">
        <v>50</v>
      </c>
      <c r="Q602">
        <f t="shared" si="107"/>
        <v>0.3</v>
      </c>
      <c r="R602" s="75">
        <v>15</v>
      </c>
      <c r="S602" s="6">
        <f t="shared" si="108"/>
        <v>0.15</v>
      </c>
    </row>
    <row r="603" spans="1:19" x14ac:dyDescent="0.25">
      <c r="A603" s="37" t="s">
        <v>43</v>
      </c>
      <c r="B603" s="6" t="s">
        <v>159</v>
      </c>
      <c r="C603" s="67">
        <v>13178.62</v>
      </c>
      <c r="D603" s="6">
        <f>(C603/12)*2</f>
        <v>2196.436666666667</v>
      </c>
      <c r="E603" s="67">
        <v>0</v>
      </c>
      <c r="F603" s="6">
        <f>SUM(E602:E603)</f>
        <v>240</v>
      </c>
      <c r="G603" s="36" t="str">
        <f t="shared" si="105"/>
        <v>Farol Vermelho</v>
      </c>
      <c r="H603">
        <f t="shared" si="103"/>
        <v>1956.436666666667</v>
      </c>
      <c r="I603" s="6">
        <f t="shared" si="104"/>
        <v>2</v>
      </c>
      <c r="J603" s="75">
        <v>10</v>
      </c>
      <c r="K603" s="75">
        <v>0</v>
      </c>
      <c r="L603" s="6">
        <f>L602+L602</f>
        <v>1.6666666666666667</v>
      </c>
      <c r="M603" s="6">
        <f>M602+K603</f>
        <v>1</v>
      </c>
      <c r="N603" s="78">
        <v>100</v>
      </c>
      <c r="O603">
        <f t="shared" si="106"/>
        <v>0.5</v>
      </c>
      <c r="P603" s="78">
        <v>50</v>
      </c>
      <c r="Q603">
        <f t="shared" si="107"/>
        <v>0.3</v>
      </c>
      <c r="R603" s="75">
        <v>15</v>
      </c>
      <c r="S603" s="6">
        <f t="shared" si="108"/>
        <v>0.15</v>
      </c>
    </row>
    <row r="604" spans="1:19" x14ac:dyDescent="0.25">
      <c r="A604" s="37" t="s">
        <v>43</v>
      </c>
      <c r="B604" s="6" t="s">
        <v>160</v>
      </c>
      <c r="C604" s="67">
        <v>13178.62</v>
      </c>
      <c r="D604" s="6">
        <f>(C604/12)*3</f>
        <v>3294.6550000000007</v>
      </c>
      <c r="E604" s="67">
        <v>755</v>
      </c>
      <c r="F604" s="6">
        <f>SUM(E602:E604)</f>
        <v>995</v>
      </c>
      <c r="G604" s="36" t="str">
        <f t="shared" si="105"/>
        <v>Farol Vermelho</v>
      </c>
      <c r="H604">
        <f t="shared" si="103"/>
        <v>2299.6550000000007</v>
      </c>
      <c r="I604" s="6">
        <f t="shared" si="104"/>
        <v>3</v>
      </c>
      <c r="J604" s="77">
        <v>10</v>
      </c>
      <c r="K604" s="77">
        <v>1</v>
      </c>
      <c r="L604" s="6">
        <f>$L602+L603</f>
        <v>2.5</v>
      </c>
      <c r="M604" s="6">
        <f t="shared" ref="M604:M613" si="111">M603+K604</f>
        <v>2</v>
      </c>
      <c r="N604" s="78">
        <v>100</v>
      </c>
      <c r="O604">
        <f t="shared" si="106"/>
        <v>0.5</v>
      </c>
      <c r="P604" s="78">
        <v>50</v>
      </c>
      <c r="Q604">
        <f t="shared" si="107"/>
        <v>0.3</v>
      </c>
      <c r="R604" s="75">
        <v>15</v>
      </c>
      <c r="S604" s="6">
        <f t="shared" si="108"/>
        <v>0.15</v>
      </c>
    </row>
    <row r="605" spans="1:19" x14ac:dyDescent="0.25">
      <c r="A605" s="37" t="s">
        <v>43</v>
      </c>
      <c r="B605" s="6" t="s">
        <v>161</v>
      </c>
      <c r="C605" s="67">
        <v>13178.62</v>
      </c>
      <c r="D605" s="6">
        <f>(C605/12)*4</f>
        <v>4392.8733333333339</v>
      </c>
      <c r="E605" s="67">
        <v>0</v>
      </c>
      <c r="F605" s="6">
        <f>SUM(E602:E605)</f>
        <v>995</v>
      </c>
      <c r="G605" s="36" t="str">
        <f t="shared" si="105"/>
        <v>Farol Vermelho</v>
      </c>
      <c r="H605">
        <f t="shared" si="103"/>
        <v>3397.8733333333339</v>
      </c>
      <c r="I605" s="6">
        <f t="shared" si="104"/>
        <v>4</v>
      </c>
      <c r="J605" s="75">
        <v>10</v>
      </c>
      <c r="K605" s="75">
        <v>0</v>
      </c>
      <c r="L605" s="6">
        <f>$L602+L604</f>
        <v>3.3333333333333335</v>
      </c>
      <c r="M605" s="6">
        <f t="shared" si="111"/>
        <v>2</v>
      </c>
      <c r="N605" s="78">
        <v>100</v>
      </c>
      <c r="O605">
        <f t="shared" si="106"/>
        <v>0.5</v>
      </c>
      <c r="P605" s="78">
        <v>50</v>
      </c>
      <c r="Q605">
        <f t="shared" si="107"/>
        <v>0.3</v>
      </c>
      <c r="R605" s="75">
        <v>15</v>
      </c>
      <c r="S605" s="6">
        <f t="shared" si="108"/>
        <v>0.15</v>
      </c>
    </row>
    <row r="606" spans="1:19" x14ac:dyDescent="0.25">
      <c r="A606" s="37" t="s">
        <v>43</v>
      </c>
      <c r="B606" s="6" t="s">
        <v>162</v>
      </c>
      <c r="C606" s="67">
        <v>13178.62</v>
      </c>
      <c r="D606" s="6">
        <f>(C606/12)*5</f>
        <v>5491.0916666666672</v>
      </c>
      <c r="E606" s="67">
        <v>1225</v>
      </c>
      <c r="F606" s="6">
        <f>SUM(E602:E606)</f>
        <v>2220</v>
      </c>
      <c r="G606" s="36" t="str">
        <f t="shared" si="105"/>
        <v>Farol Vermelho</v>
      </c>
      <c r="H606">
        <f t="shared" si="103"/>
        <v>3271.0916666666672</v>
      </c>
      <c r="I606" s="6">
        <f t="shared" si="104"/>
        <v>5</v>
      </c>
      <c r="J606" s="77">
        <v>10</v>
      </c>
      <c r="K606" s="77">
        <v>7</v>
      </c>
      <c r="L606" s="6">
        <f>L602+L605</f>
        <v>4.166666666666667</v>
      </c>
      <c r="M606" s="6">
        <f t="shared" si="111"/>
        <v>9</v>
      </c>
      <c r="N606" s="78">
        <v>100</v>
      </c>
      <c r="O606">
        <f t="shared" si="106"/>
        <v>0.5</v>
      </c>
      <c r="P606" s="78">
        <v>50</v>
      </c>
      <c r="Q606">
        <f t="shared" si="107"/>
        <v>0.3</v>
      </c>
      <c r="R606" s="75">
        <v>15</v>
      </c>
      <c r="S606" s="6">
        <f t="shared" si="108"/>
        <v>0.15</v>
      </c>
    </row>
    <row r="607" spans="1:19" x14ac:dyDescent="0.25">
      <c r="A607" s="37" t="s">
        <v>43</v>
      </c>
      <c r="B607" s="6" t="s">
        <v>163</v>
      </c>
      <c r="C607" s="67">
        <v>13178.62</v>
      </c>
      <c r="D607" s="6">
        <f>(C607/12)*6</f>
        <v>6589.3100000000013</v>
      </c>
      <c r="E607" s="67">
        <v>75</v>
      </c>
      <c r="F607" s="6">
        <f>SUM(E602:E607)</f>
        <v>2295</v>
      </c>
      <c r="G607" s="36" t="str">
        <f t="shared" si="105"/>
        <v>Farol Vermelho</v>
      </c>
      <c r="H607">
        <f t="shared" si="103"/>
        <v>4294.3100000000013</v>
      </c>
      <c r="I607" s="6">
        <f t="shared" si="104"/>
        <v>6</v>
      </c>
      <c r="J607" s="75">
        <v>10</v>
      </c>
      <c r="K607" s="75">
        <v>1</v>
      </c>
      <c r="L607" s="6">
        <f>$L602+L606</f>
        <v>5</v>
      </c>
      <c r="M607" s="6">
        <f t="shared" si="111"/>
        <v>10</v>
      </c>
      <c r="N607" s="78">
        <v>100</v>
      </c>
      <c r="O607">
        <f t="shared" si="106"/>
        <v>0.5</v>
      </c>
      <c r="P607" s="78">
        <v>50</v>
      </c>
      <c r="Q607">
        <f t="shared" si="107"/>
        <v>0.3</v>
      </c>
      <c r="R607" s="75">
        <v>15</v>
      </c>
      <c r="S607" s="6">
        <f t="shared" si="108"/>
        <v>0.15</v>
      </c>
    </row>
    <row r="608" spans="1:19" x14ac:dyDescent="0.25">
      <c r="A608" s="37" t="s">
        <v>43</v>
      </c>
      <c r="B608" s="6" t="s">
        <v>164</v>
      </c>
      <c r="C608" s="67">
        <v>13178.62</v>
      </c>
      <c r="D608" s="6">
        <f>(C608/12)*7</f>
        <v>7687.5283333333346</v>
      </c>
      <c r="E608" s="67">
        <v>6901.5</v>
      </c>
      <c r="F608" s="6">
        <f>SUM(E602:E608)</f>
        <v>9196.5</v>
      </c>
      <c r="G608" s="36" t="str">
        <f t="shared" si="105"/>
        <v>Farol Verde</v>
      </c>
      <c r="H608">
        <f t="shared" si="103"/>
        <v>0</v>
      </c>
      <c r="I608" s="6">
        <f t="shared" si="104"/>
        <v>7</v>
      </c>
      <c r="J608" s="77">
        <v>10</v>
      </c>
      <c r="K608" s="77">
        <v>3</v>
      </c>
      <c r="L608" s="6">
        <f>$L602+L607</f>
        <v>5.833333333333333</v>
      </c>
      <c r="M608" s="6">
        <f t="shared" si="111"/>
        <v>13</v>
      </c>
      <c r="N608" s="78">
        <v>100</v>
      </c>
      <c r="O608">
        <f t="shared" si="106"/>
        <v>0.5</v>
      </c>
      <c r="P608" s="78">
        <v>50</v>
      </c>
      <c r="Q608">
        <f t="shared" si="107"/>
        <v>0.3</v>
      </c>
      <c r="R608" s="75">
        <v>15</v>
      </c>
      <c r="S608" s="6">
        <f t="shared" si="108"/>
        <v>0.15</v>
      </c>
    </row>
    <row r="609" spans="1:19" x14ac:dyDescent="0.25">
      <c r="A609" s="37" t="s">
        <v>43</v>
      </c>
      <c r="B609" s="6" t="s">
        <v>165</v>
      </c>
      <c r="C609" s="67">
        <v>13178.62</v>
      </c>
      <c r="D609" s="6">
        <f>(C609/12)*8</f>
        <v>8785.7466666666678</v>
      </c>
      <c r="E609" s="67">
        <v>0</v>
      </c>
      <c r="F609" s="6">
        <f>SUM(E602:E609)</f>
        <v>9196.5</v>
      </c>
      <c r="G609" s="36" t="str">
        <f t="shared" si="105"/>
        <v>Farol Verde</v>
      </c>
      <c r="H609">
        <f t="shared" si="103"/>
        <v>0</v>
      </c>
      <c r="I609" s="6">
        <f t="shared" si="104"/>
        <v>8</v>
      </c>
      <c r="J609" s="75">
        <v>10</v>
      </c>
      <c r="K609" s="75">
        <v>0</v>
      </c>
      <c r="L609" s="6">
        <f>L602+L608</f>
        <v>6.6666666666666661</v>
      </c>
      <c r="M609" s="6">
        <f t="shared" si="111"/>
        <v>13</v>
      </c>
      <c r="N609" s="78">
        <v>100</v>
      </c>
      <c r="O609">
        <f t="shared" si="106"/>
        <v>0.5</v>
      </c>
      <c r="P609" s="78">
        <v>50</v>
      </c>
      <c r="Q609">
        <f t="shared" si="107"/>
        <v>0.3</v>
      </c>
      <c r="R609" s="75">
        <v>15</v>
      </c>
      <c r="S609" s="6">
        <f t="shared" si="108"/>
        <v>0.15</v>
      </c>
    </row>
    <row r="610" spans="1:19" x14ac:dyDescent="0.25">
      <c r="A610" s="37" t="s">
        <v>43</v>
      </c>
      <c r="B610" s="6" t="s">
        <v>166</v>
      </c>
      <c r="C610" s="67">
        <v>13178.62</v>
      </c>
      <c r="D610" s="6">
        <f>(C610/12)*9</f>
        <v>9883.965000000002</v>
      </c>
      <c r="E610" s="67">
        <v>60</v>
      </c>
      <c r="F610" s="6">
        <f>SUM(E602:E610)</f>
        <v>9256.5</v>
      </c>
      <c r="G610" s="36" t="str">
        <f t="shared" si="105"/>
        <v>Farol Amarelo</v>
      </c>
      <c r="H610">
        <f t="shared" si="103"/>
        <v>627.46500000000196</v>
      </c>
      <c r="I610" s="6">
        <f t="shared" si="104"/>
        <v>9</v>
      </c>
      <c r="J610" s="77">
        <v>10</v>
      </c>
      <c r="K610" s="77">
        <v>2</v>
      </c>
      <c r="L610" s="6">
        <f>$L602+L609</f>
        <v>7.4999999999999991</v>
      </c>
      <c r="M610" s="6">
        <f t="shared" si="111"/>
        <v>15</v>
      </c>
      <c r="N610" s="78">
        <v>100</v>
      </c>
      <c r="O610">
        <f t="shared" si="106"/>
        <v>0.5</v>
      </c>
      <c r="P610" s="78">
        <v>50</v>
      </c>
      <c r="Q610">
        <f t="shared" si="107"/>
        <v>0.3</v>
      </c>
      <c r="R610" s="75">
        <v>15</v>
      </c>
      <c r="S610" s="6">
        <f t="shared" si="108"/>
        <v>0.15</v>
      </c>
    </row>
    <row r="611" spans="1:19" x14ac:dyDescent="0.25">
      <c r="A611" s="37" t="s">
        <v>43</v>
      </c>
      <c r="B611" s="6" t="s">
        <v>167</v>
      </c>
      <c r="C611" s="67">
        <v>13178.62</v>
      </c>
      <c r="D611" s="6">
        <f>(C611/12)*10</f>
        <v>10982.183333333334</v>
      </c>
      <c r="E611" s="67">
        <v>0</v>
      </c>
      <c r="F611" s="6">
        <f>SUM(E602:E611)</f>
        <v>9256.5</v>
      </c>
      <c r="G611" s="36" t="str">
        <f t="shared" si="105"/>
        <v>Farol Vermelho</v>
      </c>
      <c r="H611">
        <f t="shared" si="103"/>
        <v>1725.6833333333343</v>
      </c>
      <c r="I611" s="6">
        <f t="shared" si="104"/>
        <v>10</v>
      </c>
      <c r="J611" s="75">
        <v>10</v>
      </c>
      <c r="K611" s="75">
        <v>0</v>
      </c>
      <c r="L611" s="6">
        <f>$L602+L610</f>
        <v>8.3333333333333321</v>
      </c>
      <c r="M611" s="6">
        <f t="shared" si="111"/>
        <v>15</v>
      </c>
      <c r="N611" s="78">
        <v>100</v>
      </c>
      <c r="O611">
        <f t="shared" si="106"/>
        <v>0.5</v>
      </c>
      <c r="P611" s="78">
        <v>50</v>
      </c>
      <c r="Q611">
        <f t="shared" si="107"/>
        <v>0.3</v>
      </c>
      <c r="R611" s="75">
        <v>15</v>
      </c>
      <c r="S611" s="6">
        <f t="shared" si="108"/>
        <v>0.15</v>
      </c>
    </row>
    <row r="612" spans="1:19" x14ac:dyDescent="0.25">
      <c r="A612" s="37" t="s">
        <v>43</v>
      </c>
      <c r="B612" s="6" t="s">
        <v>168</v>
      </c>
      <c r="C612" s="67">
        <v>13178.62</v>
      </c>
      <c r="D612" s="6">
        <f>(C612/12)*11</f>
        <v>12080.401666666668</v>
      </c>
      <c r="E612" s="67">
        <v>4500</v>
      </c>
      <c r="F612" s="6">
        <f>SUM(E602:E612)</f>
        <v>13756.5</v>
      </c>
      <c r="G612" s="36" t="str">
        <f t="shared" si="105"/>
        <v>Farol Verde</v>
      </c>
      <c r="H612">
        <f t="shared" si="103"/>
        <v>0</v>
      </c>
      <c r="I612" s="6">
        <f t="shared" si="104"/>
        <v>11</v>
      </c>
      <c r="J612" s="77">
        <v>10</v>
      </c>
      <c r="K612" s="77">
        <v>1</v>
      </c>
      <c r="L612" s="6">
        <f>L602+L611</f>
        <v>9.1666666666666661</v>
      </c>
      <c r="M612" s="6">
        <f t="shared" si="111"/>
        <v>16</v>
      </c>
      <c r="N612" s="78">
        <v>100</v>
      </c>
      <c r="O612">
        <f t="shared" si="106"/>
        <v>0.5</v>
      </c>
      <c r="P612" s="78">
        <v>50</v>
      </c>
      <c r="Q612">
        <f t="shared" si="107"/>
        <v>0.3</v>
      </c>
      <c r="R612" s="75">
        <v>15</v>
      </c>
      <c r="S612" s="6">
        <f t="shared" si="108"/>
        <v>0.15</v>
      </c>
    </row>
    <row r="613" spans="1:19" x14ac:dyDescent="0.25">
      <c r="A613" s="37" t="s">
        <v>43</v>
      </c>
      <c r="B613" s="6" t="s">
        <v>169</v>
      </c>
      <c r="C613" s="67">
        <v>13178.62</v>
      </c>
      <c r="D613" s="6">
        <f>(C613/12)*12</f>
        <v>13178.620000000003</v>
      </c>
      <c r="E613" s="67">
        <v>0</v>
      </c>
      <c r="F613" s="6">
        <f>SUM(E602:E613)</f>
        <v>13756.5</v>
      </c>
      <c r="G613" s="36" t="str">
        <f t="shared" si="105"/>
        <v>Farol Verde</v>
      </c>
      <c r="H613">
        <f t="shared" si="103"/>
        <v>0</v>
      </c>
      <c r="I613" s="6">
        <f t="shared" si="104"/>
        <v>12</v>
      </c>
      <c r="J613" s="75">
        <v>10</v>
      </c>
      <c r="K613" s="75">
        <v>0</v>
      </c>
      <c r="L613" s="6">
        <f>$L602+L612</f>
        <v>10</v>
      </c>
      <c r="M613" s="6">
        <f t="shared" si="111"/>
        <v>16</v>
      </c>
      <c r="N613" s="78">
        <v>100</v>
      </c>
      <c r="O613">
        <f t="shared" si="106"/>
        <v>0.5</v>
      </c>
      <c r="P613" s="78">
        <v>50</v>
      </c>
      <c r="Q613">
        <f t="shared" si="107"/>
        <v>0.3</v>
      </c>
      <c r="R613" s="75">
        <v>15</v>
      </c>
      <c r="S613" s="6">
        <f t="shared" si="108"/>
        <v>0.15</v>
      </c>
    </row>
    <row r="614" spans="1:19" x14ac:dyDescent="0.25">
      <c r="A614" s="37" t="s">
        <v>112</v>
      </c>
      <c r="B614" s="6" t="s">
        <v>158</v>
      </c>
      <c r="C614" s="67">
        <v>56000</v>
      </c>
      <c r="D614" s="6">
        <f>(C614/12)*1</f>
        <v>4666.666666666667</v>
      </c>
      <c r="E614" s="67">
        <v>5000</v>
      </c>
      <c r="F614" s="6">
        <f>E614</f>
        <v>5000</v>
      </c>
      <c r="G614" s="36" t="str">
        <f t="shared" si="105"/>
        <v>Farol Verde</v>
      </c>
      <c r="H614">
        <f t="shared" si="103"/>
        <v>0</v>
      </c>
      <c r="I614" s="6">
        <f t="shared" si="104"/>
        <v>1</v>
      </c>
      <c r="J614" s="77">
        <v>36</v>
      </c>
      <c r="K614" s="77">
        <v>1</v>
      </c>
      <c r="L614" s="6">
        <f>J614/12</f>
        <v>3</v>
      </c>
      <c r="M614" s="6">
        <f>K614</f>
        <v>1</v>
      </c>
      <c r="N614" s="78">
        <v>100</v>
      </c>
      <c r="O614">
        <f t="shared" si="106"/>
        <v>0.5</v>
      </c>
      <c r="P614" s="78">
        <v>50</v>
      </c>
      <c r="Q614">
        <f t="shared" si="107"/>
        <v>0.3</v>
      </c>
      <c r="R614" s="75">
        <v>15</v>
      </c>
      <c r="S614" s="6">
        <f t="shared" si="108"/>
        <v>0.15</v>
      </c>
    </row>
    <row r="615" spans="1:19" x14ac:dyDescent="0.25">
      <c r="A615" s="37" t="s">
        <v>112</v>
      </c>
      <c r="B615" s="6" t="s">
        <v>159</v>
      </c>
      <c r="C615" s="67">
        <v>56000</v>
      </c>
      <c r="D615" s="6">
        <f>(C615/12)*2</f>
        <v>9333.3333333333339</v>
      </c>
      <c r="E615" s="67">
        <v>0</v>
      </c>
      <c r="F615" s="6">
        <f>SUM(E614:E615)</f>
        <v>5000</v>
      </c>
      <c r="G615" s="36" t="str">
        <f t="shared" si="105"/>
        <v>Farol Vermelho</v>
      </c>
      <c r="H615">
        <f t="shared" si="103"/>
        <v>4333.3333333333339</v>
      </c>
      <c r="I615" s="6">
        <f t="shared" si="104"/>
        <v>2</v>
      </c>
      <c r="J615" s="75">
        <v>36</v>
      </c>
      <c r="K615" s="75">
        <v>0</v>
      </c>
      <c r="L615" s="6">
        <f>L614+L614</f>
        <v>6</v>
      </c>
      <c r="M615" s="6">
        <f>M614+K615</f>
        <v>1</v>
      </c>
      <c r="N615" s="78">
        <v>100</v>
      </c>
      <c r="O615">
        <f t="shared" si="106"/>
        <v>0.5</v>
      </c>
      <c r="P615" s="78">
        <v>50</v>
      </c>
      <c r="Q615">
        <f t="shared" si="107"/>
        <v>0.3</v>
      </c>
      <c r="R615" s="75">
        <v>15</v>
      </c>
      <c r="S615" s="6">
        <f t="shared" si="108"/>
        <v>0.15</v>
      </c>
    </row>
    <row r="616" spans="1:19" x14ac:dyDescent="0.25">
      <c r="A616" s="37" t="s">
        <v>112</v>
      </c>
      <c r="B616" s="6" t="s">
        <v>160</v>
      </c>
      <c r="C616" s="67">
        <v>56000</v>
      </c>
      <c r="D616" s="6">
        <f>(C616/12)*3</f>
        <v>14000</v>
      </c>
      <c r="E616" s="67">
        <v>0</v>
      </c>
      <c r="F616" s="6">
        <f>SUM(E614:E616)</f>
        <v>5000</v>
      </c>
      <c r="G616" s="36" t="str">
        <f t="shared" si="105"/>
        <v>Farol Vermelho</v>
      </c>
      <c r="H616">
        <f t="shared" si="103"/>
        <v>9000</v>
      </c>
      <c r="I616" s="6">
        <f t="shared" si="104"/>
        <v>3</v>
      </c>
      <c r="J616" s="77">
        <v>36</v>
      </c>
      <c r="K616" s="77">
        <v>0</v>
      </c>
      <c r="L616" s="6">
        <f>$L614+L615</f>
        <v>9</v>
      </c>
      <c r="M616" s="6">
        <f t="shared" ref="M616:M625" si="112">M615+K616</f>
        <v>1</v>
      </c>
      <c r="N616" s="78">
        <v>100</v>
      </c>
      <c r="O616">
        <f t="shared" si="106"/>
        <v>0.5</v>
      </c>
      <c r="P616" s="78">
        <v>50</v>
      </c>
      <c r="Q616">
        <f t="shared" si="107"/>
        <v>0.3</v>
      </c>
      <c r="R616" s="75">
        <v>15</v>
      </c>
      <c r="S616" s="6">
        <f t="shared" si="108"/>
        <v>0.15</v>
      </c>
    </row>
    <row r="617" spans="1:19" x14ac:dyDescent="0.25">
      <c r="A617" s="37" t="s">
        <v>112</v>
      </c>
      <c r="B617" s="6" t="s">
        <v>161</v>
      </c>
      <c r="C617" s="67">
        <v>56000</v>
      </c>
      <c r="D617" s="6">
        <f>(C617/12)*4</f>
        <v>18666.666666666668</v>
      </c>
      <c r="E617" s="67">
        <v>0</v>
      </c>
      <c r="F617" s="6">
        <f>SUM(E614:E617)</f>
        <v>5000</v>
      </c>
      <c r="G617" s="36" t="str">
        <f t="shared" si="105"/>
        <v>Farol Vermelho</v>
      </c>
      <c r="H617">
        <f t="shared" si="103"/>
        <v>13666.666666666668</v>
      </c>
      <c r="I617" s="6">
        <f t="shared" si="104"/>
        <v>4</v>
      </c>
      <c r="J617" s="75">
        <v>36</v>
      </c>
      <c r="K617" s="75">
        <v>0</v>
      </c>
      <c r="L617" s="6">
        <f>$L614+L616</f>
        <v>12</v>
      </c>
      <c r="M617" s="6">
        <f t="shared" si="112"/>
        <v>1</v>
      </c>
      <c r="N617" s="78">
        <v>100</v>
      </c>
      <c r="O617">
        <f t="shared" si="106"/>
        <v>0.5</v>
      </c>
      <c r="P617" s="78">
        <v>50</v>
      </c>
      <c r="Q617">
        <f t="shared" si="107"/>
        <v>0.3</v>
      </c>
      <c r="R617" s="75">
        <v>15</v>
      </c>
      <c r="S617" s="6">
        <f t="shared" si="108"/>
        <v>0.15</v>
      </c>
    </row>
    <row r="618" spans="1:19" x14ac:dyDescent="0.25">
      <c r="A618" s="37" t="s">
        <v>112</v>
      </c>
      <c r="B618" s="6" t="s">
        <v>162</v>
      </c>
      <c r="C618" s="67">
        <v>56000</v>
      </c>
      <c r="D618" s="6">
        <f>(C618/12)*5</f>
        <v>23333.333333333336</v>
      </c>
      <c r="E618" s="67">
        <v>0</v>
      </c>
      <c r="F618" s="6">
        <f>SUM(E614:E618)</f>
        <v>5000</v>
      </c>
      <c r="G618" s="36" t="str">
        <f t="shared" si="105"/>
        <v>Farol Vermelho</v>
      </c>
      <c r="H618">
        <f t="shared" si="103"/>
        <v>18333.333333333336</v>
      </c>
      <c r="I618" s="6">
        <f t="shared" si="104"/>
        <v>5</v>
      </c>
      <c r="J618" s="77">
        <v>36</v>
      </c>
      <c r="K618" s="77">
        <v>0</v>
      </c>
      <c r="L618" s="6">
        <f>L614+L617</f>
        <v>15</v>
      </c>
      <c r="M618" s="6">
        <f t="shared" si="112"/>
        <v>1</v>
      </c>
      <c r="N618" s="78">
        <v>100</v>
      </c>
      <c r="O618">
        <f t="shared" si="106"/>
        <v>0.5</v>
      </c>
      <c r="P618" s="78">
        <v>50</v>
      </c>
      <c r="Q618">
        <f t="shared" si="107"/>
        <v>0.3</v>
      </c>
      <c r="R618" s="75">
        <v>15</v>
      </c>
      <c r="S618" s="6">
        <f t="shared" si="108"/>
        <v>0.15</v>
      </c>
    </row>
    <row r="619" spans="1:19" x14ac:dyDescent="0.25">
      <c r="A619" s="37" t="s">
        <v>112</v>
      </c>
      <c r="B619" s="6" t="s">
        <v>163</v>
      </c>
      <c r="C619" s="67">
        <v>56000</v>
      </c>
      <c r="D619" s="6">
        <f>(C619/12)*6</f>
        <v>28000</v>
      </c>
      <c r="E619" s="67">
        <v>0</v>
      </c>
      <c r="F619" s="6">
        <f>SUM(E614:E619)</f>
        <v>5000</v>
      </c>
      <c r="G619" s="36" t="str">
        <f t="shared" si="105"/>
        <v>Farol Vermelho</v>
      </c>
      <c r="H619">
        <f t="shared" si="103"/>
        <v>23000</v>
      </c>
      <c r="I619" s="6">
        <f t="shared" si="104"/>
        <v>6</v>
      </c>
      <c r="J619" s="75">
        <v>36</v>
      </c>
      <c r="K619" s="75">
        <v>0</v>
      </c>
      <c r="L619" s="6">
        <f>$L614+L618</f>
        <v>18</v>
      </c>
      <c r="M619" s="6">
        <f t="shared" si="112"/>
        <v>1</v>
      </c>
      <c r="N619" s="78">
        <v>100</v>
      </c>
      <c r="O619">
        <f t="shared" si="106"/>
        <v>0.5</v>
      </c>
      <c r="P619" s="78">
        <v>50</v>
      </c>
      <c r="Q619">
        <f t="shared" si="107"/>
        <v>0.3</v>
      </c>
      <c r="R619" s="75">
        <v>15</v>
      </c>
      <c r="S619" s="6">
        <f t="shared" si="108"/>
        <v>0.15</v>
      </c>
    </row>
    <row r="620" spans="1:19" x14ac:dyDescent="0.25">
      <c r="A620" s="37" t="s">
        <v>112</v>
      </c>
      <c r="B620" s="6" t="s">
        <v>164</v>
      </c>
      <c r="C620" s="67">
        <v>56000</v>
      </c>
      <c r="D620" s="6">
        <f>(C620/12)*7</f>
        <v>32666.666666666668</v>
      </c>
      <c r="E620" s="67">
        <v>2400</v>
      </c>
      <c r="F620" s="6">
        <f>SUM(E614:E620)</f>
        <v>7400</v>
      </c>
      <c r="G620" s="36" t="str">
        <f t="shared" si="105"/>
        <v>Farol Vermelho</v>
      </c>
      <c r="H620">
        <f t="shared" si="103"/>
        <v>25266.666666666668</v>
      </c>
      <c r="I620" s="6">
        <f t="shared" si="104"/>
        <v>7</v>
      </c>
      <c r="J620" s="77">
        <v>36</v>
      </c>
      <c r="K620" s="77">
        <v>2</v>
      </c>
      <c r="L620" s="6">
        <f>$L614+L619</f>
        <v>21</v>
      </c>
      <c r="M620" s="6">
        <f t="shared" si="112"/>
        <v>3</v>
      </c>
      <c r="N620" s="78">
        <v>100</v>
      </c>
      <c r="O620">
        <f t="shared" si="106"/>
        <v>0.5</v>
      </c>
      <c r="P620" s="78">
        <v>50</v>
      </c>
      <c r="Q620">
        <f t="shared" si="107"/>
        <v>0.3</v>
      </c>
      <c r="R620" s="75">
        <v>15</v>
      </c>
      <c r="S620" s="6">
        <f t="shared" si="108"/>
        <v>0.15</v>
      </c>
    </row>
    <row r="621" spans="1:19" x14ac:dyDescent="0.25">
      <c r="A621" s="37" t="s">
        <v>112</v>
      </c>
      <c r="B621" s="6" t="s">
        <v>165</v>
      </c>
      <c r="C621" s="79">
        <v>56000</v>
      </c>
      <c r="D621" s="6">
        <f>(C621/12)*8</f>
        <v>37333.333333333336</v>
      </c>
      <c r="E621" s="79">
        <v>0</v>
      </c>
      <c r="F621" s="6">
        <f>SUM(E614:E621)</f>
        <v>7400</v>
      </c>
      <c r="G621" s="36" t="str">
        <f t="shared" si="105"/>
        <v>Farol Vermelho</v>
      </c>
      <c r="H621">
        <f t="shared" si="103"/>
        <v>29933.333333333336</v>
      </c>
      <c r="I621" s="6">
        <f t="shared" si="104"/>
        <v>8</v>
      </c>
      <c r="J621" s="75">
        <v>36</v>
      </c>
      <c r="K621" s="75">
        <v>0</v>
      </c>
      <c r="L621" s="6">
        <f>L614+L620</f>
        <v>24</v>
      </c>
      <c r="M621" s="6">
        <f t="shared" si="112"/>
        <v>3</v>
      </c>
      <c r="N621" s="78">
        <v>100</v>
      </c>
      <c r="O621">
        <f t="shared" si="106"/>
        <v>0.5</v>
      </c>
      <c r="P621" s="78">
        <v>50</v>
      </c>
      <c r="Q621">
        <f t="shared" si="107"/>
        <v>0.3</v>
      </c>
      <c r="R621" s="75">
        <v>15</v>
      </c>
      <c r="S621" s="6">
        <f t="shared" si="108"/>
        <v>0.15</v>
      </c>
    </row>
    <row r="622" spans="1:19" x14ac:dyDescent="0.25">
      <c r="A622" s="37" t="s">
        <v>112</v>
      </c>
      <c r="B622" s="6" t="s">
        <v>166</v>
      </c>
      <c r="C622" s="79">
        <v>56000</v>
      </c>
      <c r="D622" s="6">
        <f>(C622/12)*9</f>
        <v>42000</v>
      </c>
      <c r="E622" s="79">
        <v>750</v>
      </c>
      <c r="F622" s="6">
        <f>SUM(E614:E622)</f>
        <v>8150</v>
      </c>
      <c r="G622" s="36" t="str">
        <f t="shared" si="105"/>
        <v>Farol Vermelho</v>
      </c>
      <c r="H622">
        <f t="shared" si="103"/>
        <v>33850</v>
      </c>
      <c r="I622" s="6">
        <f t="shared" si="104"/>
        <v>9</v>
      </c>
      <c r="J622" s="77">
        <v>36</v>
      </c>
      <c r="K622" s="77">
        <v>1</v>
      </c>
      <c r="L622" s="6">
        <f>$L614+L621</f>
        <v>27</v>
      </c>
      <c r="M622" s="6">
        <f t="shared" si="112"/>
        <v>4</v>
      </c>
      <c r="N622" s="78">
        <v>100</v>
      </c>
      <c r="O622">
        <f t="shared" si="106"/>
        <v>0.5</v>
      </c>
      <c r="P622" s="78">
        <v>50</v>
      </c>
      <c r="Q622">
        <f t="shared" si="107"/>
        <v>0.3</v>
      </c>
      <c r="R622" s="75">
        <v>15</v>
      </c>
      <c r="S622" s="6">
        <f t="shared" si="108"/>
        <v>0.15</v>
      </c>
    </row>
    <row r="623" spans="1:19" x14ac:dyDescent="0.25">
      <c r="A623" s="37" t="s">
        <v>112</v>
      </c>
      <c r="B623" s="6" t="s">
        <v>167</v>
      </c>
      <c r="C623" s="79">
        <v>56000</v>
      </c>
      <c r="D623" s="6">
        <f>(C623/12)*10</f>
        <v>46666.666666666672</v>
      </c>
      <c r="E623" s="79">
        <v>0</v>
      </c>
      <c r="F623" s="6">
        <f>SUM(E614:E623)</f>
        <v>8150</v>
      </c>
      <c r="G623" s="36" t="str">
        <f t="shared" si="105"/>
        <v>Farol Vermelho</v>
      </c>
      <c r="H623">
        <f t="shared" si="103"/>
        <v>38516.666666666672</v>
      </c>
      <c r="I623" s="6">
        <f t="shared" si="104"/>
        <v>10</v>
      </c>
      <c r="J623" s="75">
        <v>36</v>
      </c>
      <c r="K623" s="75">
        <v>0</v>
      </c>
      <c r="L623" s="6">
        <f>$L614+L622</f>
        <v>30</v>
      </c>
      <c r="M623" s="6">
        <f t="shared" si="112"/>
        <v>4</v>
      </c>
      <c r="N623" s="78">
        <v>100</v>
      </c>
      <c r="O623">
        <f t="shared" si="106"/>
        <v>0.5</v>
      </c>
      <c r="P623" s="78">
        <v>50</v>
      </c>
      <c r="Q623">
        <f t="shared" si="107"/>
        <v>0.3</v>
      </c>
      <c r="R623" s="75">
        <v>15</v>
      </c>
      <c r="S623" s="6">
        <f t="shared" si="108"/>
        <v>0.15</v>
      </c>
    </row>
    <row r="624" spans="1:19" x14ac:dyDescent="0.25">
      <c r="A624" s="37" t="s">
        <v>112</v>
      </c>
      <c r="B624" s="6" t="s">
        <v>168</v>
      </c>
      <c r="C624" s="79">
        <v>56000</v>
      </c>
      <c r="D624" s="6">
        <f>(C624/12)*11</f>
        <v>51333.333333333336</v>
      </c>
      <c r="E624" s="79">
        <v>14800</v>
      </c>
      <c r="F624" s="6">
        <f>SUM(E614:E624)</f>
        <v>22950</v>
      </c>
      <c r="G624" s="36" t="str">
        <f t="shared" si="105"/>
        <v>Farol Vermelho</v>
      </c>
      <c r="H624">
        <f t="shared" si="103"/>
        <v>28383.333333333336</v>
      </c>
      <c r="I624" s="6">
        <f t="shared" si="104"/>
        <v>11</v>
      </c>
      <c r="J624" s="77">
        <v>36</v>
      </c>
      <c r="K624" s="77">
        <v>9</v>
      </c>
      <c r="L624" s="6">
        <f>L614+L623</f>
        <v>33</v>
      </c>
      <c r="M624" s="6">
        <f t="shared" si="112"/>
        <v>13</v>
      </c>
      <c r="N624" s="78">
        <v>100</v>
      </c>
      <c r="O624">
        <f t="shared" si="106"/>
        <v>0.5</v>
      </c>
      <c r="P624" s="78">
        <v>50</v>
      </c>
      <c r="Q624">
        <f t="shared" si="107"/>
        <v>0.3</v>
      </c>
      <c r="R624" s="75">
        <v>15</v>
      </c>
      <c r="S624" s="6">
        <f t="shared" si="108"/>
        <v>0.15</v>
      </c>
    </row>
    <row r="625" spans="1:19" x14ac:dyDescent="0.25">
      <c r="A625" s="37" t="s">
        <v>112</v>
      </c>
      <c r="B625" s="6" t="s">
        <v>169</v>
      </c>
      <c r="C625" s="79">
        <v>56000</v>
      </c>
      <c r="D625" s="6">
        <f>(C625/12)*12</f>
        <v>56000</v>
      </c>
      <c r="E625" s="79">
        <v>0</v>
      </c>
      <c r="F625" s="6">
        <f>SUM(E614:E625)</f>
        <v>22950</v>
      </c>
      <c r="G625" s="36" t="str">
        <f t="shared" si="105"/>
        <v>Farol Vermelho</v>
      </c>
      <c r="H625">
        <f t="shared" si="103"/>
        <v>33050</v>
      </c>
      <c r="I625" s="6">
        <f t="shared" si="104"/>
        <v>12</v>
      </c>
      <c r="J625" s="75">
        <v>36</v>
      </c>
      <c r="K625" s="75">
        <v>0</v>
      </c>
      <c r="L625" s="6">
        <f>$L614+L624</f>
        <v>36</v>
      </c>
      <c r="M625" s="6">
        <f t="shared" si="112"/>
        <v>13</v>
      </c>
      <c r="N625" s="78">
        <v>100</v>
      </c>
      <c r="O625">
        <f t="shared" si="106"/>
        <v>0.5</v>
      </c>
      <c r="P625" s="78">
        <v>50</v>
      </c>
      <c r="Q625">
        <f t="shared" si="107"/>
        <v>0.3</v>
      </c>
      <c r="R625" s="75">
        <v>15</v>
      </c>
      <c r="S625" s="6">
        <f t="shared" si="108"/>
        <v>0.15</v>
      </c>
    </row>
    <row r="626" spans="1:19" x14ac:dyDescent="0.25">
      <c r="A626" s="37" t="s">
        <v>135</v>
      </c>
      <c r="B626" s="6" t="s">
        <v>158</v>
      </c>
      <c r="C626" s="79">
        <v>0</v>
      </c>
      <c r="D626" s="6">
        <f>(C626/12)*1</f>
        <v>0</v>
      </c>
      <c r="E626" s="79">
        <v>0</v>
      </c>
      <c r="F626" s="6">
        <f>E626</f>
        <v>0</v>
      </c>
      <c r="G626" s="36" t="str">
        <f>_xlfn.IFS(F626&gt;D626,"Farol Verde",F626&gt;=D626*0.85,"Farol Amarelo",F626&lt;D626*0.85,"Farol Vermelho","Verdadeiro",0)</f>
        <v>Farol Amarelo</v>
      </c>
      <c r="H626">
        <f t="shared" si="103"/>
        <v>0</v>
      </c>
      <c r="I626" s="6">
        <f t="shared" si="104"/>
        <v>1</v>
      </c>
      <c r="J626" s="77">
        <v>0</v>
      </c>
      <c r="K626" s="77">
        <v>0</v>
      </c>
      <c r="L626" s="6">
        <f>J626/12</f>
        <v>0</v>
      </c>
      <c r="M626" s="6">
        <f>K626</f>
        <v>0</v>
      </c>
      <c r="N626" s="78">
        <v>100</v>
      </c>
      <c r="O626">
        <f t="shared" si="106"/>
        <v>0.5</v>
      </c>
      <c r="P626" s="78">
        <v>50</v>
      </c>
      <c r="Q626">
        <f t="shared" si="107"/>
        <v>0.3</v>
      </c>
      <c r="R626" s="75">
        <v>15</v>
      </c>
      <c r="S626" s="6">
        <f t="shared" si="108"/>
        <v>0.15</v>
      </c>
    </row>
    <row r="627" spans="1:19" x14ac:dyDescent="0.25">
      <c r="A627" s="37" t="s">
        <v>135</v>
      </c>
      <c r="B627" s="6" t="s">
        <v>159</v>
      </c>
      <c r="C627" s="79">
        <v>0</v>
      </c>
      <c r="D627" s="6">
        <f>(C627/12)*2</f>
        <v>0</v>
      </c>
      <c r="E627" s="79">
        <v>0</v>
      </c>
      <c r="F627" s="6">
        <f>SUM(E626:E627)</f>
        <v>0</v>
      </c>
      <c r="G627" s="36" t="str">
        <f t="shared" si="105"/>
        <v>Farol Amarelo</v>
      </c>
      <c r="H627">
        <f t="shared" si="103"/>
        <v>0</v>
      </c>
      <c r="I627" s="6">
        <f t="shared" si="104"/>
        <v>2</v>
      </c>
      <c r="J627" s="75">
        <v>0</v>
      </c>
      <c r="K627" s="75">
        <v>0</v>
      </c>
      <c r="L627" s="6">
        <f>L626+L626</f>
        <v>0</v>
      </c>
      <c r="M627" s="6">
        <f>M626+K627</f>
        <v>0</v>
      </c>
      <c r="N627" s="78">
        <v>100</v>
      </c>
      <c r="O627">
        <f t="shared" si="106"/>
        <v>0.5</v>
      </c>
      <c r="P627" s="78">
        <v>50</v>
      </c>
      <c r="Q627">
        <f t="shared" si="107"/>
        <v>0.3</v>
      </c>
      <c r="R627" s="75">
        <v>15</v>
      </c>
      <c r="S627" s="6">
        <f t="shared" si="108"/>
        <v>0.15</v>
      </c>
    </row>
    <row r="628" spans="1:19" x14ac:dyDescent="0.25">
      <c r="A628" s="37" t="s">
        <v>135</v>
      </c>
      <c r="B628" s="6" t="s">
        <v>160</v>
      </c>
      <c r="C628" s="79">
        <v>0</v>
      </c>
      <c r="D628" s="6">
        <f>(C628/12)*3</f>
        <v>0</v>
      </c>
      <c r="E628" s="79">
        <v>0</v>
      </c>
      <c r="F628" s="6">
        <f>SUM(E626:E628)</f>
        <v>0</v>
      </c>
      <c r="G628" s="36" t="str">
        <f t="shared" si="105"/>
        <v>Farol Amarelo</v>
      </c>
      <c r="H628">
        <f t="shared" si="103"/>
        <v>0</v>
      </c>
      <c r="I628" s="6">
        <f t="shared" si="104"/>
        <v>3</v>
      </c>
      <c r="J628" s="77">
        <v>0</v>
      </c>
      <c r="K628" s="77">
        <v>0</v>
      </c>
      <c r="L628" s="6">
        <f>$L626+L627</f>
        <v>0</v>
      </c>
      <c r="M628" s="6">
        <f t="shared" ref="M628:M637" si="113">M627+K628</f>
        <v>0</v>
      </c>
      <c r="N628" s="78">
        <v>100</v>
      </c>
      <c r="O628">
        <f t="shared" si="106"/>
        <v>0.5</v>
      </c>
      <c r="P628" s="78">
        <v>50</v>
      </c>
      <c r="Q628">
        <f t="shared" si="107"/>
        <v>0.3</v>
      </c>
      <c r="R628" s="75">
        <v>15</v>
      </c>
      <c r="S628" s="6">
        <f t="shared" si="108"/>
        <v>0.15</v>
      </c>
    </row>
    <row r="629" spans="1:19" x14ac:dyDescent="0.25">
      <c r="A629" s="37" t="s">
        <v>135</v>
      </c>
      <c r="B629" s="6" t="s">
        <v>161</v>
      </c>
      <c r="C629" s="79">
        <v>0</v>
      </c>
      <c r="D629" s="6">
        <f>(C629/12)*4</f>
        <v>0</v>
      </c>
      <c r="E629" s="79">
        <v>0</v>
      </c>
      <c r="F629" s="6">
        <f>SUM(E626:E629)</f>
        <v>0</v>
      </c>
      <c r="G629" s="36" t="str">
        <f t="shared" si="105"/>
        <v>Farol Amarelo</v>
      </c>
      <c r="H629">
        <f t="shared" si="103"/>
        <v>0</v>
      </c>
      <c r="I629" s="6">
        <f t="shared" si="104"/>
        <v>4</v>
      </c>
      <c r="J629" s="75">
        <v>0</v>
      </c>
      <c r="K629" s="75">
        <v>0</v>
      </c>
      <c r="L629" s="6">
        <f>$L626+L628</f>
        <v>0</v>
      </c>
      <c r="M629" s="6">
        <f t="shared" si="113"/>
        <v>0</v>
      </c>
      <c r="N629" s="78">
        <v>100</v>
      </c>
      <c r="O629">
        <f t="shared" si="106"/>
        <v>0.5</v>
      </c>
      <c r="P629" s="78">
        <v>50</v>
      </c>
      <c r="Q629">
        <f t="shared" si="107"/>
        <v>0.3</v>
      </c>
      <c r="R629" s="75">
        <v>15</v>
      </c>
      <c r="S629" s="6">
        <f t="shared" si="108"/>
        <v>0.15</v>
      </c>
    </row>
    <row r="630" spans="1:19" x14ac:dyDescent="0.25">
      <c r="A630" s="37" t="s">
        <v>135</v>
      </c>
      <c r="B630" s="6" t="s">
        <v>162</v>
      </c>
      <c r="C630" s="79">
        <v>0</v>
      </c>
      <c r="D630" s="6">
        <f>(C630/12)*5</f>
        <v>0</v>
      </c>
      <c r="E630" s="79">
        <v>0</v>
      </c>
      <c r="F630" s="6">
        <f>SUM(E626:E630)</f>
        <v>0</v>
      </c>
      <c r="G630" s="36" t="str">
        <f t="shared" si="105"/>
        <v>Farol Amarelo</v>
      </c>
      <c r="H630">
        <f t="shared" si="103"/>
        <v>0</v>
      </c>
      <c r="I630" s="6">
        <f t="shared" si="104"/>
        <v>5</v>
      </c>
      <c r="J630" s="77">
        <v>0</v>
      </c>
      <c r="K630" s="77">
        <v>0</v>
      </c>
      <c r="L630" s="6">
        <f>L626+L629</f>
        <v>0</v>
      </c>
      <c r="M630" s="6">
        <f t="shared" si="113"/>
        <v>0</v>
      </c>
      <c r="N630" s="78">
        <v>100</v>
      </c>
      <c r="O630">
        <f t="shared" si="106"/>
        <v>0.5</v>
      </c>
      <c r="P630" s="78">
        <v>50</v>
      </c>
      <c r="Q630">
        <f t="shared" si="107"/>
        <v>0.3</v>
      </c>
      <c r="R630" s="75">
        <v>15</v>
      </c>
      <c r="S630" s="6">
        <f t="shared" si="108"/>
        <v>0.15</v>
      </c>
    </row>
    <row r="631" spans="1:19" x14ac:dyDescent="0.25">
      <c r="A631" s="37" t="s">
        <v>135</v>
      </c>
      <c r="B631" s="6" t="s">
        <v>163</v>
      </c>
      <c r="C631" s="79">
        <v>0</v>
      </c>
      <c r="D631" s="6">
        <f>(C631/12)*6</f>
        <v>0</v>
      </c>
      <c r="E631" s="79">
        <v>0</v>
      </c>
      <c r="F631" s="6">
        <f>SUM(E626:E631)</f>
        <v>0</v>
      </c>
      <c r="G631" s="36" t="str">
        <f t="shared" si="105"/>
        <v>Farol Amarelo</v>
      </c>
      <c r="H631">
        <f t="shared" si="103"/>
        <v>0</v>
      </c>
      <c r="I631" s="6">
        <f t="shared" si="104"/>
        <v>6</v>
      </c>
      <c r="J631" s="75">
        <v>0</v>
      </c>
      <c r="K631" s="75">
        <v>0</v>
      </c>
      <c r="L631" s="6">
        <f>$L626+L630</f>
        <v>0</v>
      </c>
      <c r="M631" s="6">
        <f t="shared" si="113"/>
        <v>0</v>
      </c>
      <c r="N631" s="78">
        <v>100</v>
      </c>
      <c r="O631">
        <f t="shared" si="106"/>
        <v>0.5</v>
      </c>
      <c r="P631" s="78">
        <v>50</v>
      </c>
      <c r="Q631">
        <f t="shared" si="107"/>
        <v>0.3</v>
      </c>
      <c r="R631" s="75">
        <v>15</v>
      </c>
      <c r="S631" s="6">
        <f t="shared" si="108"/>
        <v>0.15</v>
      </c>
    </row>
    <row r="632" spans="1:19" x14ac:dyDescent="0.25">
      <c r="A632" s="37" t="s">
        <v>135</v>
      </c>
      <c r="B632" s="6" t="s">
        <v>164</v>
      </c>
      <c r="C632" s="79">
        <v>0</v>
      </c>
      <c r="D632" s="6">
        <f>(C632/12)*7</f>
        <v>0</v>
      </c>
      <c r="E632" s="79">
        <v>0</v>
      </c>
      <c r="F632" s="6">
        <f>SUM(E626:E632)</f>
        <v>0</v>
      </c>
      <c r="G632" s="36" t="str">
        <f t="shared" si="105"/>
        <v>Farol Amarelo</v>
      </c>
      <c r="H632">
        <f t="shared" si="103"/>
        <v>0</v>
      </c>
      <c r="I632" s="6">
        <f t="shared" si="104"/>
        <v>7</v>
      </c>
      <c r="J632" s="77">
        <v>0</v>
      </c>
      <c r="K632" s="77">
        <v>0</v>
      </c>
      <c r="L632" s="6">
        <f>$L626+L631</f>
        <v>0</v>
      </c>
      <c r="M632" s="6">
        <f t="shared" si="113"/>
        <v>0</v>
      </c>
      <c r="N632" s="78">
        <v>100</v>
      </c>
      <c r="O632">
        <f t="shared" si="106"/>
        <v>0.5</v>
      </c>
      <c r="P632" s="78">
        <v>50</v>
      </c>
      <c r="Q632">
        <f t="shared" si="107"/>
        <v>0.3</v>
      </c>
      <c r="R632" s="75">
        <v>15</v>
      </c>
      <c r="S632" s="6">
        <f t="shared" si="108"/>
        <v>0.15</v>
      </c>
    </row>
    <row r="633" spans="1:19" x14ac:dyDescent="0.25">
      <c r="A633" s="37" t="s">
        <v>135</v>
      </c>
      <c r="B633" s="6" t="s">
        <v>165</v>
      </c>
      <c r="C633" s="79">
        <v>0</v>
      </c>
      <c r="D633" s="6">
        <f>(C633/12)*8</f>
        <v>0</v>
      </c>
      <c r="E633" s="79">
        <v>0</v>
      </c>
      <c r="F633" s="6">
        <f>SUM(E626:E633)</f>
        <v>0</v>
      </c>
      <c r="G633" s="36" t="str">
        <f t="shared" si="105"/>
        <v>Farol Amarelo</v>
      </c>
      <c r="H633">
        <f t="shared" si="103"/>
        <v>0</v>
      </c>
      <c r="I633" s="6">
        <f t="shared" si="104"/>
        <v>8</v>
      </c>
      <c r="J633" s="75">
        <v>0</v>
      </c>
      <c r="K633" s="75">
        <v>0</v>
      </c>
      <c r="L633" s="6">
        <f>L626+L632</f>
        <v>0</v>
      </c>
      <c r="M633" s="6">
        <f t="shared" si="113"/>
        <v>0</v>
      </c>
      <c r="N633" s="78">
        <v>100</v>
      </c>
      <c r="O633">
        <f t="shared" si="106"/>
        <v>0.5</v>
      </c>
      <c r="P633" s="78">
        <v>50</v>
      </c>
      <c r="Q633">
        <f t="shared" si="107"/>
        <v>0.3</v>
      </c>
      <c r="R633" s="75">
        <v>15</v>
      </c>
      <c r="S633" s="6">
        <f t="shared" si="108"/>
        <v>0.15</v>
      </c>
    </row>
    <row r="634" spans="1:19" x14ac:dyDescent="0.25">
      <c r="A634" s="37" t="s">
        <v>135</v>
      </c>
      <c r="B634" s="6" t="s">
        <v>166</v>
      </c>
      <c r="C634" s="79">
        <v>0</v>
      </c>
      <c r="D634" s="6">
        <f>(C634/12)*9</f>
        <v>0</v>
      </c>
      <c r="E634" s="79">
        <v>0</v>
      </c>
      <c r="F634" s="6">
        <f>SUM(E626:E634)</f>
        <v>0</v>
      </c>
      <c r="G634" s="36" t="str">
        <f t="shared" si="105"/>
        <v>Farol Amarelo</v>
      </c>
      <c r="H634">
        <f t="shared" si="103"/>
        <v>0</v>
      </c>
      <c r="I634" s="6">
        <f t="shared" si="104"/>
        <v>9</v>
      </c>
      <c r="J634" s="77">
        <v>0</v>
      </c>
      <c r="K634" s="77">
        <v>0</v>
      </c>
      <c r="L634" s="6">
        <f>$L626+L633</f>
        <v>0</v>
      </c>
      <c r="M634" s="6">
        <f t="shared" si="113"/>
        <v>0</v>
      </c>
      <c r="N634" s="78">
        <v>100</v>
      </c>
      <c r="O634">
        <f t="shared" si="106"/>
        <v>0.5</v>
      </c>
      <c r="P634" s="78">
        <v>50</v>
      </c>
      <c r="Q634">
        <f t="shared" si="107"/>
        <v>0.3</v>
      </c>
      <c r="R634" s="75">
        <v>15</v>
      </c>
      <c r="S634" s="6">
        <f t="shared" si="108"/>
        <v>0.15</v>
      </c>
    </row>
    <row r="635" spans="1:19" x14ac:dyDescent="0.25">
      <c r="A635" s="37" t="s">
        <v>135</v>
      </c>
      <c r="B635" s="6" t="s">
        <v>167</v>
      </c>
      <c r="C635" s="79">
        <v>0</v>
      </c>
      <c r="D635" s="6">
        <f>(C635/12)*10</f>
        <v>0</v>
      </c>
      <c r="E635" s="79">
        <v>0</v>
      </c>
      <c r="F635" s="6">
        <f>SUM(E626:E635)</f>
        <v>0</v>
      </c>
      <c r="G635" s="36" t="str">
        <f t="shared" si="105"/>
        <v>Farol Amarelo</v>
      </c>
      <c r="H635">
        <f t="shared" si="103"/>
        <v>0</v>
      </c>
      <c r="I635" s="6">
        <f t="shared" si="104"/>
        <v>10</v>
      </c>
      <c r="J635" s="75">
        <v>0</v>
      </c>
      <c r="K635" s="75">
        <v>0</v>
      </c>
      <c r="L635" s="6">
        <f>$L626+L634</f>
        <v>0</v>
      </c>
      <c r="M635" s="6">
        <f t="shared" si="113"/>
        <v>0</v>
      </c>
      <c r="N635" s="78">
        <v>100</v>
      </c>
      <c r="O635">
        <f t="shared" si="106"/>
        <v>0.5</v>
      </c>
      <c r="P635" s="78">
        <v>50</v>
      </c>
      <c r="Q635">
        <f t="shared" si="107"/>
        <v>0.3</v>
      </c>
      <c r="R635" s="75">
        <v>15</v>
      </c>
      <c r="S635" s="6">
        <f t="shared" si="108"/>
        <v>0.15</v>
      </c>
    </row>
    <row r="636" spans="1:19" x14ac:dyDescent="0.25">
      <c r="A636" s="37" t="s">
        <v>135</v>
      </c>
      <c r="B636" s="6" t="s">
        <v>168</v>
      </c>
      <c r="C636" s="79">
        <v>0</v>
      </c>
      <c r="D636" s="6">
        <f>(C636/12)*11</f>
        <v>0</v>
      </c>
      <c r="E636" s="79">
        <v>0</v>
      </c>
      <c r="F636" s="6">
        <f>SUM(E626:E636)</f>
        <v>0</v>
      </c>
      <c r="G636" s="36" t="str">
        <f t="shared" si="105"/>
        <v>Farol Amarelo</v>
      </c>
      <c r="H636">
        <f t="shared" si="103"/>
        <v>0</v>
      </c>
      <c r="I636" s="6">
        <f t="shared" si="104"/>
        <v>11</v>
      </c>
      <c r="J636" s="77">
        <v>0</v>
      </c>
      <c r="K636" s="77">
        <v>0</v>
      </c>
      <c r="L636" s="6">
        <f>L626+L635</f>
        <v>0</v>
      </c>
      <c r="M636" s="6">
        <f t="shared" si="113"/>
        <v>0</v>
      </c>
      <c r="N636" s="78">
        <v>100</v>
      </c>
      <c r="O636">
        <f t="shared" si="106"/>
        <v>0.5</v>
      </c>
      <c r="P636" s="78">
        <v>50</v>
      </c>
      <c r="Q636">
        <f t="shared" si="107"/>
        <v>0.3</v>
      </c>
      <c r="R636" s="75">
        <v>15</v>
      </c>
      <c r="S636" s="6">
        <f t="shared" si="108"/>
        <v>0.15</v>
      </c>
    </row>
    <row r="637" spans="1:19" x14ac:dyDescent="0.25">
      <c r="A637" s="37" t="s">
        <v>135</v>
      </c>
      <c r="B637" s="6" t="s">
        <v>169</v>
      </c>
      <c r="C637" s="79">
        <v>0</v>
      </c>
      <c r="D637" s="6">
        <f>(C637/12)*12</f>
        <v>0</v>
      </c>
      <c r="E637" s="79">
        <v>0</v>
      </c>
      <c r="F637" s="6">
        <f>SUM(E626:E637)</f>
        <v>0</v>
      </c>
      <c r="G637" s="36" t="str">
        <f t="shared" si="105"/>
        <v>Farol Amarelo</v>
      </c>
      <c r="H637">
        <f t="shared" si="103"/>
        <v>0</v>
      </c>
      <c r="I637" s="6">
        <f t="shared" si="104"/>
        <v>12</v>
      </c>
      <c r="J637" s="75">
        <v>0</v>
      </c>
      <c r="K637" s="75">
        <v>0</v>
      </c>
      <c r="L637" s="6">
        <f>$L626+L636</f>
        <v>0</v>
      </c>
      <c r="M637" s="6">
        <f t="shared" si="113"/>
        <v>0</v>
      </c>
      <c r="N637" s="78">
        <v>100</v>
      </c>
      <c r="O637">
        <f t="shared" si="106"/>
        <v>0.5</v>
      </c>
      <c r="P637" s="78">
        <v>50</v>
      </c>
      <c r="Q637">
        <f t="shared" si="107"/>
        <v>0.3</v>
      </c>
      <c r="R637" s="75">
        <v>15</v>
      </c>
      <c r="S637" s="6">
        <f t="shared" si="108"/>
        <v>0.15</v>
      </c>
    </row>
    <row r="638" spans="1:19" x14ac:dyDescent="0.25">
      <c r="A638" s="37" t="s">
        <v>131</v>
      </c>
      <c r="B638" s="6" t="s">
        <v>158</v>
      </c>
      <c r="C638" s="79">
        <v>26145</v>
      </c>
      <c r="D638" s="6">
        <f>(C638/12)*1</f>
        <v>2178.75</v>
      </c>
      <c r="E638" s="79">
        <v>0</v>
      </c>
      <c r="F638" s="6">
        <f>E638</f>
        <v>0</v>
      </c>
      <c r="G638" s="36" t="str">
        <f t="shared" si="105"/>
        <v>Farol Vermelho</v>
      </c>
      <c r="H638">
        <f t="shared" si="103"/>
        <v>2178.75</v>
      </c>
      <c r="I638" s="6">
        <f t="shared" si="104"/>
        <v>1</v>
      </c>
      <c r="J638" s="77">
        <v>17</v>
      </c>
      <c r="K638" s="77">
        <v>0</v>
      </c>
      <c r="L638" s="6">
        <f>J638/12</f>
        <v>1.4166666666666667</v>
      </c>
      <c r="M638" s="6">
        <f>K638</f>
        <v>0</v>
      </c>
      <c r="N638" s="78">
        <v>100</v>
      </c>
      <c r="O638">
        <f t="shared" si="106"/>
        <v>0.5</v>
      </c>
      <c r="P638" s="78">
        <v>50</v>
      </c>
      <c r="Q638">
        <f t="shared" si="107"/>
        <v>0.3</v>
      </c>
      <c r="R638" s="75">
        <v>15</v>
      </c>
      <c r="S638" s="6">
        <f t="shared" si="108"/>
        <v>0.15</v>
      </c>
    </row>
    <row r="639" spans="1:19" x14ac:dyDescent="0.25">
      <c r="A639" s="37" t="s">
        <v>131</v>
      </c>
      <c r="B639" s="6" t="s">
        <v>159</v>
      </c>
      <c r="C639" s="79">
        <v>26145</v>
      </c>
      <c r="D639" s="6">
        <f>(C639/12)*2</f>
        <v>4357.5</v>
      </c>
      <c r="E639" s="79">
        <v>4706.1000000000004</v>
      </c>
      <c r="F639" s="6">
        <f>SUM(E638:E639)</f>
        <v>4706.1000000000004</v>
      </c>
      <c r="G639" s="36" t="str">
        <f t="shared" si="105"/>
        <v>Farol Verde</v>
      </c>
      <c r="H639">
        <f t="shared" si="103"/>
        <v>0</v>
      </c>
      <c r="I639" s="6">
        <f t="shared" si="104"/>
        <v>2</v>
      </c>
      <c r="J639" s="75">
        <v>17</v>
      </c>
      <c r="K639" s="75">
        <v>10</v>
      </c>
      <c r="L639" s="6">
        <f>L638+L638</f>
        <v>2.8333333333333335</v>
      </c>
      <c r="M639" s="6">
        <f>M638+K639</f>
        <v>10</v>
      </c>
      <c r="N639" s="78">
        <v>100</v>
      </c>
      <c r="O639">
        <f t="shared" si="106"/>
        <v>0.5</v>
      </c>
      <c r="P639" s="78">
        <v>50</v>
      </c>
      <c r="Q639">
        <f t="shared" si="107"/>
        <v>0.3</v>
      </c>
      <c r="R639" s="75">
        <v>15</v>
      </c>
      <c r="S639" s="6">
        <f t="shared" si="108"/>
        <v>0.15</v>
      </c>
    </row>
    <row r="640" spans="1:19" x14ac:dyDescent="0.25">
      <c r="A640" s="37" t="s">
        <v>131</v>
      </c>
      <c r="B640" s="6" t="s">
        <v>160</v>
      </c>
      <c r="C640" s="79">
        <v>26145</v>
      </c>
      <c r="D640" s="6">
        <f>(C640/12)*3</f>
        <v>6536.25</v>
      </c>
      <c r="E640" s="79">
        <v>0</v>
      </c>
      <c r="F640" s="6">
        <f>SUM(E638:E640)</f>
        <v>4706.1000000000004</v>
      </c>
      <c r="G640" s="36" t="str">
        <f t="shared" si="105"/>
        <v>Farol Vermelho</v>
      </c>
      <c r="H640">
        <f t="shared" si="103"/>
        <v>1830.1499999999996</v>
      </c>
      <c r="I640" s="6">
        <f t="shared" si="104"/>
        <v>3</v>
      </c>
      <c r="J640" s="77">
        <v>17</v>
      </c>
      <c r="K640" s="77">
        <v>0</v>
      </c>
      <c r="L640" s="6">
        <f>$L638+L639</f>
        <v>4.25</v>
      </c>
      <c r="M640" s="6">
        <f t="shared" ref="M640:M649" si="114">M639+K640</f>
        <v>10</v>
      </c>
      <c r="N640" s="78">
        <v>100</v>
      </c>
      <c r="O640">
        <f t="shared" si="106"/>
        <v>0.5</v>
      </c>
      <c r="P640" s="78">
        <v>50</v>
      </c>
      <c r="Q640">
        <f t="shared" si="107"/>
        <v>0.3</v>
      </c>
      <c r="R640" s="75">
        <v>15</v>
      </c>
      <c r="S640" s="6">
        <f t="shared" si="108"/>
        <v>0.15</v>
      </c>
    </row>
    <row r="641" spans="1:19" x14ac:dyDescent="0.25">
      <c r="A641" s="37" t="s">
        <v>131</v>
      </c>
      <c r="B641" s="6" t="s">
        <v>161</v>
      </c>
      <c r="C641" s="79">
        <v>26145</v>
      </c>
      <c r="D641" s="6">
        <f>(C641/12)*4</f>
        <v>8715</v>
      </c>
      <c r="E641" s="79">
        <v>0</v>
      </c>
      <c r="F641" s="6">
        <f>SUM(E638:E641)</f>
        <v>4706.1000000000004</v>
      </c>
      <c r="G641" s="36" t="str">
        <f t="shared" si="105"/>
        <v>Farol Vermelho</v>
      </c>
      <c r="H641">
        <f t="shared" si="103"/>
        <v>4008.8999999999996</v>
      </c>
      <c r="I641" s="6">
        <f t="shared" si="104"/>
        <v>4</v>
      </c>
      <c r="J641" s="75">
        <v>17</v>
      </c>
      <c r="K641" s="75">
        <v>0</v>
      </c>
      <c r="L641" s="6">
        <f>$L638+L640</f>
        <v>5.666666666666667</v>
      </c>
      <c r="M641" s="6">
        <f t="shared" si="114"/>
        <v>10</v>
      </c>
      <c r="N641" s="78">
        <v>100</v>
      </c>
      <c r="O641">
        <f t="shared" si="106"/>
        <v>0.5</v>
      </c>
      <c r="P641" s="78">
        <v>50</v>
      </c>
      <c r="Q641">
        <f t="shared" si="107"/>
        <v>0.3</v>
      </c>
      <c r="R641" s="75">
        <v>15</v>
      </c>
      <c r="S641" s="6">
        <f t="shared" si="108"/>
        <v>0.15</v>
      </c>
    </row>
    <row r="642" spans="1:19" x14ac:dyDescent="0.25">
      <c r="A642" s="37" t="s">
        <v>131</v>
      </c>
      <c r="B642" s="6" t="s">
        <v>162</v>
      </c>
      <c r="C642" s="79">
        <v>26145</v>
      </c>
      <c r="D642" s="6">
        <f>(C642/12)*5</f>
        <v>10893.75</v>
      </c>
      <c r="E642" s="79">
        <v>0</v>
      </c>
      <c r="F642" s="6">
        <f>SUM(E638:E642)</f>
        <v>4706.1000000000004</v>
      </c>
      <c r="G642" s="36" t="str">
        <f t="shared" si="105"/>
        <v>Farol Vermelho</v>
      </c>
      <c r="H642">
        <f t="shared" ref="H642:H648" si="115">IF(D642-F642&lt;0,0,D642-F642)</f>
        <v>6187.65</v>
      </c>
      <c r="I642" s="6">
        <f t="shared" ref="I642:I649" si="116">_xlfn.IFS(B642="Janeiro",1,B642="Fevereiro",2,B642="Março",3,B642="Abril",4,B642="Maio",5,B642="Junho",6,B642="Julho",7,B642="Agosto",8,B642="Setembro",9,B642="Outubro",10,B642="Novembro",11,B642="Dezembro",12,TRUE,0)</f>
        <v>5</v>
      </c>
      <c r="J642" s="77">
        <v>17</v>
      </c>
      <c r="K642" s="77">
        <v>0</v>
      </c>
      <c r="L642" s="6">
        <f>L638+L641</f>
        <v>7.0833333333333339</v>
      </c>
      <c r="M642" s="6">
        <f t="shared" si="114"/>
        <v>10</v>
      </c>
      <c r="N642" s="78">
        <v>100</v>
      </c>
      <c r="O642">
        <f t="shared" si="106"/>
        <v>0.5</v>
      </c>
      <c r="P642" s="78">
        <v>50</v>
      </c>
      <c r="Q642">
        <f t="shared" si="107"/>
        <v>0.3</v>
      </c>
      <c r="R642" s="75">
        <v>15</v>
      </c>
      <c r="S642" s="6">
        <f t="shared" si="108"/>
        <v>0.15</v>
      </c>
    </row>
    <row r="643" spans="1:19" x14ac:dyDescent="0.25">
      <c r="A643" s="37" t="s">
        <v>131</v>
      </c>
      <c r="B643" s="6" t="s">
        <v>163</v>
      </c>
      <c r="C643" s="79">
        <v>26145</v>
      </c>
      <c r="D643" s="6">
        <f>(C643/12)*6</f>
        <v>13072.5</v>
      </c>
      <c r="E643" s="79">
        <v>2650</v>
      </c>
      <c r="F643" s="6">
        <f>SUM(E638:E643)</f>
        <v>7356.1</v>
      </c>
      <c r="G643" s="36" t="str">
        <f t="shared" ref="G643:G649" si="117">_xlfn.IFS(F643&gt;D643,"Farol Verde",F643&gt;=D643*0.85,"Farol Amarelo",F643&lt;D643*0.85,"Farol Vermelho","Verdadeiro",0)</f>
        <v>Farol Vermelho</v>
      </c>
      <c r="H643">
        <f t="shared" si="115"/>
        <v>5716.4</v>
      </c>
      <c r="I643" s="6">
        <f t="shared" si="116"/>
        <v>6</v>
      </c>
      <c r="J643" s="75">
        <v>17</v>
      </c>
      <c r="K643" s="75">
        <v>3</v>
      </c>
      <c r="L643" s="6">
        <f>$L638+L642</f>
        <v>8.5</v>
      </c>
      <c r="M643" s="6">
        <f t="shared" si="114"/>
        <v>13</v>
      </c>
      <c r="N643" s="78">
        <v>100</v>
      </c>
      <c r="O643">
        <f t="shared" ref="O643:O649" si="118">P643/N643</f>
        <v>0.5</v>
      </c>
      <c r="P643" s="78">
        <v>50</v>
      </c>
      <c r="Q643">
        <f t="shared" ref="Q643:Q649" si="119">R643/P643</f>
        <v>0.3</v>
      </c>
      <c r="R643" s="75">
        <v>15</v>
      </c>
      <c r="S643" s="6">
        <f t="shared" ref="S643:S649" si="120">R643/N643</f>
        <v>0.15</v>
      </c>
    </row>
    <row r="644" spans="1:19" x14ac:dyDescent="0.25">
      <c r="A644" s="37" t="s">
        <v>131</v>
      </c>
      <c r="B644" s="6" t="s">
        <v>164</v>
      </c>
      <c r="C644" s="79">
        <v>26145</v>
      </c>
      <c r="D644" s="6">
        <f>(C644/12)*7</f>
        <v>15251.25</v>
      </c>
      <c r="E644" s="79">
        <v>100</v>
      </c>
      <c r="F644" s="6">
        <f>SUM(E638:E644)</f>
        <v>7456.1</v>
      </c>
      <c r="G644" s="36" t="str">
        <f t="shared" si="117"/>
        <v>Farol Vermelho</v>
      </c>
      <c r="H644">
        <f t="shared" si="115"/>
        <v>7795.15</v>
      </c>
      <c r="I644" s="6">
        <f t="shared" si="116"/>
        <v>7</v>
      </c>
      <c r="J644" s="77">
        <v>17</v>
      </c>
      <c r="K644" s="77">
        <v>1</v>
      </c>
      <c r="L644" s="6">
        <f>$L638+L643</f>
        <v>9.9166666666666661</v>
      </c>
      <c r="M644" s="6">
        <f t="shared" si="114"/>
        <v>14</v>
      </c>
      <c r="N644" s="78">
        <v>100</v>
      </c>
      <c r="O644">
        <f t="shared" si="118"/>
        <v>0.5</v>
      </c>
      <c r="P644" s="78">
        <v>50</v>
      </c>
      <c r="Q644">
        <f t="shared" si="119"/>
        <v>0.3</v>
      </c>
      <c r="R644" s="75">
        <v>15</v>
      </c>
      <c r="S644" s="6">
        <f t="shared" si="120"/>
        <v>0.15</v>
      </c>
    </row>
    <row r="645" spans="1:19" x14ac:dyDescent="0.25">
      <c r="A645" s="37" t="s">
        <v>131</v>
      </c>
      <c r="B645" s="6" t="s">
        <v>165</v>
      </c>
      <c r="C645" s="79">
        <v>26145</v>
      </c>
      <c r="D645" s="6">
        <f>(C645/12)*8</f>
        <v>17430</v>
      </c>
      <c r="E645" s="79">
        <v>1623.47</v>
      </c>
      <c r="F645" s="6">
        <f>SUM(E638:E645)</f>
        <v>9079.57</v>
      </c>
      <c r="G645" s="36" t="str">
        <f t="shared" si="117"/>
        <v>Farol Vermelho</v>
      </c>
      <c r="H645">
        <f t="shared" si="115"/>
        <v>8350.43</v>
      </c>
      <c r="I645" s="6">
        <f t="shared" si="116"/>
        <v>8</v>
      </c>
      <c r="J645" s="75">
        <v>17</v>
      </c>
      <c r="K645" s="75">
        <v>1</v>
      </c>
      <c r="L645" s="6">
        <f>L638+L644</f>
        <v>11.333333333333332</v>
      </c>
      <c r="M645" s="6">
        <f t="shared" si="114"/>
        <v>15</v>
      </c>
      <c r="N645" s="78">
        <v>100</v>
      </c>
      <c r="O645">
        <f t="shared" si="118"/>
        <v>0.5</v>
      </c>
      <c r="P645" s="78">
        <v>50</v>
      </c>
      <c r="Q645">
        <f t="shared" si="119"/>
        <v>0.3</v>
      </c>
      <c r="R645" s="75">
        <v>15</v>
      </c>
      <c r="S645" s="6">
        <f t="shared" si="120"/>
        <v>0.15</v>
      </c>
    </row>
    <row r="646" spans="1:19" x14ac:dyDescent="0.25">
      <c r="A646" s="37" t="s">
        <v>131</v>
      </c>
      <c r="B646" s="6" t="s">
        <v>166</v>
      </c>
      <c r="C646" s="79">
        <v>26145</v>
      </c>
      <c r="D646" s="6">
        <f>(C646/12)*9</f>
        <v>19608.75</v>
      </c>
      <c r="E646" s="79">
        <v>90</v>
      </c>
      <c r="F646" s="6">
        <f>SUM(E638:E646)</f>
        <v>9169.57</v>
      </c>
      <c r="G646" s="36" t="str">
        <f t="shared" si="117"/>
        <v>Farol Vermelho</v>
      </c>
      <c r="H646">
        <f t="shared" si="115"/>
        <v>10439.18</v>
      </c>
      <c r="I646" s="6">
        <f t="shared" si="116"/>
        <v>9</v>
      </c>
      <c r="J646" s="77">
        <v>17</v>
      </c>
      <c r="K646" s="77">
        <v>1</v>
      </c>
      <c r="L646" s="6">
        <f>$L638+L645</f>
        <v>12.749999999999998</v>
      </c>
      <c r="M646" s="6">
        <f t="shared" si="114"/>
        <v>16</v>
      </c>
      <c r="N646" s="78">
        <v>100</v>
      </c>
      <c r="O646">
        <f t="shared" si="118"/>
        <v>0.5</v>
      </c>
      <c r="P646" s="78">
        <v>50</v>
      </c>
      <c r="Q646">
        <f t="shared" si="119"/>
        <v>0.3</v>
      </c>
      <c r="R646" s="75">
        <v>15</v>
      </c>
      <c r="S646" s="6">
        <f t="shared" si="120"/>
        <v>0.15</v>
      </c>
    </row>
    <row r="647" spans="1:19" x14ac:dyDescent="0.25">
      <c r="A647" s="37" t="s">
        <v>131</v>
      </c>
      <c r="B647" s="6" t="s">
        <v>167</v>
      </c>
      <c r="C647" s="79">
        <v>26145</v>
      </c>
      <c r="D647" s="6">
        <f>(C647/12)*10</f>
        <v>21787.5</v>
      </c>
      <c r="E647" s="79">
        <v>549.02</v>
      </c>
      <c r="F647" s="6">
        <f>SUM(E638:E647)</f>
        <v>9718.59</v>
      </c>
      <c r="G647" s="36" t="str">
        <f t="shared" si="117"/>
        <v>Farol Vermelho</v>
      </c>
      <c r="H647">
        <f t="shared" si="115"/>
        <v>12068.91</v>
      </c>
      <c r="I647" s="6">
        <f t="shared" si="116"/>
        <v>10</v>
      </c>
      <c r="J647" s="75">
        <v>17</v>
      </c>
      <c r="K647" s="75">
        <v>2</v>
      </c>
      <c r="L647" s="6">
        <f>$L638+L646</f>
        <v>14.166666666666664</v>
      </c>
      <c r="M647" s="6">
        <f t="shared" si="114"/>
        <v>18</v>
      </c>
      <c r="N647" s="78">
        <v>100</v>
      </c>
      <c r="O647">
        <f t="shared" si="118"/>
        <v>0.5</v>
      </c>
      <c r="P647" s="78">
        <v>50</v>
      </c>
      <c r="Q647">
        <f t="shared" si="119"/>
        <v>0.3</v>
      </c>
      <c r="R647" s="75">
        <v>15</v>
      </c>
      <c r="S647" s="6">
        <f t="shared" si="120"/>
        <v>0.15</v>
      </c>
    </row>
    <row r="648" spans="1:19" x14ac:dyDescent="0.25">
      <c r="A648" s="37" t="s">
        <v>131</v>
      </c>
      <c r="B648" s="6" t="s">
        <v>168</v>
      </c>
      <c r="C648" s="79">
        <v>26145</v>
      </c>
      <c r="D648" s="6">
        <f>(C648/12)*11</f>
        <v>23966.25</v>
      </c>
      <c r="E648" s="79">
        <v>0</v>
      </c>
      <c r="F648" s="6">
        <f>SUM(E638:E648)</f>
        <v>9718.59</v>
      </c>
      <c r="G648" s="36" t="str">
        <f t="shared" si="117"/>
        <v>Farol Vermelho</v>
      </c>
      <c r="H648">
        <f t="shared" si="115"/>
        <v>14247.66</v>
      </c>
      <c r="I648" s="6">
        <f t="shared" si="116"/>
        <v>11</v>
      </c>
      <c r="J648" s="77">
        <v>17</v>
      </c>
      <c r="K648" s="77">
        <v>0</v>
      </c>
      <c r="L648" s="6">
        <f>L638+L647</f>
        <v>15.58333333333333</v>
      </c>
      <c r="M648" s="6">
        <f t="shared" si="114"/>
        <v>18</v>
      </c>
      <c r="N648" s="78">
        <v>100</v>
      </c>
      <c r="O648">
        <f t="shared" si="118"/>
        <v>0.5</v>
      </c>
      <c r="P648" s="78">
        <v>50</v>
      </c>
      <c r="Q648">
        <f t="shared" si="119"/>
        <v>0.3</v>
      </c>
      <c r="R648" s="75">
        <v>15</v>
      </c>
      <c r="S648" s="6">
        <f t="shared" si="120"/>
        <v>0.15</v>
      </c>
    </row>
    <row r="649" spans="1:19" x14ac:dyDescent="0.25">
      <c r="A649" s="37" t="s">
        <v>131</v>
      </c>
      <c r="B649" s="6" t="s">
        <v>169</v>
      </c>
      <c r="C649" s="79">
        <v>26145</v>
      </c>
      <c r="D649" s="6">
        <f>(C649/12)*12</f>
        <v>26145</v>
      </c>
      <c r="E649" s="79">
        <v>0</v>
      </c>
      <c r="F649" s="6">
        <f>SUM(E638:E649)</f>
        <v>9718.59</v>
      </c>
      <c r="G649" s="36" t="str">
        <f t="shared" si="117"/>
        <v>Farol Vermelho</v>
      </c>
      <c r="H649">
        <f>IF(D649-F649&lt;0,0,D649-F649)</f>
        <v>16426.41</v>
      </c>
      <c r="I649" s="6">
        <f t="shared" si="116"/>
        <v>12</v>
      </c>
      <c r="J649" s="75">
        <v>17</v>
      </c>
      <c r="K649" s="75">
        <v>0</v>
      </c>
      <c r="L649" s="6">
        <f>$L638+L648</f>
        <v>16.999999999999996</v>
      </c>
      <c r="M649" s="6">
        <f t="shared" si="114"/>
        <v>18</v>
      </c>
      <c r="N649" s="78">
        <v>100</v>
      </c>
      <c r="O649">
        <f t="shared" si="118"/>
        <v>0.5</v>
      </c>
      <c r="P649" s="78">
        <v>50</v>
      </c>
      <c r="Q649">
        <f t="shared" si="119"/>
        <v>0.3</v>
      </c>
      <c r="R649" s="75">
        <v>15</v>
      </c>
      <c r="S649" s="6">
        <f t="shared" si="120"/>
        <v>0.15</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09D-EC7C-4AB1-80A5-A51ED5158650}">
  <dimension ref="A1:AE59"/>
  <sheetViews>
    <sheetView showGridLines="0" workbookViewId="0">
      <pane xSplit="1" ySplit="1" topLeftCell="B31" activePane="bottomRight" state="frozen"/>
      <selection pane="topRight" activeCell="B1" sqref="B1"/>
      <selection pane="bottomLeft" activeCell="A2" sqref="A2"/>
      <selection pane="bottomRight" activeCell="B51" sqref="B51"/>
    </sheetView>
  </sheetViews>
  <sheetFormatPr defaultRowHeight="13.8" x14ac:dyDescent="0.25"/>
  <cols>
    <col min="1" max="1" width="46.19921875" customWidth="1"/>
    <col min="2" max="2" width="7.59765625" bestFit="1" customWidth="1"/>
    <col min="3" max="3" width="20.796875" bestFit="1" customWidth="1"/>
    <col min="4" max="4" width="19.59765625" bestFit="1" customWidth="1"/>
    <col min="5" max="5" width="65.59765625" bestFit="1" customWidth="1"/>
    <col min="6" max="6" width="255.69921875" bestFit="1" customWidth="1"/>
    <col min="7" max="7" width="9.09765625" bestFit="1" customWidth="1"/>
    <col min="8" max="8" width="12.796875" bestFit="1" customWidth="1"/>
    <col min="9" max="9" width="17.8984375" bestFit="1" customWidth="1"/>
    <col min="10" max="10" width="34.296875" bestFit="1" customWidth="1"/>
    <col min="11" max="11" width="8.59765625" bestFit="1" customWidth="1"/>
    <col min="12" max="12" width="13.59765625" bestFit="1" customWidth="1"/>
    <col min="13" max="13" width="30" bestFit="1" customWidth="1"/>
    <col min="14" max="14" width="33.59765625" bestFit="1" customWidth="1"/>
    <col min="15" max="15" width="35.8984375" bestFit="1" customWidth="1"/>
    <col min="16" max="16" width="34.69921875" bestFit="1" customWidth="1"/>
    <col min="17" max="17" width="32.8984375" bestFit="1" customWidth="1"/>
    <col min="18" max="18" width="32.8984375" customWidth="1"/>
    <col min="19" max="19" width="13.59765625" bestFit="1" customWidth="1"/>
    <col min="20" max="20" width="11.296875" bestFit="1" customWidth="1"/>
    <col min="21" max="21" width="13" bestFit="1" customWidth="1"/>
    <col min="22" max="22" width="19.3984375" style="2" bestFit="1" customWidth="1"/>
    <col min="23" max="23" width="21.796875" bestFit="1" customWidth="1"/>
    <col min="24" max="24" width="20.8984375" bestFit="1" customWidth="1"/>
    <col min="25" max="25" width="21" bestFit="1" customWidth="1"/>
    <col min="26" max="26" width="19.296875" bestFit="1" customWidth="1"/>
    <col min="27" max="27" width="26" bestFit="1" customWidth="1"/>
    <col min="28" max="28" width="33.5" bestFit="1" customWidth="1"/>
    <col min="29" max="29" width="45.09765625" bestFit="1" customWidth="1"/>
    <col min="30" max="30" width="25.59765625" bestFit="1" customWidth="1"/>
    <col min="31" max="31" width="66.796875" bestFit="1" customWidth="1"/>
  </cols>
  <sheetData>
    <row r="1" spans="1:31" ht="14.4" x14ac:dyDescent="0.3">
      <c r="A1" s="1" t="s">
        <v>0</v>
      </c>
      <c r="B1" s="1" t="s">
        <v>183</v>
      </c>
      <c r="C1" s="1" t="s">
        <v>184</v>
      </c>
      <c r="D1" s="1" t="s">
        <v>23</v>
      </c>
      <c r="E1" s="1" t="s">
        <v>24</v>
      </c>
      <c r="F1" s="1" t="s">
        <v>185</v>
      </c>
      <c r="G1" s="1" t="s">
        <v>25</v>
      </c>
      <c r="H1" s="1" t="s">
        <v>4</v>
      </c>
      <c r="I1" s="1" t="s">
        <v>186</v>
      </c>
      <c r="J1" s="1" t="s">
        <v>22</v>
      </c>
      <c r="K1" s="1" t="s">
        <v>5</v>
      </c>
      <c r="L1" s="1" t="s">
        <v>187</v>
      </c>
      <c r="M1" s="1" t="s">
        <v>21</v>
      </c>
      <c r="N1" s="1" t="s">
        <v>296</v>
      </c>
      <c r="O1" s="1" t="s">
        <v>297</v>
      </c>
      <c r="P1" s="1" t="s">
        <v>188</v>
      </c>
      <c r="Q1" s="1" t="s">
        <v>189</v>
      </c>
      <c r="R1" s="1" t="s">
        <v>292</v>
      </c>
      <c r="S1" s="1" t="s">
        <v>293</v>
      </c>
      <c r="T1" s="1" t="s">
        <v>190</v>
      </c>
      <c r="U1" s="1" t="s">
        <v>191</v>
      </c>
      <c r="V1" s="1" t="s">
        <v>294</v>
      </c>
      <c r="W1" s="1" t="s">
        <v>295</v>
      </c>
      <c r="X1" s="1" t="s">
        <v>192</v>
      </c>
      <c r="Y1" s="1" t="s">
        <v>9</v>
      </c>
      <c r="Z1" s="1" t="s">
        <v>10</v>
      </c>
      <c r="AA1" s="1" t="s">
        <v>197</v>
      </c>
      <c r="AB1" s="1" t="s">
        <v>198</v>
      </c>
      <c r="AC1" s="1" t="s">
        <v>11</v>
      </c>
      <c r="AD1" s="1" t="s">
        <v>199</v>
      </c>
      <c r="AE1" s="1" t="s">
        <v>291</v>
      </c>
    </row>
    <row r="2" spans="1:31" x14ac:dyDescent="0.25">
      <c r="A2" t="s">
        <v>138</v>
      </c>
      <c r="B2" s="78">
        <v>1</v>
      </c>
      <c r="C2" t="s">
        <v>200</v>
      </c>
      <c r="D2" t="s">
        <v>27</v>
      </c>
      <c r="E2" t="s">
        <v>91</v>
      </c>
      <c r="F2" t="s">
        <v>52</v>
      </c>
      <c r="G2" s="78">
        <v>0</v>
      </c>
      <c r="H2" s="78">
        <v>0</v>
      </c>
      <c r="I2" s="78">
        <v>25000</v>
      </c>
      <c r="J2" s="80">
        <f>IF(I2=0,0,H2/I2)</f>
        <v>0</v>
      </c>
      <c r="K2" s="78">
        <v>0</v>
      </c>
      <c r="L2" s="78">
        <v>35</v>
      </c>
      <c r="M2">
        <f>IF(L2=0,0,K2/L2)</f>
        <v>0</v>
      </c>
      <c r="N2" s="78">
        <v>0</v>
      </c>
      <c r="O2" s="81">
        <v>0</v>
      </c>
      <c r="P2" s="81">
        <v>27</v>
      </c>
      <c r="Q2">
        <f>IF(N2=0,0,(O2/N2)-1)</f>
        <v>0</v>
      </c>
      <c r="R2" s="78">
        <v>0</v>
      </c>
      <c r="S2" s="78">
        <v>0</v>
      </c>
      <c r="T2" s="78">
        <v>1</v>
      </c>
      <c r="U2">
        <f>IF(S2=0,0,(T2/S2)-1)</f>
        <v>0</v>
      </c>
      <c r="V2" s="82">
        <v>0</v>
      </c>
      <c r="W2" s="2">
        <f>IF(K2=0,0,H2/K2)</f>
        <v>0</v>
      </c>
      <c r="X2">
        <f>IF(V2=0,0,(W2/V2)-1)</f>
        <v>0</v>
      </c>
      <c r="Y2" s="78">
        <v>0</v>
      </c>
      <c r="Z2" s="78">
        <v>0</v>
      </c>
      <c r="AA2" s="78">
        <v>0</v>
      </c>
      <c r="AB2" s="78">
        <v>1</v>
      </c>
      <c r="AC2" s="78">
        <v>0</v>
      </c>
      <c r="AD2" s="78">
        <v>0</v>
      </c>
    </row>
    <row r="3" spans="1:31" x14ac:dyDescent="0.25">
      <c r="A3" t="s">
        <v>77</v>
      </c>
      <c r="B3" s="78">
        <v>1</v>
      </c>
      <c r="C3" t="s">
        <v>201</v>
      </c>
      <c r="D3" t="s">
        <v>78</v>
      </c>
      <c r="E3" t="s">
        <v>26</v>
      </c>
      <c r="F3" t="s">
        <v>79</v>
      </c>
      <c r="G3" s="78">
        <v>0</v>
      </c>
      <c r="H3" s="78">
        <v>0</v>
      </c>
      <c r="I3" s="78">
        <v>0</v>
      </c>
      <c r="J3" s="80">
        <f t="shared" ref="J3:J59" si="0">IF(I3=0,0,H3/I3)</f>
        <v>0</v>
      </c>
      <c r="K3" s="78">
        <v>0</v>
      </c>
      <c r="L3" s="78">
        <v>0</v>
      </c>
      <c r="M3">
        <f t="shared" ref="M3:M59" si="1">IF(L3=0,0,K3/L3)</f>
        <v>0</v>
      </c>
      <c r="N3" s="78">
        <v>0</v>
      </c>
      <c r="O3" s="81">
        <v>0</v>
      </c>
      <c r="P3" s="81">
        <v>0</v>
      </c>
      <c r="Q3">
        <f>IF(N3=0,0,(O3/N3)-1)</f>
        <v>0</v>
      </c>
      <c r="R3" s="78">
        <v>0</v>
      </c>
      <c r="S3" s="78">
        <v>0</v>
      </c>
      <c r="T3" s="78">
        <v>0</v>
      </c>
      <c r="U3">
        <f>IF(S3=0,0,(T3/S3)-1)</f>
        <v>0</v>
      </c>
      <c r="V3" s="82">
        <v>0</v>
      </c>
      <c r="W3" s="2">
        <f>IF(K3=0,0,H3/K3)</f>
        <v>0</v>
      </c>
      <c r="X3">
        <f t="shared" ref="X3:X59" si="2">IF(V3=0,0,(W3/V3)-1)</f>
        <v>0</v>
      </c>
      <c r="Y3" s="78">
        <v>0</v>
      </c>
      <c r="Z3" s="78">
        <v>0</v>
      </c>
      <c r="AA3" s="78">
        <v>0</v>
      </c>
      <c r="AB3" s="78">
        <v>0</v>
      </c>
      <c r="AC3" s="78">
        <v>0</v>
      </c>
      <c r="AD3" s="78">
        <v>0</v>
      </c>
    </row>
    <row r="4" spans="1:31" x14ac:dyDescent="0.25">
      <c r="A4" t="s">
        <v>87</v>
      </c>
      <c r="B4" s="78">
        <v>2</v>
      </c>
      <c r="C4" t="s">
        <v>180</v>
      </c>
      <c r="D4" t="s">
        <v>88</v>
      </c>
      <c r="E4" t="s">
        <v>33</v>
      </c>
      <c r="F4" t="s">
        <v>31</v>
      </c>
      <c r="G4" s="78">
        <v>22</v>
      </c>
      <c r="H4" s="78">
        <v>15396</v>
      </c>
      <c r="I4" s="78">
        <v>15000</v>
      </c>
      <c r="J4" s="80">
        <f t="shared" si="0"/>
        <v>1.0264</v>
      </c>
      <c r="K4" s="78">
        <v>17</v>
      </c>
      <c r="L4" s="78">
        <v>14</v>
      </c>
      <c r="M4">
        <f t="shared" si="1"/>
        <v>1.2142857142857142</v>
      </c>
      <c r="N4" s="78">
        <v>0</v>
      </c>
      <c r="O4" s="81">
        <v>100</v>
      </c>
      <c r="P4" s="81">
        <v>75</v>
      </c>
      <c r="Q4">
        <f>IF(N4=0,0,(O4/N4)-1)</f>
        <v>0</v>
      </c>
      <c r="R4" s="78">
        <v>0</v>
      </c>
      <c r="S4" s="78">
        <v>100</v>
      </c>
      <c r="T4" s="78">
        <v>50</v>
      </c>
      <c r="U4">
        <f>IF(S4=0,0,(T4/S4)-1)</f>
        <v>-0.5</v>
      </c>
      <c r="V4" s="82">
        <v>0</v>
      </c>
      <c r="W4" s="2">
        <f>IF(K4=0,0,H4/K4)</f>
        <v>905.64705882352939</v>
      </c>
      <c r="X4">
        <f t="shared" si="2"/>
        <v>0</v>
      </c>
      <c r="Y4" s="78">
        <v>16</v>
      </c>
      <c r="Z4" s="78">
        <v>16</v>
      </c>
      <c r="AA4" s="78">
        <v>3</v>
      </c>
      <c r="AB4" s="78">
        <v>2</v>
      </c>
      <c r="AC4" s="78">
        <v>3</v>
      </c>
      <c r="AD4" s="78">
        <v>1</v>
      </c>
      <c r="AE4" s="49" t="s">
        <v>217</v>
      </c>
    </row>
    <row r="5" spans="1:31" x14ac:dyDescent="0.25">
      <c r="A5" t="s">
        <v>98</v>
      </c>
      <c r="B5" s="78">
        <v>1</v>
      </c>
      <c r="C5" t="s">
        <v>201</v>
      </c>
      <c r="D5" t="s">
        <v>27</v>
      </c>
      <c r="E5" t="s">
        <v>40</v>
      </c>
      <c r="F5" t="s">
        <v>30</v>
      </c>
      <c r="G5" s="78">
        <v>11</v>
      </c>
      <c r="H5" s="78">
        <v>0</v>
      </c>
      <c r="I5" s="78">
        <v>0</v>
      </c>
      <c r="J5" s="80">
        <f t="shared" si="0"/>
        <v>0</v>
      </c>
      <c r="K5" s="78">
        <v>0</v>
      </c>
      <c r="L5" s="78">
        <v>0</v>
      </c>
      <c r="M5">
        <f t="shared" si="1"/>
        <v>0</v>
      </c>
      <c r="N5" s="78">
        <v>15</v>
      </c>
      <c r="O5" s="81">
        <v>0</v>
      </c>
      <c r="P5" s="81">
        <v>0</v>
      </c>
      <c r="Q5">
        <f>IF(N5=0,0,(O5/N5)-1)</f>
        <v>-1</v>
      </c>
      <c r="R5" s="78">
        <v>0</v>
      </c>
      <c r="S5" s="78">
        <v>0</v>
      </c>
      <c r="T5" s="78">
        <v>0</v>
      </c>
      <c r="U5">
        <f>IF(S5=0,0,(T5/S5)-1)</f>
        <v>0</v>
      </c>
      <c r="V5" s="82">
        <v>0</v>
      </c>
      <c r="W5" s="2">
        <f>IF(K5=0,0,H5/K5)</f>
        <v>0</v>
      </c>
      <c r="X5">
        <f t="shared" si="2"/>
        <v>0</v>
      </c>
      <c r="Y5" s="78">
        <v>0</v>
      </c>
      <c r="Z5" s="78">
        <v>0</v>
      </c>
      <c r="AA5" s="78">
        <v>0</v>
      </c>
      <c r="AB5" s="78">
        <v>0</v>
      </c>
      <c r="AC5" s="78">
        <v>0</v>
      </c>
      <c r="AD5" s="78">
        <v>0</v>
      </c>
      <c r="AE5" s="49" t="s">
        <v>270</v>
      </c>
    </row>
    <row r="6" spans="1:31" x14ac:dyDescent="0.25">
      <c r="A6" t="s">
        <v>56</v>
      </c>
      <c r="B6" s="78">
        <v>3</v>
      </c>
      <c r="C6" t="s">
        <v>180</v>
      </c>
      <c r="D6" t="s">
        <v>44</v>
      </c>
      <c r="E6" t="s">
        <v>45</v>
      </c>
      <c r="F6" t="s">
        <v>36</v>
      </c>
      <c r="G6" s="78">
        <v>24</v>
      </c>
      <c r="H6" s="78">
        <v>29358.89</v>
      </c>
      <c r="I6" s="78">
        <v>28902.95</v>
      </c>
      <c r="J6" s="80">
        <f t="shared" si="0"/>
        <v>1.015774860351625</v>
      </c>
      <c r="K6" s="78">
        <v>20</v>
      </c>
      <c r="L6" s="78">
        <v>12</v>
      </c>
      <c r="M6">
        <f t="shared" si="1"/>
        <v>1.6666666666666667</v>
      </c>
      <c r="N6" s="78">
        <v>0</v>
      </c>
      <c r="O6" s="81">
        <v>83</v>
      </c>
      <c r="P6" s="81">
        <v>35</v>
      </c>
      <c r="Q6">
        <f>IF(N6=0,0,(O6/N6)-1)</f>
        <v>0</v>
      </c>
      <c r="R6" s="78">
        <v>0</v>
      </c>
      <c r="S6" s="78">
        <v>100</v>
      </c>
      <c r="T6" s="78">
        <v>1</v>
      </c>
      <c r="U6">
        <f>IF(S6=0,0,(T6/S6)-1)</f>
        <v>-0.99</v>
      </c>
      <c r="V6" s="82">
        <v>408.26</v>
      </c>
      <c r="W6" s="2">
        <f>IF(K6=0,0,H6/K6)</f>
        <v>1467.9445000000001</v>
      </c>
      <c r="X6">
        <f t="shared" si="2"/>
        <v>2.595611864987998</v>
      </c>
      <c r="Y6" s="78">
        <v>12</v>
      </c>
      <c r="Z6" s="78">
        <v>14</v>
      </c>
      <c r="AA6" s="78">
        <v>2</v>
      </c>
      <c r="AB6" s="78">
        <v>2</v>
      </c>
      <c r="AC6" s="78">
        <v>2</v>
      </c>
      <c r="AD6" s="78">
        <v>1</v>
      </c>
    </row>
    <row r="7" spans="1:31" x14ac:dyDescent="0.25">
      <c r="A7" t="s">
        <v>149</v>
      </c>
      <c r="B7" s="78">
        <v>3</v>
      </c>
      <c r="C7" t="s">
        <v>201</v>
      </c>
      <c r="D7" t="s">
        <v>44</v>
      </c>
      <c r="E7" t="s">
        <v>45</v>
      </c>
      <c r="F7" t="s">
        <v>31</v>
      </c>
      <c r="G7" s="78">
        <v>24</v>
      </c>
      <c r="H7" s="78">
        <v>66896</v>
      </c>
      <c r="I7" s="78">
        <v>125000</v>
      </c>
      <c r="J7" s="80">
        <f t="shared" si="0"/>
        <v>0.53516799999999998</v>
      </c>
      <c r="K7" s="78">
        <v>28</v>
      </c>
      <c r="L7" s="78">
        <v>30</v>
      </c>
      <c r="M7">
        <f t="shared" si="1"/>
        <v>0.93333333333333335</v>
      </c>
      <c r="N7" s="78">
        <v>74</v>
      </c>
      <c r="O7" s="81">
        <v>95</v>
      </c>
      <c r="P7" s="81">
        <v>75</v>
      </c>
      <c r="Q7">
        <f>IF(N7=0,0,(O7/N7)-1)</f>
        <v>0.28378378378378377</v>
      </c>
      <c r="R7" s="78">
        <v>1</v>
      </c>
      <c r="S7" s="78">
        <v>55</v>
      </c>
      <c r="T7" s="78">
        <v>51</v>
      </c>
      <c r="U7">
        <f>IF(S7=0,0,(T7/S7)-1)</f>
        <v>-7.2727272727272751E-2</v>
      </c>
      <c r="V7" s="82">
        <v>1474.9230769230769</v>
      </c>
      <c r="W7" s="2">
        <f>IF(K7=0,0,H7/K7)</f>
        <v>2389.1428571428573</v>
      </c>
      <c r="X7">
        <f t="shared" si="2"/>
        <v>0.61984234603406407</v>
      </c>
      <c r="Y7" s="78">
        <v>18</v>
      </c>
      <c r="Z7" s="78">
        <v>18</v>
      </c>
      <c r="AA7" s="78">
        <v>1</v>
      </c>
      <c r="AB7" s="78">
        <v>4</v>
      </c>
      <c r="AC7" s="78">
        <v>1</v>
      </c>
      <c r="AD7" s="78">
        <v>0</v>
      </c>
      <c r="AE7" s="49" t="s">
        <v>218</v>
      </c>
    </row>
    <row r="8" spans="1:31" x14ac:dyDescent="0.25">
      <c r="A8" t="s">
        <v>66</v>
      </c>
      <c r="B8" s="78">
        <v>2</v>
      </c>
      <c r="C8" t="s">
        <v>182</v>
      </c>
      <c r="D8" t="s">
        <v>88</v>
      </c>
      <c r="E8" t="s">
        <v>33</v>
      </c>
      <c r="F8" t="s">
        <v>35</v>
      </c>
      <c r="G8" s="78">
        <v>14</v>
      </c>
      <c r="H8" s="78">
        <v>8800</v>
      </c>
      <c r="I8" s="78">
        <v>0</v>
      </c>
      <c r="J8" s="80">
        <f t="shared" si="0"/>
        <v>0</v>
      </c>
      <c r="K8" s="78">
        <v>6</v>
      </c>
      <c r="L8" s="78">
        <v>0</v>
      </c>
      <c r="M8">
        <f t="shared" si="1"/>
        <v>0</v>
      </c>
      <c r="N8" s="78">
        <v>87</v>
      </c>
      <c r="O8" s="81">
        <v>85</v>
      </c>
      <c r="P8" s="81">
        <v>0</v>
      </c>
      <c r="Q8">
        <f>IF(N8=0,0,(O8/N8)-1)</f>
        <v>-2.2988505747126409E-2</v>
      </c>
      <c r="R8" s="78">
        <v>63</v>
      </c>
      <c r="S8" s="78">
        <v>100</v>
      </c>
      <c r="T8" s="78">
        <v>0</v>
      </c>
      <c r="U8">
        <f>IF(S8=0,0,(T8/S8)-1)</f>
        <v>-1</v>
      </c>
      <c r="V8" s="82">
        <v>0</v>
      </c>
      <c r="W8" s="2">
        <f>IF(K8=0,0,H8/K8)</f>
        <v>1466.6666666666667</v>
      </c>
      <c r="X8">
        <f t="shared" si="2"/>
        <v>0</v>
      </c>
      <c r="Y8" s="78">
        <v>3</v>
      </c>
      <c r="Z8" s="78">
        <v>3</v>
      </c>
      <c r="AA8" s="78">
        <v>0</v>
      </c>
      <c r="AB8" s="78">
        <v>0</v>
      </c>
      <c r="AC8" s="78">
        <v>0</v>
      </c>
      <c r="AD8" s="78">
        <v>0</v>
      </c>
      <c r="AE8" s="49" t="s">
        <v>219</v>
      </c>
    </row>
    <row r="9" spans="1:31" x14ac:dyDescent="0.25">
      <c r="A9" t="s">
        <v>42</v>
      </c>
      <c r="B9" s="78">
        <v>4</v>
      </c>
      <c r="C9" t="s">
        <v>201</v>
      </c>
      <c r="D9" t="s">
        <v>44</v>
      </c>
      <c r="E9" t="s">
        <v>45</v>
      </c>
      <c r="F9" t="s">
        <v>116</v>
      </c>
      <c r="G9" s="78">
        <v>38</v>
      </c>
      <c r="H9" s="78">
        <v>70139</v>
      </c>
      <c r="I9" s="78">
        <v>70000</v>
      </c>
      <c r="J9" s="80">
        <f t="shared" si="0"/>
        <v>1.0019857142857143</v>
      </c>
      <c r="K9" s="78">
        <v>1229</v>
      </c>
      <c r="L9" s="78">
        <v>629</v>
      </c>
      <c r="M9">
        <f t="shared" si="1"/>
        <v>1.9538950715421304</v>
      </c>
      <c r="N9" s="78">
        <v>85</v>
      </c>
      <c r="O9" s="81">
        <v>100</v>
      </c>
      <c r="P9" s="81">
        <v>75</v>
      </c>
      <c r="Q9">
        <f>IF(N9=0,0,(O9/N9)-1)</f>
        <v>0.17647058823529416</v>
      </c>
      <c r="R9" s="78">
        <v>80</v>
      </c>
      <c r="S9" s="78">
        <v>95</v>
      </c>
      <c r="T9" s="78">
        <v>50</v>
      </c>
      <c r="U9">
        <f>IF(S9=0,0,(T9/S9)-1)</f>
        <v>-0.47368421052631582</v>
      </c>
      <c r="V9" s="82">
        <v>38.607346421785941</v>
      </c>
      <c r="W9" s="2">
        <f>IF(K9=0,0,H9/K9)</f>
        <v>57.069975589910499</v>
      </c>
      <c r="X9">
        <f t="shared" si="2"/>
        <v>0.47821544030558361</v>
      </c>
      <c r="Y9" s="78">
        <v>98</v>
      </c>
      <c r="Z9" s="78">
        <v>1224</v>
      </c>
      <c r="AA9" s="78">
        <v>1</v>
      </c>
      <c r="AB9" s="78">
        <v>1</v>
      </c>
      <c r="AC9" s="78">
        <v>1</v>
      </c>
      <c r="AD9" s="78">
        <v>0</v>
      </c>
      <c r="AE9" s="49" t="s">
        <v>220</v>
      </c>
    </row>
    <row r="10" spans="1:31" x14ac:dyDescent="0.25">
      <c r="A10" t="s">
        <v>63</v>
      </c>
      <c r="B10" s="78">
        <v>1</v>
      </c>
      <c r="C10" t="s">
        <v>180</v>
      </c>
      <c r="D10" t="s">
        <v>27</v>
      </c>
      <c r="E10" t="s">
        <v>33</v>
      </c>
      <c r="F10" t="s">
        <v>64</v>
      </c>
      <c r="G10" s="78">
        <v>16</v>
      </c>
      <c r="H10" s="78">
        <v>1578.8</v>
      </c>
      <c r="I10" s="78">
        <v>0</v>
      </c>
      <c r="J10" s="80">
        <f t="shared" si="0"/>
        <v>0</v>
      </c>
      <c r="K10" s="78">
        <v>1</v>
      </c>
      <c r="L10" s="78">
        <v>0</v>
      </c>
      <c r="M10">
        <f t="shared" si="1"/>
        <v>0</v>
      </c>
      <c r="N10" s="78">
        <v>0</v>
      </c>
      <c r="O10" s="81">
        <v>18</v>
      </c>
      <c r="P10" s="81">
        <v>0</v>
      </c>
      <c r="Q10">
        <f>IF(N10=0,0,(O10/N10)-1)</f>
        <v>0</v>
      </c>
      <c r="R10" s="78">
        <v>0</v>
      </c>
      <c r="S10" s="78">
        <v>0</v>
      </c>
      <c r="T10" s="78">
        <v>0</v>
      </c>
      <c r="U10">
        <f>IF(S10=0,0,(T10/S10)-1)</f>
        <v>0</v>
      </c>
      <c r="V10" s="82">
        <v>0</v>
      </c>
      <c r="W10" s="2">
        <f>IF(K10=0,0,H10/K10)</f>
        <v>1578.8</v>
      </c>
      <c r="X10">
        <f t="shared" si="2"/>
        <v>0</v>
      </c>
      <c r="Y10" s="78">
        <v>1</v>
      </c>
      <c r="Z10" s="78">
        <v>1</v>
      </c>
      <c r="AA10" s="78">
        <v>1</v>
      </c>
      <c r="AB10" s="78">
        <v>0</v>
      </c>
      <c r="AC10" s="78">
        <v>1</v>
      </c>
      <c r="AD10" s="78">
        <v>0</v>
      </c>
    </row>
    <row r="11" spans="1:31" x14ac:dyDescent="0.25">
      <c r="A11" t="s">
        <v>120</v>
      </c>
      <c r="B11" s="78">
        <v>4</v>
      </c>
      <c r="C11" t="s">
        <v>180</v>
      </c>
      <c r="D11" t="s">
        <v>39</v>
      </c>
      <c r="E11" t="s">
        <v>40</v>
      </c>
      <c r="F11" t="s">
        <v>126</v>
      </c>
      <c r="G11" s="78">
        <v>33</v>
      </c>
      <c r="H11" s="78">
        <v>90324.6</v>
      </c>
      <c r="I11" s="78">
        <v>83119.850000000006</v>
      </c>
      <c r="J11" s="80">
        <f t="shared" si="0"/>
        <v>1.0866790544015659</v>
      </c>
      <c r="K11" s="78">
        <v>21</v>
      </c>
      <c r="L11" s="78">
        <v>17</v>
      </c>
      <c r="M11">
        <f t="shared" si="1"/>
        <v>1.2352941176470589</v>
      </c>
      <c r="N11" s="78">
        <v>74</v>
      </c>
      <c r="O11" s="81">
        <v>84</v>
      </c>
      <c r="P11" s="81">
        <v>75</v>
      </c>
      <c r="Q11">
        <f>IF(N11=0,0,(O11/N11)-1)</f>
        <v>0.13513513513513509</v>
      </c>
      <c r="R11" s="78">
        <v>1</v>
      </c>
      <c r="S11" s="78">
        <v>100</v>
      </c>
      <c r="T11" s="78">
        <v>5</v>
      </c>
      <c r="U11">
        <f>IF(S11=0,0,(T11/S11)-1)</f>
        <v>-0.95</v>
      </c>
      <c r="V11" s="82">
        <v>4104.6840000000002</v>
      </c>
      <c r="W11" s="2">
        <f>IF(K11=0,0,H11/K11)</f>
        <v>4301.1714285714288</v>
      </c>
      <c r="X11">
        <f t="shared" si="2"/>
        <v>4.786907556621367E-2</v>
      </c>
      <c r="Y11" s="78">
        <v>16</v>
      </c>
      <c r="Z11" s="78">
        <v>16</v>
      </c>
      <c r="AA11" s="78">
        <v>2</v>
      </c>
      <c r="AB11" s="78">
        <v>2</v>
      </c>
      <c r="AC11" s="78">
        <v>2</v>
      </c>
      <c r="AD11" s="78">
        <v>1</v>
      </c>
      <c r="AE11" s="49" t="s">
        <v>271</v>
      </c>
    </row>
    <row r="12" spans="1:31" x14ac:dyDescent="0.25">
      <c r="A12" t="s">
        <v>48</v>
      </c>
      <c r="B12" s="78">
        <v>3</v>
      </c>
      <c r="C12" t="s">
        <v>200</v>
      </c>
      <c r="D12" t="s">
        <v>39</v>
      </c>
      <c r="E12" t="s">
        <v>40</v>
      </c>
      <c r="F12" t="s">
        <v>101</v>
      </c>
      <c r="G12" s="78">
        <v>30</v>
      </c>
      <c r="H12" s="78">
        <v>40452</v>
      </c>
      <c r="I12" s="78">
        <v>39127.86</v>
      </c>
      <c r="J12" s="80">
        <f t="shared" si="0"/>
        <v>1.0338413600948275</v>
      </c>
      <c r="K12" s="78">
        <v>154</v>
      </c>
      <c r="L12" s="78">
        <v>85</v>
      </c>
      <c r="M12">
        <f t="shared" si="1"/>
        <v>1.8117647058823529</v>
      </c>
      <c r="N12" s="78">
        <v>0</v>
      </c>
      <c r="O12" s="81">
        <v>100</v>
      </c>
      <c r="P12" s="81">
        <v>75</v>
      </c>
      <c r="Q12">
        <f>IF(N12=0,0,(O12/N12)-1)</f>
        <v>0</v>
      </c>
      <c r="R12" s="78">
        <v>0</v>
      </c>
      <c r="S12" s="78">
        <v>85</v>
      </c>
      <c r="T12" s="78">
        <v>50</v>
      </c>
      <c r="U12">
        <f>IF(S12=0,0,(T12/S12)-1)</f>
        <v>-0.41176470588235292</v>
      </c>
      <c r="V12" s="82">
        <v>131.14751131221718</v>
      </c>
      <c r="W12" s="2">
        <f>IF(K12=0,0,H12/K12)</f>
        <v>262.6753246753247</v>
      </c>
      <c r="X12">
        <f t="shared" si="2"/>
        <v>1.002899803794103</v>
      </c>
      <c r="Y12" s="78">
        <v>35</v>
      </c>
      <c r="Z12" s="78">
        <v>280</v>
      </c>
      <c r="AA12" s="78">
        <v>6</v>
      </c>
      <c r="AB12" s="78">
        <v>1</v>
      </c>
      <c r="AC12" s="78">
        <v>5</v>
      </c>
      <c r="AD12" s="78">
        <v>6</v>
      </c>
    </row>
    <row r="13" spans="1:31" x14ac:dyDescent="0.25">
      <c r="A13" t="s">
        <v>117</v>
      </c>
      <c r="B13" s="78">
        <v>1</v>
      </c>
      <c r="C13" t="s">
        <v>202</v>
      </c>
      <c r="D13" t="s">
        <v>39</v>
      </c>
      <c r="E13" t="s">
        <v>26</v>
      </c>
      <c r="F13" t="s">
        <v>118</v>
      </c>
      <c r="G13" s="78">
        <v>0</v>
      </c>
      <c r="H13" s="78">
        <v>0</v>
      </c>
      <c r="I13" s="78">
        <v>0</v>
      </c>
      <c r="J13" s="80">
        <f t="shared" si="0"/>
        <v>0</v>
      </c>
      <c r="K13" s="78">
        <v>0</v>
      </c>
      <c r="L13" s="78">
        <v>0</v>
      </c>
      <c r="M13">
        <f t="shared" si="1"/>
        <v>0</v>
      </c>
      <c r="N13" s="78">
        <v>0</v>
      </c>
      <c r="O13" s="81">
        <v>0</v>
      </c>
      <c r="P13" s="81">
        <v>0</v>
      </c>
      <c r="Q13">
        <f>IF(N13=0,0,(O13/N13)-1)</f>
        <v>0</v>
      </c>
      <c r="R13" s="78">
        <v>0</v>
      </c>
      <c r="S13" s="78">
        <v>0</v>
      </c>
      <c r="T13" s="78">
        <v>0</v>
      </c>
      <c r="U13">
        <f>IF(S13=0,0,(T13/S13)-1)</f>
        <v>0</v>
      </c>
      <c r="V13" s="82">
        <v>1248.6774193548388</v>
      </c>
      <c r="W13" s="2">
        <f>IF(K13=0,0,H13/K13)</f>
        <v>0</v>
      </c>
      <c r="X13">
        <f>IF(V13=0,0,(W13/V13)-1)</f>
        <v>-1</v>
      </c>
      <c r="Y13" s="78">
        <v>0</v>
      </c>
      <c r="Z13" s="78">
        <v>0</v>
      </c>
      <c r="AA13" s="78">
        <v>0</v>
      </c>
      <c r="AB13" s="78">
        <v>0</v>
      </c>
      <c r="AC13" s="78">
        <v>0</v>
      </c>
      <c r="AD13" s="78">
        <v>0</v>
      </c>
    </row>
    <row r="14" spans="1:31" x14ac:dyDescent="0.25">
      <c r="A14" t="s">
        <v>93</v>
      </c>
      <c r="B14" s="78">
        <v>2</v>
      </c>
      <c r="C14" t="s">
        <v>182</v>
      </c>
      <c r="D14" t="s">
        <v>44</v>
      </c>
      <c r="E14" t="s">
        <v>45</v>
      </c>
      <c r="F14" t="s">
        <v>36</v>
      </c>
      <c r="G14" s="78">
        <v>34</v>
      </c>
      <c r="H14" s="78">
        <v>41179</v>
      </c>
      <c r="I14" s="78">
        <v>36000</v>
      </c>
      <c r="J14" s="80">
        <f t="shared" si="0"/>
        <v>1.1438611111111112</v>
      </c>
      <c r="K14" s="78">
        <v>15</v>
      </c>
      <c r="L14" s="78">
        <v>15</v>
      </c>
      <c r="M14">
        <f t="shared" si="1"/>
        <v>1</v>
      </c>
      <c r="N14" s="78">
        <v>0</v>
      </c>
      <c r="O14" s="81">
        <v>85</v>
      </c>
      <c r="P14" s="81">
        <v>75</v>
      </c>
      <c r="Q14">
        <f>IF(N14=0,0,(O14/N14)-1)</f>
        <v>0</v>
      </c>
      <c r="R14" s="78">
        <v>0</v>
      </c>
      <c r="S14" s="78">
        <v>50</v>
      </c>
      <c r="T14" s="78">
        <v>15</v>
      </c>
      <c r="U14">
        <f>IF(S14=0,0,(T14/S14)-1)</f>
        <v>-0.7</v>
      </c>
      <c r="V14" s="82">
        <v>1661.5</v>
      </c>
      <c r="W14" s="2">
        <f>IF(K14=0,0,H14/K14)</f>
        <v>2745.2666666666669</v>
      </c>
      <c r="X14">
        <f t="shared" si="2"/>
        <v>0.65228207443073538</v>
      </c>
      <c r="Y14" s="78">
        <v>13</v>
      </c>
      <c r="Z14" s="78">
        <v>13</v>
      </c>
      <c r="AA14" s="78">
        <v>0</v>
      </c>
      <c r="AB14" s="78">
        <v>2</v>
      </c>
      <c r="AC14" s="78">
        <v>0</v>
      </c>
      <c r="AD14" s="78">
        <v>0</v>
      </c>
    </row>
    <row r="15" spans="1:31" x14ac:dyDescent="0.25">
      <c r="A15" t="s">
        <v>119</v>
      </c>
      <c r="B15" s="78">
        <v>1</v>
      </c>
      <c r="C15" t="s">
        <v>180</v>
      </c>
      <c r="D15" t="s">
        <v>68</v>
      </c>
      <c r="E15" t="s">
        <v>69</v>
      </c>
      <c r="F15" t="s">
        <v>29</v>
      </c>
      <c r="G15" s="78">
        <v>18</v>
      </c>
      <c r="H15" s="78">
        <v>1635</v>
      </c>
      <c r="I15" s="78">
        <v>3600</v>
      </c>
      <c r="J15" s="80">
        <f t="shared" si="0"/>
        <v>0.45416666666666666</v>
      </c>
      <c r="K15" s="78">
        <v>9</v>
      </c>
      <c r="L15" s="78">
        <v>6</v>
      </c>
      <c r="M15">
        <f t="shared" si="1"/>
        <v>1.5</v>
      </c>
      <c r="N15" s="78">
        <v>50</v>
      </c>
      <c r="O15" s="81">
        <v>50</v>
      </c>
      <c r="P15" s="81">
        <v>53</v>
      </c>
      <c r="Q15">
        <f>IF(N15=0,0,(O15/N15)-1)</f>
        <v>0</v>
      </c>
      <c r="R15" s="78">
        <v>0</v>
      </c>
      <c r="S15" s="78">
        <v>100</v>
      </c>
      <c r="T15" s="78">
        <v>1</v>
      </c>
      <c r="U15">
        <f>IF(S15=0,0,(T15/S15)-1)</f>
        <v>-0.99</v>
      </c>
      <c r="V15" s="82">
        <v>0</v>
      </c>
      <c r="W15" s="2">
        <f>IF(K15=0,0,H15/K15)</f>
        <v>181.66666666666666</v>
      </c>
      <c r="X15">
        <f t="shared" si="2"/>
        <v>0</v>
      </c>
      <c r="Y15" s="78">
        <v>1</v>
      </c>
      <c r="Z15" s="78">
        <v>1</v>
      </c>
      <c r="AA15" s="78">
        <v>1</v>
      </c>
      <c r="AB15" s="78">
        <v>1</v>
      </c>
      <c r="AC15" s="78">
        <v>1</v>
      </c>
      <c r="AD15" s="78">
        <v>1</v>
      </c>
    </row>
    <row r="16" spans="1:31" x14ac:dyDescent="0.25">
      <c r="A16" t="s">
        <v>123</v>
      </c>
      <c r="B16" s="78">
        <v>1</v>
      </c>
      <c r="C16" t="s">
        <v>180</v>
      </c>
      <c r="D16" t="s">
        <v>39</v>
      </c>
      <c r="E16" t="s">
        <v>40</v>
      </c>
      <c r="F16" t="s">
        <v>134</v>
      </c>
      <c r="G16" s="78">
        <v>28</v>
      </c>
      <c r="H16" s="78">
        <v>49397</v>
      </c>
      <c r="I16" s="78">
        <v>90000</v>
      </c>
      <c r="J16" s="80">
        <f t="shared" si="0"/>
        <v>0.54885555555555554</v>
      </c>
      <c r="K16" s="78">
        <v>37</v>
      </c>
      <c r="L16" s="78">
        <v>40</v>
      </c>
      <c r="M16">
        <f t="shared" si="1"/>
        <v>0.92500000000000004</v>
      </c>
      <c r="N16" s="78">
        <v>0</v>
      </c>
      <c r="O16" s="81">
        <v>89</v>
      </c>
      <c r="P16" s="81">
        <v>75</v>
      </c>
      <c r="Q16">
        <f>IF(N16=0,0,(O16/N16)-1)</f>
        <v>0</v>
      </c>
      <c r="R16" s="78">
        <v>0</v>
      </c>
      <c r="S16" s="78">
        <v>100</v>
      </c>
      <c r="T16" s="78">
        <v>80</v>
      </c>
      <c r="U16">
        <f>IF(S16=0,0,(T16/S16)-1)</f>
        <v>-0.19999999999999996</v>
      </c>
      <c r="V16" s="82">
        <v>747.29411764705878</v>
      </c>
      <c r="W16" s="2">
        <f>IF(K16=0,0,H16/K16)</f>
        <v>1335.0540540540539</v>
      </c>
      <c r="X16">
        <f t="shared" si="2"/>
        <v>0.78651754714412148</v>
      </c>
      <c r="Y16" s="78">
        <v>25</v>
      </c>
      <c r="Z16" s="78">
        <v>31</v>
      </c>
      <c r="AA16" s="78">
        <v>3</v>
      </c>
      <c r="AB16" s="78">
        <v>4</v>
      </c>
      <c r="AC16" s="78">
        <v>2</v>
      </c>
      <c r="AD16" s="78">
        <v>4</v>
      </c>
      <c r="AE16" s="49" t="s">
        <v>221</v>
      </c>
    </row>
    <row r="17" spans="1:31" x14ac:dyDescent="0.25">
      <c r="A17" t="s">
        <v>103</v>
      </c>
      <c r="B17" s="78">
        <v>1</v>
      </c>
      <c r="C17" t="s">
        <v>179</v>
      </c>
      <c r="D17" t="s">
        <v>104</v>
      </c>
      <c r="E17" t="s">
        <v>105</v>
      </c>
      <c r="F17" t="s">
        <v>46</v>
      </c>
      <c r="G17" s="78">
        <v>19</v>
      </c>
      <c r="H17" s="78">
        <v>7154</v>
      </c>
      <c r="I17" s="78">
        <v>0</v>
      </c>
      <c r="J17" s="80">
        <f t="shared" si="0"/>
        <v>0</v>
      </c>
      <c r="K17" s="78">
        <v>14</v>
      </c>
      <c r="L17" s="78">
        <v>0</v>
      </c>
      <c r="M17">
        <f t="shared" si="1"/>
        <v>0</v>
      </c>
      <c r="N17" s="78">
        <v>0</v>
      </c>
      <c r="O17" s="81">
        <v>52</v>
      </c>
      <c r="P17" s="81">
        <v>0</v>
      </c>
      <c r="Q17">
        <f>IF(N17=0,0,(O17/N17)-1)</f>
        <v>0</v>
      </c>
      <c r="R17" s="78">
        <v>0</v>
      </c>
      <c r="S17" s="78">
        <v>28.57</v>
      </c>
      <c r="T17" s="78">
        <v>0</v>
      </c>
      <c r="U17">
        <f>IF(S17=0,0,(T17/S17)-1)</f>
        <v>-1</v>
      </c>
      <c r="V17" s="82">
        <v>0</v>
      </c>
      <c r="W17" s="2">
        <f>IF(K17=0,0,H17/K17)</f>
        <v>511</v>
      </c>
      <c r="X17">
        <f t="shared" si="2"/>
        <v>0</v>
      </c>
      <c r="Y17" s="78">
        <v>9</v>
      </c>
      <c r="Z17" s="78">
        <v>12</v>
      </c>
      <c r="AA17" s="78">
        <v>0</v>
      </c>
      <c r="AB17" s="78">
        <v>0</v>
      </c>
      <c r="AC17" s="78">
        <v>0</v>
      </c>
      <c r="AD17" s="78">
        <v>0</v>
      </c>
    </row>
    <row r="18" spans="1:31" x14ac:dyDescent="0.25">
      <c r="A18" t="s">
        <v>129</v>
      </c>
      <c r="B18" s="78">
        <v>4</v>
      </c>
      <c r="C18" t="s">
        <v>179</v>
      </c>
      <c r="D18" t="s">
        <v>130</v>
      </c>
      <c r="E18" t="s">
        <v>45</v>
      </c>
      <c r="F18" t="s">
        <v>29</v>
      </c>
      <c r="G18" s="78">
        <v>17</v>
      </c>
      <c r="H18" s="78">
        <v>42192</v>
      </c>
      <c r="I18" s="78">
        <v>41682.870000000003</v>
      </c>
      <c r="J18" s="80">
        <f t="shared" si="0"/>
        <v>1.0122143700757649</v>
      </c>
      <c r="K18" s="78">
        <v>12</v>
      </c>
      <c r="L18" s="78">
        <v>10</v>
      </c>
      <c r="M18">
        <f t="shared" si="1"/>
        <v>1.2</v>
      </c>
      <c r="N18" s="78">
        <v>0</v>
      </c>
      <c r="O18" s="81">
        <v>100</v>
      </c>
      <c r="P18" s="81">
        <v>54</v>
      </c>
      <c r="Q18">
        <f>IF(N18=0,0,(O18/N18)-1)</f>
        <v>0</v>
      </c>
      <c r="R18" s="78">
        <v>0</v>
      </c>
      <c r="S18" s="78">
        <v>100</v>
      </c>
      <c r="T18" s="78">
        <v>22</v>
      </c>
      <c r="U18">
        <f>IF(S18=0,0,(T18/S18)-1)</f>
        <v>-0.78</v>
      </c>
      <c r="V18" s="82">
        <v>1587.6200000000001</v>
      </c>
      <c r="W18" s="2">
        <f>IF(K18=0,0,H18/K18)</f>
        <v>3516</v>
      </c>
      <c r="X18">
        <f t="shared" si="2"/>
        <v>1.2146357440697395</v>
      </c>
      <c r="Y18" s="78">
        <v>17</v>
      </c>
      <c r="Z18" s="78">
        <v>19</v>
      </c>
      <c r="AA18" s="78">
        <v>1</v>
      </c>
      <c r="AB18" s="78">
        <v>1</v>
      </c>
      <c r="AC18" s="78">
        <v>1</v>
      </c>
      <c r="AD18" s="78">
        <v>1</v>
      </c>
    </row>
    <row r="19" spans="1:31" x14ac:dyDescent="0.25">
      <c r="A19" t="s">
        <v>96</v>
      </c>
      <c r="B19" s="78">
        <v>1</v>
      </c>
      <c r="C19" t="s">
        <v>180</v>
      </c>
      <c r="D19" t="s">
        <v>39</v>
      </c>
      <c r="E19" t="s">
        <v>40</v>
      </c>
      <c r="F19" t="s">
        <v>83</v>
      </c>
      <c r="G19" s="78">
        <v>33</v>
      </c>
      <c r="H19" s="78">
        <v>108250</v>
      </c>
      <c r="I19" s="78">
        <v>90000</v>
      </c>
      <c r="J19" s="80">
        <f t="shared" si="0"/>
        <v>1.2027777777777777</v>
      </c>
      <c r="K19" s="78">
        <v>46</v>
      </c>
      <c r="L19" s="78">
        <v>40</v>
      </c>
      <c r="M19">
        <f t="shared" si="1"/>
        <v>1.1499999999999999</v>
      </c>
      <c r="N19" s="78">
        <v>0</v>
      </c>
      <c r="O19" s="81">
        <v>75</v>
      </c>
      <c r="P19" s="81">
        <v>75</v>
      </c>
      <c r="Q19">
        <f>IF(N19=0,0,(O19/N19)-1)</f>
        <v>0</v>
      </c>
      <c r="R19" s="78">
        <v>0</v>
      </c>
      <c r="S19" s="78">
        <v>33</v>
      </c>
      <c r="T19" s="78">
        <v>50</v>
      </c>
      <c r="U19">
        <f>IF(S19=0,0,(T19/S19)-1)</f>
        <v>0.51515151515151514</v>
      </c>
      <c r="V19" s="82">
        <v>1145.550847457627</v>
      </c>
      <c r="W19" s="2">
        <f>IF(K19=0,0,H19/K19)</f>
        <v>2353.2608695652175</v>
      </c>
      <c r="X19">
        <f t="shared" si="2"/>
        <v>1.0542613841960105</v>
      </c>
      <c r="Y19" s="78">
        <v>31</v>
      </c>
      <c r="Z19" s="78">
        <v>42</v>
      </c>
      <c r="AA19" s="78">
        <v>1</v>
      </c>
      <c r="AB19" s="78">
        <v>4</v>
      </c>
      <c r="AC19" s="78">
        <v>2</v>
      </c>
      <c r="AD19" s="78">
        <v>1</v>
      </c>
      <c r="AE19" s="49" t="s">
        <v>222</v>
      </c>
    </row>
    <row r="20" spans="1:31" x14ac:dyDescent="0.25">
      <c r="A20" t="s">
        <v>38</v>
      </c>
      <c r="B20" s="78">
        <v>1</v>
      </c>
      <c r="C20" t="s">
        <v>180</v>
      </c>
      <c r="D20" t="s">
        <v>39</v>
      </c>
      <c r="E20" t="s">
        <v>40</v>
      </c>
      <c r="F20" t="s">
        <v>41</v>
      </c>
      <c r="G20" s="78">
        <v>9</v>
      </c>
      <c r="H20" s="78">
        <v>4500</v>
      </c>
      <c r="I20" s="78">
        <v>33100</v>
      </c>
      <c r="J20" s="80">
        <f t="shared" si="0"/>
        <v>0.13595166163141995</v>
      </c>
      <c r="K20" s="78">
        <v>5</v>
      </c>
      <c r="L20" s="78">
        <v>8</v>
      </c>
      <c r="M20">
        <f t="shared" si="1"/>
        <v>0.625</v>
      </c>
      <c r="N20" s="78">
        <v>88</v>
      </c>
      <c r="O20" s="81">
        <v>55</v>
      </c>
      <c r="P20" s="81">
        <v>75</v>
      </c>
      <c r="Q20">
        <f>IF(N20=0,0,(O20/N20)-1)</f>
        <v>-0.375</v>
      </c>
      <c r="R20" s="78">
        <v>68</v>
      </c>
      <c r="S20" s="78">
        <v>83</v>
      </c>
      <c r="T20" s="78">
        <v>26</v>
      </c>
      <c r="U20">
        <f>IF(S20=0,0,(T20/S20)-1)</f>
        <v>-0.68674698795180722</v>
      </c>
      <c r="V20" s="82">
        <v>3178.75</v>
      </c>
      <c r="W20" s="2">
        <f>IF(K20=0,0,H20/K20)</f>
        <v>900</v>
      </c>
      <c r="X20">
        <f t="shared" si="2"/>
        <v>-0.71686983877310262</v>
      </c>
      <c r="Y20" s="78">
        <v>5</v>
      </c>
      <c r="Z20" s="78">
        <v>5</v>
      </c>
      <c r="AA20" s="78">
        <v>1</v>
      </c>
      <c r="AB20" s="78">
        <v>1</v>
      </c>
      <c r="AC20" s="78">
        <v>1</v>
      </c>
      <c r="AD20" s="78">
        <v>0</v>
      </c>
      <c r="AE20" s="49" t="s">
        <v>223</v>
      </c>
    </row>
    <row r="21" spans="1:31" x14ac:dyDescent="0.25">
      <c r="A21" t="s">
        <v>95</v>
      </c>
      <c r="B21" s="78">
        <v>2</v>
      </c>
      <c r="C21" t="s">
        <v>180</v>
      </c>
      <c r="D21" t="s">
        <v>39</v>
      </c>
      <c r="E21" t="s">
        <v>40</v>
      </c>
      <c r="F21" t="s">
        <v>60</v>
      </c>
      <c r="G21" s="78">
        <v>28</v>
      </c>
      <c r="H21" s="78">
        <v>36931</v>
      </c>
      <c r="I21" s="78">
        <v>65000</v>
      </c>
      <c r="J21" s="80">
        <f t="shared" si="0"/>
        <v>0.56816923076923076</v>
      </c>
      <c r="K21" s="78">
        <v>11</v>
      </c>
      <c r="L21" s="78">
        <v>10</v>
      </c>
      <c r="M21">
        <f t="shared" si="1"/>
        <v>1.1000000000000001</v>
      </c>
      <c r="N21" s="78">
        <v>73</v>
      </c>
      <c r="O21" s="81">
        <v>82</v>
      </c>
      <c r="P21" s="81">
        <v>60</v>
      </c>
      <c r="Q21">
        <f>IF(N21=0,0,(O21/N21)-1)</f>
        <v>0.12328767123287676</v>
      </c>
      <c r="R21" s="78">
        <v>0</v>
      </c>
      <c r="S21" s="78">
        <v>50</v>
      </c>
      <c r="T21" s="78">
        <v>1</v>
      </c>
      <c r="U21">
        <f>IF(S21=0,0,(T21/S21)-1)</f>
        <v>-0.98</v>
      </c>
      <c r="V21" s="82">
        <v>5260.833333333333</v>
      </c>
      <c r="W21" s="2">
        <f>IF(K21=0,0,H21/K21)</f>
        <v>3357.3636363636365</v>
      </c>
      <c r="X21">
        <f t="shared" si="2"/>
        <v>-0.36181904583615332</v>
      </c>
      <c r="Y21" s="78">
        <v>9</v>
      </c>
      <c r="Z21" s="78">
        <v>9</v>
      </c>
      <c r="AA21" s="78">
        <v>2</v>
      </c>
      <c r="AB21" s="78">
        <v>1</v>
      </c>
      <c r="AC21" s="78">
        <v>2</v>
      </c>
      <c r="AD21" s="78">
        <v>1</v>
      </c>
      <c r="AE21" s="49" t="s">
        <v>224</v>
      </c>
    </row>
    <row r="22" spans="1:31" x14ac:dyDescent="0.25">
      <c r="A22" t="s">
        <v>132</v>
      </c>
      <c r="B22" s="78">
        <v>4</v>
      </c>
      <c r="C22" t="s">
        <v>201</v>
      </c>
      <c r="D22" t="s">
        <v>39</v>
      </c>
      <c r="E22" t="s">
        <v>50</v>
      </c>
      <c r="F22" t="s">
        <v>133</v>
      </c>
      <c r="G22" s="78">
        <v>24</v>
      </c>
      <c r="H22" s="78">
        <v>99164</v>
      </c>
      <c r="I22" s="78">
        <v>189750</v>
      </c>
      <c r="J22" s="80">
        <f t="shared" si="0"/>
        <v>0.52260342555994732</v>
      </c>
      <c r="K22" s="78">
        <v>17</v>
      </c>
      <c r="L22" s="78">
        <v>23</v>
      </c>
      <c r="M22">
        <f t="shared" si="1"/>
        <v>0.73913043478260865</v>
      </c>
      <c r="N22" s="78">
        <v>0</v>
      </c>
      <c r="O22" s="81">
        <v>83</v>
      </c>
      <c r="P22" s="81">
        <v>75</v>
      </c>
      <c r="Q22">
        <f>IF(N22=0,0,(O22/N22)-1)</f>
        <v>0</v>
      </c>
      <c r="R22" s="78">
        <v>0</v>
      </c>
      <c r="S22" s="78">
        <v>71</v>
      </c>
      <c r="T22" s="78">
        <v>40</v>
      </c>
      <c r="U22">
        <f>IF(S22=0,0,(T22/S22)-1)</f>
        <v>-0.43661971830985913</v>
      </c>
      <c r="V22" s="82">
        <v>7839.0476190476193</v>
      </c>
      <c r="W22" s="2">
        <f>IF(K22=0,0,H22/K22)</f>
        <v>5833.1764705882351</v>
      </c>
      <c r="X22">
        <f t="shared" si="2"/>
        <v>-0.25588199561199776</v>
      </c>
      <c r="Y22" s="78">
        <v>19</v>
      </c>
      <c r="Z22" s="78">
        <v>19</v>
      </c>
      <c r="AA22" s="78">
        <v>2</v>
      </c>
      <c r="AB22" s="78">
        <v>2</v>
      </c>
      <c r="AC22" s="78">
        <v>2</v>
      </c>
      <c r="AD22" s="78">
        <v>2</v>
      </c>
      <c r="AE22" s="49" t="s">
        <v>225</v>
      </c>
    </row>
    <row r="23" spans="1:31" x14ac:dyDescent="0.25">
      <c r="A23" t="s">
        <v>74</v>
      </c>
      <c r="B23" s="78">
        <v>1</v>
      </c>
      <c r="C23" t="s">
        <v>182</v>
      </c>
      <c r="D23" t="s">
        <v>39</v>
      </c>
      <c r="E23" t="s">
        <v>40</v>
      </c>
      <c r="F23" t="s">
        <v>75</v>
      </c>
      <c r="G23" s="78">
        <v>14</v>
      </c>
      <c r="H23" s="78">
        <v>2230</v>
      </c>
      <c r="I23" s="78">
        <v>70000</v>
      </c>
      <c r="J23" s="80">
        <f t="shared" si="0"/>
        <v>3.1857142857142855E-2</v>
      </c>
      <c r="K23" s="78">
        <v>5</v>
      </c>
      <c r="L23" s="78">
        <v>24</v>
      </c>
      <c r="M23">
        <f t="shared" si="1"/>
        <v>0.20833333333333334</v>
      </c>
      <c r="N23" s="78">
        <v>99</v>
      </c>
      <c r="O23" s="81">
        <v>35</v>
      </c>
      <c r="P23" s="81">
        <v>75</v>
      </c>
      <c r="Q23">
        <f>IF(N23=0,0,(O23/N23)-1)</f>
        <v>-0.64646464646464641</v>
      </c>
      <c r="R23" s="78">
        <v>0</v>
      </c>
      <c r="S23" s="78">
        <v>100</v>
      </c>
      <c r="T23" s="78">
        <v>60</v>
      </c>
      <c r="U23">
        <f>IF(S23=0,0,(T23/S23)-1)</f>
        <v>-0.4</v>
      </c>
      <c r="V23" s="82">
        <v>3141.6666666666665</v>
      </c>
      <c r="W23" s="2">
        <f>IF(K23=0,0,H23/K23)</f>
        <v>446</v>
      </c>
      <c r="X23">
        <f t="shared" si="2"/>
        <v>-0.85803713527851455</v>
      </c>
      <c r="Y23" s="78">
        <v>5</v>
      </c>
      <c r="Z23" s="78">
        <v>5</v>
      </c>
      <c r="AA23" s="78">
        <v>2</v>
      </c>
      <c r="AB23" s="78">
        <v>6</v>
      </c>
      <c r="AC23" s="78">
        <v>3</v>
      </c>
      <c r="AD23" s="78">
        <v>1</v>
      </c>
    </row>
    <row r="24" spans="1:31" x14ac:dyDescent="0.25">
      <c r="A24" t="s">
        <v>57</v>
      </c>
      <c r="B24" s="78">
        <v>1</v>
      </c>
      <c r="C24" t="s">
        <v>180</v>
      </c>
      <c r="D24" t="s">
        <v>39</v>
      </c>
      <c r="E24" t="s">
        <v>40</v>
      </c>
      <c r="F24" t="s">
        <v>58</v>
      </c>
      <c r="G24" s="78">
        <v>22</v>
      </c>
      <c r="H24" s="78">
        <v>36143.160000000003</v>
      </c>
      <c r="I24" s="78">
        <v>29008.75</v>
      </c>
      <c r="J24" s="80">
        <f t="shared" si="0"/>
        <v>1.2459399319170941</v>
      </c>
      <c r="K24" s="78">
        <v>11</v>
      </c>
      <c r="L24" s="78">
        <v>7</v>
      </c>
      <c r="M24">
        <f t="shared" si="1"/>
        <v>1.5714285714285714</v>
      </c>
      <c r="N24" s="78">
        <v>52</v>
      </c>
      <c r="O24" s="81">
        <v>72</v>
      </c>
      <c r="P24" s="81">
        <v>66</v>
      </c>
      <c r="Q24">
        <f>IF(N24=0,0,(O24/N24)-1)</f>
        <v>0.38461538461538458</v>
      </c>
      <c r="R24" s="78">
        <v>0</v>
      </c>
      <c r="S24" s="78">
        <v>50</v>
      </c>
      <c r="T24" s="78">
        <v>25</v>
      </c>
      <c r="U24">
        <f>IF(S24=0,0,(T24/S24)-1)</f>
        <v>-0.5</v>
      </c>
      <c r="V24" s="82">
        <v>867.83500000000004</v>
      </c>
      <c r="W24" s="2">
        <f>IF(K24=0,0,H24/K24)</f>
        <v>3285.7418181818184</v>
      </c>
      <c r="X24">
        <f t="shared" si="2"/>
        <v>2.786136556121634</v>
      </c>
      <c r="Y24" s="78">
        <v>11</v>
      </c>
      <c r="Z24" s="78">
        <v>11</v>
      </c>
      <c r="AA24" s="78">
        <v>0</v>
      </c>
      <c r="AB24" s="78">
        <v>3</v>
      </c>
      <c r="AC24" s="78">
        <v>0</v>
      </c>
      <c r="AD24" s="78">
        <v>0</v>
      </c>
      <c r="AE24" s="49" t="s">
        <v>272</v>
      </c>
    </row>
    <row r="25" spans="1:31" x14ac:dyDescent="0.25">
      <c r="A25" t="s">
        <v>94</v>
      </c>
      <c r="B25" s="78">
        <v>5</v>
      </c>
      <c r="C25" t="s">
        <v>180</v>
      </c>
      <c r="D25" t="s">
        <v>39</v>
      </c>
      <c r="E25" t="s">
        <v>40</v>
      </c>
      <c r="F25" t="s">
        <v>147</v>
      </c>
      <c r="G25" s="78">
        <v>38</v>
      </c>
      <c r="H25" s="78">
        <v>431670</v>
      </c>
      <c r="I25" s="78">
        <v>370000</v>
      </c>
      <c r="J25" s="80">
        <f t="shared" si="0"/>
        <v>1.1666756756756758</v>
      </c>
      <c r="K25" s="78">
        <v>25</v>
      </c>
      <c r="L25" s="78">
        <v>25</v>
      </c>
      <c r="M25">
        <f t="shared" si="1"/>
        <v>1</v>
      </c>
      <c r="N25" s="78">
        <v>79</v>
      </c>
      <c r="O25" s="81">
        <v>100</v>
      </c>
      <c r="P25" s="81">
        <v>75</v>
      </c>
      <c r="Q25">
        <f>IF(N25=0,0,(O25/N25)-1)</f>
        <v>0.26582278481012667</v>
      </c>
      <c r="R25" s="78">
        <v>67</v>
      </c>
      <c r="S25" s="78">
        <v>92</v>
      </c>
      <c r="T25" s="78">
        <v>80</v>
      </c>
      <c r="U25">
        <f>IF(S25=0,0,(T25/S25)-1)</f>
        <v>-0.13043478260869568</v>
      </c>
      <c r="V25" s="82">
        <v>14191.351904761905</v>
      </c>
      <c r="W25" s="2">
        <f>IF(K25=0,0,H25/K25)</f>
        <v>17266.8</v>
      </c>
      <c r="X25">
        <f t="shared" si="2"/>
        <v>0.21671283439924616</v>
      </c>
      <c r="Y25" s="78">
        <v>25</v>
      </c>
      <c r="Z25" s="78">
        <v>25</v>
      </c>
      <c r="AA25" s="78">
        <v>6</v>
      </c>
      <c r="AB25" s="78">
        <v>3</v>
      </c>
      <c r="AC25" s="78">
        <v>5</v>
      </c>
      <c r="AD25" s="78">
        <v>1</v>
      </c>
    </row>
    <row r="26" spans="1:31" x14ac:dyDescent="0.25">
      <c r="A26" t="s">
        <v>55</v>
      </c>
      <c r="B26" s="78">
        <v>3</v>
      </c>
      <c r="C26" t="s">
        <v>201</v>
      </c>
      <c r="D26" t="s">
        <v>39</v>
      </c>
      <c r="E26" t="s">
        <v>40</v>
      </c>
      <c r="F26" t="s">
        <v>111</v>
      </c>
      <c r="G26" s="78">
        <v>34</v>
      </c>
      <c r="H26" s="78">
        <v>56085</v>
      </c>
      <c r="I26" s="78">
        <v>55960</v>
      </c>
      <c r="J26" s="80">
        <f t="shared" si="0"/>
        <v>1.0022337383845603</v>
      </c>
      <c r="K26" s="78">
        <v>231</v>
      </c>
      <c r="L26" s="78">
        <v>186</v>
      </c>
      <c r="M26">
        <f t="shared" si="1"/>
        <v>1.2419354838709677</v>
      </c>
      <c r="N26" s="78">
        <v>62</v>
      </c>
      <c r="O26" s="81">
        <v>73</v>
      </c>
      <c r="P26" s="81">
        <v>68</v>
      </c>
      <c r="Q26">
        <f>IF(N26=0,0,(O26/N26)-1)</f>
        <v>0.17741935483870974</v>
      </c>
      <c r="R26" s="78">
        <v>0</v>
      </c>
      <c r="S26" s="78">
        <v>81</v>
      </c>
      <c r="T26" s="78">
        <v>1</v>
      </c>
      <c r="U26">
        <f>IF(S26=0,0,(T26/S26)-1)</f>
        <v>-0.98765432098765427</v>
      </c>
      <c r="V26" s="82">
        <v>292.98246666666671</v>
      </c>
      <c r="W26" s="2">
        <f>IF(K26=0,0,H26/K26)</f>
        <v>242.79220779220779</v>
      </c>
      <c r="X26">
        <f t="shared" si="2"/>
        <v>-0.17130806305744428</v>
      </c>
      <c r="Y26" s="78">
        <v>134</v>
      </c>
      <c r="Z26" s="78">
        <v>250</v>
      </c>
      <c r="AA26" s="78">
        <v>3</v>
      </c>
      <c r="AB26" s="78">
        <v>2</v>
      </c>
      <c r="AC26" s="78">
        <v>3</v>
      </c>
      <c r="AD26" s="78">
        <v>2</v>
      </c>
    </row>
    <row r="27" spans="1:31" x14ac:dyDescent="0.25">
      <c r="A27" t="s">
        <v>154</v>
      </c>
      <c r="B27" s="78">
        <v>1</v>
      </c>
      <c r="C27" t="s">
        <v>180</v>
      </c>
      <c r="D27" t="s">
        <v>27</v>
      </c>
      <c r="E27" t="s">
        <v>33</v>
      </c>
      <c r="F27" t="s">
        <v>155</v>
      </c>
      <c r="G27" s="78">
        <v>5</v>
      </c>
      <c r="H27" s="78">
        <v>0</v>
      </c>
      <c r="I27" s="78">
        <v>0</v>
      </c>
      <c r="J27" s="80">
        <f t="shared" si="0"/>
        <v>0</v>
      </c>
      <c r="K27" s="78">
        <v>0</v>
      </c>
      <c r="L27" s="78">
        <v>0</v>
      </c>
      <c r="M27">
        <f t="shared" si="1"/>
        <v>0</v>
      </c>
      <c r="N27" s="78">
        <v>75</v>
      </c>
      <c r="O27" s="81">
        <v>0</v>
      </c>
      <c r="P27" s="81">
        <v>0</v>
      </c>
      <c r="Q27">
        <f>IF(N27=0,0,(O27/N27)-1)</f>
        <v>-1</v>
      </c>
      <c r="R27" s="78">
        <v>1</v>
      </c>
      <c r="S27" s="78">
        <v>0</v>
      </c>
      <c r="T27" s="78">
        <v>0</v>
      </c>
      <c r="U27">
        <f>IF(S27=0,0,(T27/S27)-1)</f>
        <v>0</v>
      </c>
      <c r="V27" s="82">
        <v>0</v>
      </c>
      <c r="W27" s="2">
        <f>IF(K27=0,0,H27/K27)</f>
        <v>0</v>
      </c>
      <c r="X27">
        <f t="shared" si="2"/>
        <v>0</v>
      </c>
      <c r="Y27" s="78">
        <v>0</v>
      </c>
      <c r="Z27" s="78">
        <v>0</v>
      </c>
      <c r="AA27" s="78">
        <v>0</v>
      </c>
      <c r="AB27" s="78">
        <v>0</v>
      </c>
      <c r="AC27" s="78">
        <v>0</v>
      </c>
      <c r="AD27" s="78">
        <v>0</v>
      </c>
      <c r="AE27" s="49" t="s">
        <v>226</v>
      </c>
    </row>
    <row r="28" spans="1:31" x14ac:dyDescent="0.25">
      <c r="A28" t="s">
        <v>72</v>
      </c>
      <c r="B28" s="78">
        <v>1</v>
      </c>
      <c r="C28" t="s">
        <v>201</v>
      </c>
      <c r="D28" t="s">
        <v>44</v>
      </c>
      <c r="E28" t="s">
        <v>45</v>
      </c>
      <c r="F28" t="s">
        <v>73</v>
      </c>
      <c r="G28" s="78">
        <v>19</v>
      </c>
      <c r="H28" s="78">
        <v>2250</v>
      </c>
      <c r="I28" s="78">
        <v>7000</v>
      </c>
      <c r="J28" s="80">
        <f t="shared" si="0"/>
        <v>0.32142857142857145</v>
      </c>
      <c r="K28" s="78">
        <v>5</v>
      </c>
      <c r="L28" s="78">
        <v>7</v>
      </c>
      <c r="M28">
        <f t="shared" si="1"/>
        <v>0.7142857142857143</v>
      </c>
      <c r="N28" s="78">
        <v>100</v>
      </c>
      <c r="O28" s="81">
        <v>36</v>
      </c>
      <c r="P28" s="81">
        <v>45</v>
      </c>
      <c r="Q28">
        <f>IF(N28=0,0,(O28/N28)-1)</f>
        <v>-0.64</v>
      </c>
      <c r="R28" s="78">
        <v>58</v>
      </c>
      <c r="S28" s="78">
        <v>0</v>
      </c>
      <c r="T28" s="78">
        <v>26</v>
      </c>
      <c r="U28">
        <f>IF(S28=0,0,(T28/S28)-1)</f>
        <v>0</v>
      </c>
      <c r="V28" s="82">
        <v>0</v>
      </c>
      <c r="W28" s="2">
        <f>IF(K28=0,0,H28/K28)</f>
        <v>450</v>
      </c>
      <c r="X28">
        <f t="shared" si="2"/>
        <v>0</v>
      </c>
      <c r="Y28" s="78">
        <v>1</v>
      </c>
      <c r="Z28" s="78">
        <v>3</v>
      </c>
      <c r="AA28" s="78">
        <v>1</v>
      </c>
      <c r="AB28" s="78">
        <v>2</v>
      </c>
      <c r="AC28" s="78">
        <v>1</v>
      </c>
      <c r="AD28" s="78">
        <v>2</v>
      </c>
      <c r="AE28" s="49" t="s">
        <v>227</v>
      </c>
    </row>
    <row r="29" spans="1:31" x14ac:dyDescent="0.25">
      <c r="A29" t="s">
        <v>76</v>
      </c>
      <c r="B29" s="78">
        <v>1</v>
      </c>
      <c r="C29" t="s">
        <v>202</v>
      </c>
      <c r="D29" t="s">
        <v>39</v>
      </c>
      <c r="E29" t="s">
        <v>40</v>
      </c>
      <c r="F29" t="s">
        <v>92</v>
      </c>
      <c r="G29" s="78">
        <v>36</v>
      </c>
      <c r="H29" s="78">
        <v>46133.37</v>
      </c>
      <c r="I29" s="78">
        <v>40000</v>
      </c>
      <c r="J29" s="80">
        <f t="shared" si="0"/>
        <v>1.1533342500000001</v>
      </c>
      <c r="K29" s="78">
        <v>41</v>
      </c>
      <c r="L29" s="78">
        <v>37</v>
      </c>
      <c r="M29">
        <f t="shared" si="1"/>
        <v>1.1081081081081081</v>
      </c>
      <c r="N29" s="78">
        <v>100</v>
      </c>
      <c r="O29" s="81">
        <v>86</v>
      </c>
      <c r="P29" s="81">
        <v>75</v>
      </c>
      <c r="Q29">
        <f>IF(N29=0,0,(O29/N29)-1)</f>
        <v>-0.14000000000000001</v>
      </c>
      <c r="R29" s="78">
        <v>100</v>
      </c>
      <c r="S29" s="78">
        <v>87</v>
      </c>
      <c r="T29" s="78">
        <v>50</v>
      </c>
      <c r="U29">
        <f>IF(S29=0,0,(T29/S29)-1)</f>
        <v>-0.42528735632183912</v>
      </c>
      <c r="V29" s="82">
        <v>1086.2925925925927</v>
      </c>
      <c r="W29" s="2">
        <f>IF(K29=0,0,H29/K29)</f>
        <v>1125.2041463414635</v>
      </c>
      <c r="X29">
        <f t="shared" si="2"/>
        <v>3.5820509146622159E-2</v>
      </c>
      <c r="Y29" s="78">
        <v>22</v>
      </c>
      <c r="Z29" s="78">
        <v>33</v>
      </c>
      <c r="AA29" s="78">
        <v>6</v>
      </c>
      <c r="AB29" s="78">
        <v>10</v>
      </c>
      <c r="AC29" s="78">
        <v>5</v>
      </c>
      <c r="AD29" s="78">
        <v>6</v>
      </c>
      <c r="AE29" s="49" t="s">
        <v>228</v>
      </c>
    </row>
    <row r="30" spans="1:31" x14ac:dyDescent="0.25">
      <c r="A30" t="s">
        <v>47</v>
      </c>
      <c r="B30" s="78">
        <v>2</v>
      </c>
      <c r="C30" t="s">
        <v>179</v>
      </c>
      <c r="D30" t="s">
        <v>27</v>
      </c>
      <c r="E30" t="s">
        <v>45</v>
      </c>
      <c r="F30" t="s">
        <v>99</v>
      </c>
      <c r="G30" s="78">
        <v>17</v>
      </c>
      <c r="H30" s="78">
        <v>12205.78</v>
      </c>
      <c r="I30" s="78">
        <v>12068.25</v>
      </c>
      <c r="J30" s="80">
        <f t="shared" si="0"/>
        <v>1.0113960184782385</v>
      </c>
      <c r="K30" s="78">
        <v>16</v>
      </c>
      <c r="L30" s="78">
        <v>15</v>
      </c>
      <c r="M30">
        <f t="shared" si="1"/>
        <v>1.0666666666666667</v>
      </c>
      <c r="N30" s="78">
        <v>0</v>
      </c>
      <c r="O30" s="81">
        <v>82</v>
      </c>
      <c r="P30" s="81">
        <v>75</v>
      </c>
      <c r="Q30">
        <f>IF(N30=0,0,(O30/N30)-1)</f>
        <v>0</v>
      </c>
      <c r="R30" s="78">
        <v>0</v>
      </c>
      <c r="S30" s="78">
        <v>80</v>
      </c>
      <c r="T30" s="78">
        <v>15</v>
      </c>
      <c r="U30">
        <f>IF(S30=0,0,(T30/S30)-1)</f>
        <v>-0.8125</v>
      </c>
      <c r="V30" s="82">
        <v>1032.4916666666666</v>
      </c>
      <c r="W30" s="2">
        <f>IF(K30=0,0,H30/K30)</f>
        <v>762.86125000000004</v>
      </c>
      <c r="X30">
        <f t="shared" si="2"/>
        <v>-0.26114536840491032</v>
      </c>
      <c r="Y30" s="78">
        <v>10</v>
      </c>
      <c r="Z30" s="78">
        <v>14</v>
      </c>
      <c r="AA30" s="78">
        <v>0</v>
      </c>
      <c r="AB30" s="78">
        <v>4</v>
      </c>
      <c r="AC30" s="78">
        <v>0</v>
      </c>
      <c r="AD30" s="78">
        <v>0</v>
      </c>
    </row>
    <row r="31" spans="1:31" x14ac:dyDescent="0.25">
      <c r="A31" t="s">
        <v>37</v>
      </c>
      <c r="B31" s="78">
        <v>1</v>
      </c>
      <c r="C31" t="s">
        <v>201</v>
      </c>
      <c r="D31" t="s">
        <v>39</v>
      </c>
      <c r="E31" t="s">
        <v>50</v>
      </c>
      <c r="F31" t="s">
        <v>51</v>
      </c>
      <c r="G31" s="78">
        <v>21</v>
      </c>
      <c r="H31" s="78">
        <v>12279.16</v>
      </c>
      <c r="I31" s="78">
        <v>47330.400000000001</v>
      </c>
      <c r="J31" s="80">
        <f t="shared" si="0"/>
        <v>0.25943495089836555</v>
      </c>
      <c r="K31" s="78">
        <v>3</v>
      </c>
      <c r="L31" s="78">
        <v>8</v>
      </c>
      <c r="M31">
        <f t="shared" si="1"/>
        <v>0.375</v>
      </c>
      <c r="N31" s="78">
        <v>0</v>
      </c>
      <c r="O31" s="81">
        <v>76</v>
      </c>
      <c r="P31" s="81">
        <v>75</v>
      </c>
      <c r="Q31">
        <f>IF(N31=0,0,(O31/N31)-1)</f>
        <v>0</v>
      </c>
      <c r="R31" s="78">
        <v>0</v>
      </c>
      <c r="S31" s="78">
        <v>100</v>
      </c>
      <c r="T31" s="78">
        <v>100</v>
      </c>
      <c r="U31">
        <f>IF(S31=0,0,(T31/S31)-1)</f>
        <v>0</v>
      </c>
      <c r="V31" s="82">
        <v>4551</v>
      </c>
      <c r="W31" s="2">
        <f>IF(K31=0,0,H31/K31)</f>
        <v>4093.0533333333333</v>
      </c>
      <c r="X31">
        <f t="shared" si="2"/>
        <v>-0.1006255035523328</v>
      </c>
      <c r="Y31" s="78">
        <v>6</v>
      </c>
      <c r="Z31" s="78">
        <v>6</v>
      </c>
      <c r="AA31" s="78">
        <v>1</v>
      </c>
      <c r="AB31" s="78">
        <v>1</v>
      </c>
      <c r="AC31" s="78">
        <v>1</v>
      </c>
      <c r="AD31" s="78">
        <v>1</v>
      </c>
    </row>
    <row r="32" spans="1:31" x14ac:dyDescent="0.25">
      <c r="A32" t="s">
        <v>86</v>
      </c>
      <c r="B32" s="78">
        <v>1</v>
      </c>
      <c r="C32" t="s">
        <v>180</v>
      </c>
      <c r="D32" t="s">
        <v>39</v>
      </c>
      <c r="E32" t="s">
        <v>40</v>
      </c>
      <c r="F32" t="s">
        <v>121</v>
      </c>
      <c r="G32" s="78">
        <v>14</v>
      </c>
      <c r="H32" s="78">
        <v>25342</v>
      </c>
      <c r="I32" s="78">
        <v>0</v>
      </c>
      <c r="J32" s="80">
        <f t="shared" si="0"/>
        <v>0</v>
      </c>
      <c r="K32" s="78">
        <v>10</v>
      </c>
      <c r="L32" s="78">
        <v>0</v>
      </c>
      <c r="M32">
        <f t="shared" si="1"/>
        <v>0</v>
      </c>
      <c r="N32" s="78">
        <v>0</v>
      </c>
      <c r="O32" s="81">
        <v>92</v>
      </c>
      <c r="P32" s="81">
        <v>0</v>
      </c>
      <c r="Q32">
        <f>IF(N32=0,0,(O32/N32)-1)</f>
        <v>0</v>
      </c>
      <c r="R32" s="78">
        <v>0</v>
      </c>
      <c r="S32" s="78">
        <v>0</v>
      </c>
      <c r="T32" s="78">
        <v>0</v>
      </c>
      <c r="U32">
        <f>IF(S32=0,0,(T32/S32)-1)</f>
        <v>0</v>
      </c>
      <c r="V32" s="82">
        <v>0</v>
      </c>
      <c r="W32" s="2">
        <f>IF(K32=0,0,H32/K32)</f>
        <v>2534.1999999999998</v>
      </c>
      <c r="X32">
        <f t="shared" si="2"/>
        <v>0</v>
      </c>
      <c r="Y32" s="78">
        <v>6</v>
      </c>
      <c r="Z32" s="78">
        <v>9</v>
      </c>
      <c r="AA32" s="78">
        <v>0</v>
      </c>
      <c r="AB32" s="78">
        <v>0</v>
      </c>
      <c r="AC32" s="78">
        <v>0</v>
      </c>
      <c r="AD32" s="78">
        <v>0</v>
      </c>
    </row>
    <row r="33" spans="1:31" x14ac:dyDescent="0.25">
      <c r="A33" t="s">
        <v>65</v>
      </c>
      <c r="B33" s="78">
        <v>3</v>
      </c>
      <c r="C33" t="s">
        <v>201</v>
      </c>
      <c r="D33" t="s">
        <v>88</v>
      </c>
      <c r="E33" t="s">
        <v>33</v>
      </c>
      <c r="F33" t="s">
        <v>59</v>
      </c>
      <c r="G33" s="78">
        <v>24</v>
      </c>
      <c r="H33" s="78">
        <v>45126.64</v>
      </c>
      <c r="I33" s="78">
        <v>44936.800000000003</v>
      </c>
      <c r="J33" s="80">
        <f t="shared" si="0"/>
        <v>1.0042245998825017</v>
      </c>
      <c r="K33" s="78">
        <v>13</v>
      </c>
      <c r="L33" s="78">
        <v>12</v>
      </c>
      <c r="M33">
        <f t="shared" si="1"/>
        <v>1.0833333333333333</v>
      </c>
      <c r="N33" s="78">
        <v>80</v>
      </c>
      <c r="O33" s="81">
        <v>79</v>
      </c>
      <c r="P33" s="81">
        <v>75</v>
      </c>
      <c r="Q33">
        <f>IF(N33=0,0,(O33/N33)-1)</f>
        <v>-1.2499999999999956E-2</v>
      </c>
      <c r="R33" s="78">
        <v>100</v>
      </c>
      <c r="S33" s="78">
        <v>100</v>
      </c>
      <c r="T33" s="78">
        <v>18</v>
      </c>
      <c r="U33">
        <f>IF(S33=0,0,(T33/S33)-1)</f>
        <v>-0.82000000000000006</v>
      </c>
      <c r="V33" s="82">
        <v>0</v>
      </c>
      <c r="W33" s="2">
        <f>IF(K33=0,0,H33/K33)</f>
        <v>3471.2799999999997</v>
      </c>
      <c r="X33">
        <f t="shared" si="2"/>
        <v>0</v>
      </c>
      <c r="Y33" s="78">
        <v>2</v>
      </c>
      <c r="Z33" s="78">
        <v>4</v>
      </c>
      <c r="AA33" s="78">
        <v>3</v>
      </c>
      <c r="AB33" s="78">
        <v>2</v>
      </c>
      <c r="AC33" s="78">
        <v>3</v>
      </c>
      <c r="AD33" s="78">
        <v>0</v>
      </c>
    </row>
    <row r="34" spans="1:31" x14ac:dyDescent="0.25">
      <c r="A34" t="s">
        <v>142</v>
      </c>
      <c r="B34" s="78">
        <v>1</v>
      </c>
      <c r="C34" t="s">
        <v>180</v>
      </c>
      <c r="D34" t="s">
        <v>143</v>
      </c>
      <c r="E34" t="s">
        <v>144</v>
      </c>
      <c r="F34" t="s">
        <v>145</v>
      </c>
      <c r="G34" s="78">
        <v>8</v>
      </c>
      <c r="H34" s="78">
        <v>0</v>
      </c>
      <c r="I34" s="78">
        <v>0</v>
      </c>
      <c r="J34" s="80">
        <f t="shared" si="0"/>
        <v>0</v>
      </c>
      <c r="K34" s="78">
        <v>0</v>
      </c>
      <c r="L34" s="78">
        <v>0</v>
      </c>
      <c r="M34">
        <f t="shared" si="1"/>
        <v>0</v>
      </c>
      <c r="N34" s="78">
        <v>0</v>
      </c>
      <c r="O34" s="81">
        <v>0</v>
      </c>
      <c r="P34" s="81">
        <v>0</v>
      </c>
      <c r="Q34">
        <f>IF(N34=0,0,(O34/N34)-1)</f>
        <v>0</v>
      </c>
      <c r="R34" s="78">
        <v>100</v>
      </c>
      <c r="S34" s="78">
        <v>0</v>
      </c>
      <c r="T34" s="78">
        <v>0</v>
      </c>
      <c r="U34">
        <f>IF(S34=0,0,(T34/S34)-1)</f>
        <v>0</v>
      </c>
      <c r="V34" s="82">
        <v>0</v>
      </c>
      <c r="W34" s="2">
        <f>IF(K34=0,0,H34/K34)</f>
        <v>0</v>
      </c>
      <c r="X34">
        <f t="shared" si="2"/>
        <v>0</v>
      </c>
      <c r="Y34" s="78">
        <v>0</v>
      </c>
      <c r="Z34" s="78">
        <v>0</v>
      </c>
      <c r="AA34" s="78">
        <v>0</v>
      </c>
      <c r="AB34" s="78">
        <v>0</v>
      </c>
      <c r="AC34" s="78">
        <v>0</v>
      </c>
      <c r="AD34" s="78">
        <v>0</v>
      </c>
    </row>
    <row r="35" spans="1:31" x14ac:dyDescent="0.25">
      <c r="A35" t="s">
        <v>107</v>
      </c>
      <c r="B35" s="78">
        <v>4</v>
      </c>
      <c r="C35" t="s">
        <v>182</v>
      </c>
      <c r="D35" t="s">
        <v>44</v>
      </c>
      <c r="E35" t="s">
        <v>45</v>
      </c>
      <c r="F35" t="s">
        <v>108</v>
      </c>
      <c r="G35" s="78">
        <v>45</v>
      </c>
      <c r="H35" s="78">
        <v>137928.57</v>
      </c>
      <c r="I35" s="78">
        <v>132641.13</v>
      </c>
      <c r="J35" s="80">
        <f t="shared" si="0"/>
        <v>1.0398627484551737</v>
      </c>
      <c r="K35" s="78">
        <v>52</v>
      </c>
      <c r="L35" s="78">
        <v>40</v>
      </c>
      <c r="M35">
        <f t="shared" si="1"/>
        <v>1.3</v>
      </c>
      <c r="N35" s="78">
        <v>0</v>
      </c>
      <c r="O35" s="81">
        <v>82</v>
      </c>
      <c r="P35" s="81">
        <v>75</v>
      </c>
      <c r="Q35">
        <f>IF(N35=0,0,(O35/N35)-1)</f>
        <v>0</v>
      </c>
      <c r="R35" s="78">
        <v>0</v>
      </c>
      <c r="S35" s="78">
        <v>90</v>
      </c>
      <c r="T35" s="78">
        <v>50</v>
      </c>
      <c r="U35">
        <f>IF(S35=0,0,(T35/S35)-1)</f>
        <v>-0.44444444444444442</v>
      </c>
      <c r="V35" s="82">
        <v>2621.3661363636365</v>
      </c>
      <c r="W35" s="2">
        <f>IF(K35=0,0,H35/K35)</f>
        <v>2652.4725000000003</v>
      </c>
      <c r="X35">
        <f t="shared" si="2"/>
        <v>1.1866470389182204E-2</v>
      </c>
      <c r="Y35" s="78">
        <v>22</v>
      </c>
      <c r="Z35" s="78">
        <v>45</v>
      </c>
      <c r="AA35" s="78">
        <v>3</v>
      </c>
      <c r="AB35" s="78">
        <v>1</v>
      </c>
      <c r="AC35" s="78">
        <v>3</v>
      </c>
      <c r="AD35" s="78">
        <v>5</v>
      </c>
    </row>
    <row r="36" spans="1:31" x14ac:dyDescent="0.25">
      <c r="A36" t="s">
        <v>89</v>
      </c>
      <c r="B36" s="78">
        <v>1</v>
      </c>
      <c r="C36" t="s">
        <v>200</v>
      </c>
      <c r="D36" t="s">
        <v>27</v>
      </c>
      <c r="E36" t="s">
        <v>33</v>
      </c>
      <c r="F36" t="s">
        <v>124</v>
      </c>
      <c r="G36" s="78">
        <v>21</v>
      </c>
      <c r="H36" s="78">
        <v>3995</v>
      </c>
      <c r="I36" s="78">
        <v>0</v>
      </c>
      <c r="J36" s="80">
        <f t="shared" si="0"/>
        <v>0</v>
      </c>
      <c r="K36" s="78">
        <v>13</v>
      </c>
      <c r="L36" s="78">
        <v>0</v>
      </c>
      <c r="M36">
        <f t="shared" si="1"/>
        <v>0</v>
      </c>
      <c r="N36" s="78">
        <v>0</v>
      </c>
      <c r="O36" s="81">
        <v>52</v>
      </c>
      <c r="P36" s="81">
        <v>0</v>
      </c>
      <c r="Q36">
        <f>IF(N36=0,0,(O36/N36)-1)</f>
        <v>0</v>
      </c>
      <c r="R36" s="78">
        <v>0</v>
      </c>
      <c r="S36" s="78">
        <v>100</v>
      </c>
      <c r="T36" s="78">
        <v>0</v>
      </c>
      <c r="U36">
        <f>IF(S36=0,0,(T36/S36)-1)</f>
        <v>-1</v>
      </c>
      <c r="V36" s="82">
        <v>0</v>
      </c>
      <c r="W36" s="2">
        <f>IF(K36=0,0,H36/K36)</f>
        <v>307.30769230769232</v>
      </c>
      <c r="X36">
        <f t="shared" si="2"/>
        <v>0</v>
      </c>
      <c r="Y36" s="78">
        <v>4</v>
      </c>
      <c r="Z36" s="78">
        <v>8</v>
      </c>
      <c r="AA36" s="78">
        <v>1</v>
      </c>
      <c r="AB36" s="78">
        <v>0</v>
      </c>
      <c r="AC36" s="78">
        <v>1</v>
      </c>
      <c r="AD36" s="78">
        <v>1</v>
      </c>
      <c r="AE36" s="49" t="s">
        <v>229</v>
      </c>
    </row>
    <row r="37" spans="1:31" x14ac:dyDescent="0.25">
      <c r="A37" t="s">
        <v>127</v>
      </c>
      <c r="B37" s="78">
        <v>4</v>
      </c>
      <c r="C37" t="s">
        <v>179</v>
      </c>
      <c r="D37" t="s">
        <v>39</v>
      </c>
      <c r="E37" t="s">
        <v>40</v>
      </c>
      <c r="F37" t="s">
        <v>152</v>
      </c>
      <c r="G37" s="78">
        <v>23</v>
      </c>
      <c r="H37" s="78">
        <v>161049.95000000001</v>
      </c>
      <c r="I37" s="78">
        <v>48000</v>
      </c>
      <c r="J37" s="80">
        <f t="shared" si="0"/>
        <v>3.3552072916666669</v>
      </c>
      <c r="K37" s="78">
        <v>13</v>
      </c>
      <c r="L37" s="78">
        <v>10</v>
      </c>
      <c r="M37">
        <f t="shared" si="1"/>
        <v>1.3</v>
      </c>
      <c r="N37" s="78">
        <v>0</v>
      </c>
      <c r="O37" s="81">
        <v>100</v>
      </c>
      <c r="P37" s="81">
        <v>70</v>
      </c>
      <c r="Q37">
        <f>IF(N37=0,0,(O37/N37)-1)</f>
        <v>0</v>
      </c>
      <c r="R37" s="78">
        <v>100</v>
      </c>
      <c r="S37" s="78">
        <v>50</v>
      </c>
      <c r="T37" s="78">
        <v>15</v>
      </c>
      <c r="U37">
        <f>IF(S37=0,0,(T37/S37)-1)</f>
        <v>-0.7</v>
      </c>
      <c r="V37" s="82">
        <v>2487.8571428571427</v>
      </c>
      <c r="W37" s="2">
        <f>IF(K37=0,0,H37/K37)</f>
        <v>12388.457692307693</v>
      </c>
      <c r="X37">
        <f t="shared" si="2"/>
        <v>3.9795695576315735</v>
      </c>
      <c r="Y37" s="78">
        <v>11</v>
      </c>
      <c r="Z37" s="78">
        <v>13</v>
      </c>
      <c r="AA37" s="78">
        <v>1</v>
      </c>
      <c r="AB37" s="78">
        <v>1</v>
      </c>
      <c r="AC37" s="78">
        <v>1</v>
      </c>
      <c r="AD37" s="78">
        <v>0</v>
      </c>
      <c r="AE37" s="49" t="s">
        <v>230</v>
      </c>
    </row>
    <row r="38" spans="1:31" x14ac:dyDescent="0.25">
      <c r="A38" t="s">
        <v>122</v>
      </c>
      <c r="B38" s="78">
        <v>3</v>
      </c>
      <c r="C38" t="s">
        <v>180</v>
      </c>
      <c r="D38" t="s">
        <v>44</v>
      </c>
      <c r="E38" t="s">
        <v>45</v>
      </c>
      <c r="F38" t="s">
        <v>28</v>
      </c>
      <c r="G38" s="78">
        <v>17</v>
      </c>
      <c r="H38" s="78">
        <v>13332</v>
      </c>
      <c r="I38" s="78">
        <v>35000</v>
      </c>
      <c r="J38" s="80">
        <f t="shared" si="0"/>
        <v>0.38091428571428571</v>
      </c>
      <c r="K38" s="78">
        <v>5</v>
      </c>
      <c r="L38" s="78">
        <v>14</v>
      </c>
      <c r="M38">
        <f t="shared" si="1"/>
        <v>0.35714285714285715</v>
      </c>
      <c r="N38" s="78">
        <v>0</v>
      </c>
      <c r="O38" s="81">
        <v>64</v>
      </c>
      <c r="P38" s="81">
        <v>75</v>
      </c>
      <c r="Q38">
        <f>IF(N38=0,0,(O38/N38)-1)</f>
        <v>0</v>
      </c>
      <c r="R38" s="78">
        <v>0</v>
      </c>
      <c r="S38" s="78">
        <v>100</v>
      </c>
      <c r="T38" s="78">
        <v>30</v>
      </c>
      <c r="U38">
        <f>IF(S38=0,0,(T38/S38)-1)</f>
        <v>-0.7</v>
      </c>
      <c r="V38" s="82">
        <v>0</v>
      </c>
      <c r="W38" s="2">
        <f>IF(K38=0,0,H38/K38)</f>
        <v>2666.4</v>
      </c>
      <c r="X38">
        <f t="shared" si="2"/>
        <v>0</v>
      </c>
      <c r="Y38" s="78">
        <v>4</v>
      </c>
      <c r="Z38" s="78">
        <v>4</v>
      </c>
      <c r="AA38" s="78">
        <v>0</v>
      </c>
      <c r="AB38" s="78">
        <v>1</v>
      </c>
      <c r="AC38" s="78">
        <v>0</v>
      </c>
      <c r="AD38" s="78">
        <v>0</v>
      </c>
    </row>
    <row r="39" spans="1:31" x14ac:dyDescent="0.25">
      <c r="A39" t="s">
        <v>90</v>
      </c>
      <c r="B39" s="78">
        <v>1</v>
      </c>
      <c r="C39" t="s">
        <v>180</v>
      </c>
      <c r="D39" t="s">
        <v>39</v>
      </c>
      <c r="E39" t="s">
        <v>91</v>
      </c>
      <c r="F39" t="s">
        <v>62</v>
      </c>
      <c r="G39" s="78">
        <v>7</v>
      </c>
      <c r="H39" s="78">
        <v>0</v>
      </c>
      <c r="I39" s="78">
        <v>0</v>
      </c>
      <c r="J39" s="80">
        <f t="shared" si="0"/>
        <v>0</v>
      </c>
      <c r="K39" s="78">
        <v>0</v>
      </c>
      <c r="L39" s="78">
        <v>0</v>
      </c>
      <c r="M39">
        <f t="shared" si="1"/>
        <v>0</v>
      </c>
      <c r="N39" s="78">
        <v>0</v>
      </c>
      <c r="O39" s="81">
        <v>0</v>
      </c>
      <c r="P39" s="81">
        <v>0</v>
      </c>
      <c r="Q39">
        <f>IF(N39=0,0,(O39/N39)-1)</f>
        <v>0</v>
      </c>
      <c r="R39" s="78">
        <v>0</v>
      </c>
      <c r="S39" s="78">
        <v>0</v>
      </c>
      <c r="T39" s="78">
        <v>0</v>
      </c>
      <c r="U39">
        <f>IF(S39=0,0,(T39/S39)-1)</f>
        <v>0</v>
      </c>
      <c r="V39" s="82">
        <v>0</v>
      </c>
      <c r="W39" s="2">
        <f>IF(K39=0,0,H39/K39)</f>
        <v>0</v>
      </c>
      <c r="X39">
        <f t="shared" si="2"/>
        <v>0</v>
      </c>
      <c r="Y39" s="78">
        <v>0</v>
      </c>
      <c r="Z39" s="78">
        <v>0</v>
      </c>
      <c r="AA39" s="78">
        <v>0</v>
      </c>
      <c r="AB39" s="78">
        <v>0</v>
      </c>
      <c r="AC39" s="78">
        <v>0</v>
      </c>
      <c r="AD39" s="78">
        <v>0</v>
      </c>
      <c r="AE39" s="49" t="s">
        <v>231</v>
      </c>
    </row>
    <row r="40" spans="1:31" x14ac:dyDescent="0.25">
      <c r="A40" t="s">
        <v>106</v>
      </c>
      <c r="B40" s="78">
        <v>1</v>
      </c>
      <c r="C40" t="s">
        <v>200</v>
      </c>
      <c r="D40" t="s">
        <v>27</v>
      </c>
      <c r="E40" t="s">
        <v>91</v>
      </c>
      <c r="F40" t="s">
        <v>52</v>
      </c>
      <c r="G40" s="78">
        <v>11</v>
      </c>
      <c r="H40" s="78">
        <v>3400.86</v>
      </c>
      <c r="I40" s="78">
        <v>0</v>
      </c>
      <c r="J40" s="80">
        <f t="shared" si="0"/>
        <v>0</v>
      </c>
      <c r="K40" s="78">
        <v>8</v>
      </c>
      <c r="L40" s="78">
        <v>0</v>
      </c>
      <c r="M40">
        <f t="shared" si="1"/>
        <v>0</v>
      </c>
      <c r="N40" s="78">
        <v>88</v>
      </c>
      <c r="O40" s="81">
        <v>81</v>
      </c>
      <c r="P40" s="81">
        <v>0</v>
      </c>
      <c r="Q40">
        <f>IF(N40=0,0,(O40/N40)-1)</f>
        <v>-7.9545454545454586E-2</v>
      </c>
      <c r="R40" s="78">
        <v>1</v>
      </c>
      <c r="S40" s="78">
        <v>50</v>
      </c>
      <c r="T40" s="78">
        <v>0</v>
      </c>
      <c r="U40">
        <f>IF(S40=0,0,(T40/S40)-1)</f>
        <v>-1</v>
      </c>
      <c r="V40" s="82">
        <v>0</v>
      </c>
      <c r="W40" s="2">
        <f>IF(K40=0,0,H40/K40)</f>
        <v>425.10750000000002</v>
      </c>
      <c r="X40">
        <f t="shared" si="2"/>
        <v>0</v>
      </c>
      <c r="Y40" s="78">
        <v>8</v>
      </c>
      <c r="Z40" s="78">
        <v>8</v>
      </c>
      <c r="AA40" s="78">
        <v>1</v>
      </c>
      <c r="AB40" s="78">
        <v>0</v>
      </c>
      <c r="AC40" s="78">
        <v>1</v>
      </c>
      <c r="AD40" s="78">
        <v>0</v>
      </c>
    </row>
    <row r="41" spans="1:31" x14ac:dyDescent="0.25">
      <c r="A41" t="s">
        <v>110</v>
      </c>
      <c r="B41" s="78">
        <v>1</v>
      </c>
      <c r="C41" t="s">
        <v>201</v>
      </c>
      <c r="D41" t="s">
        <v>44</v>
      </c>
      <c r="E41" t="s">
        <v>45</v>
      </c>
      <c r="F41" t="s">
        <v>156</v>
      </c>
      <c r="G41" s="78">
        <v>37</v>
      </c>
      <c r="H41" s="78">
        <v>170057.04</v>
      </c>
      <c r="I41" s="78">
        <v>170000</v>
      </c>
      <c r="J41" s="80">
        <f t="shared" si="0"/>
        <v>1.0003355294117648</v>
      </c>
      <c r="K41" s="78">
        <v>42</v>
      </c>
      <c r="L41" s="78">
        <v>31</v>
      </c>
      <c r="M41">
        <f t="shared" si="1"/>
        <v>1.3548387096774193</v>
      </c>
      <c r="N41" s="78">
        <v>0</v>
      </c>
      <c r="O41" s="81">
        <v>83</v>
      </c>
      <c r="P41" s="81">
        <v>75</v>
      </c>
      <c r="Q41">
        <f>IF(N41=0,0,(O41/N41)-1)</f>
        <v>0</v>
      </c>
      <c r="R41" s="78">
        <v>0</v>
      </c>
      <c r="S41" s="78">
        <v>87</v>
      </c>
      <c r="T41" s="78">
        <v>65</v>
      </c>
      <c r="U41">
        <f>IF(S41=0,0,(T41/S41)-1)</f>
        <v>-0.25287356321839083</v>
      </c>
      <c r="V41" s="82">
        <v>2365.5714285714298</v>
      </c>
      <c r="W41" s="2">
        <f>IF(K41=0,0,H41/K41)</f>
        <v>4048.977142857143</v>
      </c>
      <c r="X41">
        <f t="shared" si="2"/>
        <v>0.71162751373875155</v>
      </c>
      <c r="Y41" s="78">
        <v>25</v>
      </c>
      <c r="Z41" s="78">
        <v>38</v>
      </c>
      <c r="AA41" s="78">
        <v>6</v>
      </c>
      <c r="AB41" s="78">
        <v>4</v>
      </c>
      <c r="AC41" s="78">
        <v>3</v>
      </c>
      <c r="AD41" s="78">
        <v>4</v>
      </c>
    </row>
    <row r="42" spans="1:31" x14ac:dyDescent="0.25">
      <c r="A42" t="s">
        <v>32</v>
      </c>
      <c r="B42" s="78">
        <v>1</v>
      </c>
      <c r="C42" t="s">
        <v>201</v>
      </c>
      <c r="D42" t="s">
        <v>27</v>
      </c>
      <c r="E42" t="s">
        <v>33</v>
      </c>
      <c r="F42" t="s">
        <v>34</v>
      </c>
      <c r="G42" s="78">
        <v>12</v>
      </c>
      <c r="H42" s="78">
        <v>900</v>
      </c>
      <c r="I42" s="78">
        <v>0</v>
      </c>
      <c r="J42" s="80">
        <f t="shared" si="0"/>
        <v>0</v>
      </c>
      <c r="K42" s="78">
        <v>2</v>
      </c>
      <c r="L42" s="78">
        <v>0</v>
      </c>
      <c r="M42">
        <f t="shared" si="1"/>
        <v>0</v>
      </c>
      <c r="N42" s="78">
        <v>60</v>
      </c>
      <c r="O42" s="81">
        <v>100</v>
      </c>
      <c r="P42" s="81">
        <v>0</v>
      </c>
      <c r="Q42">
        <f>IF(N42=0,0,(O42/N42)-1)</f>
        <v>0.66666666666666674</v>
      </c>
      <c r="R42" s="78">
        <v>0</v>
      </c>
      <c r="S42" s="78">
        <v>0</v>
      </c>
      <c r="T42" s="78">
        <v>0</v>
      </c>
      <c r="U42">
        <f>IF(S42=0,0,(T42/S42)-1)</f>
        <v>0</v>
      </c>
      <c r="V42" s="82">
        <v>0</v>
      </c>
      <c r="W42" s="2">
        <f>IF(K42=0,0,H42/K42)</f>
        <v>450</v>
      </c>
      <c r="X42">
        <f t="shared" si="2"/>
        <v>0</v>
      </c>
      <c r="Y42" s="78">
        <v>0</v>
      </c>
      <c r="Z42" s="78">
        <v>0</v>
      </c>
      <c r="AA42" s="78">
        <v>0</v>
      </c>
      <c r="AB42" s="78">
        <v>0</v>
      </c>
      <c r="AC42" s="78">
        <v>0</v>
      </c>
      <c r="AD42" s="78">
        <v>0</v>
      </c>
    </row>
    <row r="43" spans="1:31" x14ac:dyDescent="0.25">
      <c r="A43" t="s">
        <v>150</v>
      </c>
      <c r="B43" s="78">
        <v>2</v>
      </c>
      <c r="C43" t="s">
        <v>180</v>
      </c>
      <c r="D43" t="s">
        <v>39</v>
      </c>
      <c r="E43" t="s">
        <v>40</v>
      </c>
      <c r="F43" t="s">
        <v>61</v>
      </c>
      <c r="G43" s="78">
        <v>26</v>
      </c>
      <c r="H43" s="78">
        <v>26600</v>
      </c>
      <c r="I43" s="78">
        <v>115000</v>
      </c>
      <c r="J43" s="80">
        <f t="shared" si="0"/>
        <v>0.23130434782608697</v>
      </c>
      <c r="K43" s="78">
        <v>15</v>
      </c>
      <c r="L43" s="78">
        <v>19</v>
      </c>
      <c r="M43">
        <f t="shared" si="1"/>
        <v>0.78947368421052633</v>
      </c>
      <c r="N43" s="78">
        <v>0</v>
      </c>
      <c r="O43" s="81">
        <v>53</v>
      </c>
      <c r="P43" s="81">
        <v>75</v>
      </c>
      <c r="Q43">
        <f>IF(N43=0,0,(O43/N43)-1)</f>
        <v>0</v>
      </c>
      <c r="R43" s="78">
        <v>0</v>
      </c>
      <c r="S43" s="78">
        <v>62</v>
      </c>
      <c r="T43" s="78">
        <v>100</v>
      </c>
      <c r="U43">
        <f>IF(S43=0,0,(T43/S43)-1)</f>
        <v>0.61290322580645151</v>
      </c>
      <c r="V43" s="82">
        <v>6180</v>
      </c>
      <c r="W43" s="2">
        <f>IF(K43=0,0,H43/K43)</f>
        <v>1773.3333333333333</v>
      </c>
      <c r="X43">
        <f t="shared" si="2"/>
        <v>-0.71305285868392665</v>
      </c>
      <c r="Y43" s="78">
        <v>14</v>
      </c>
      <c r="Z43" s="78">
        <v>15</v>
      </c>
      <c r="AA43" s="78">
        <v>1</v>
      </c>
      <c r="AB43" s="78">
        <v>4</v>
      </c>
      <c r="AC43" s="78">
        <v>2</v>
      </c>
      <c r="AD43" s="78">
        <v>1</v>
      </c>
      <c r="AE43" s="49" t="s">
        <v>232</v>
      </c>
    </row>
    <row r="44" spans="1:31" x14ac:dyDescent="0.25">
      <c r="A44" t="s">
        <v>71</v>
      </c>
      <c r="B44" s="78">
        <v>1</v>
      </c>
      <c r="C44" t="s">
        <v>180</v>
      </c>
      <c r="D44" t="s">
        <v>68</v>
      </c>
      <c r="E44" t="s">
        <v>69</v>
      </c>
      <c r="F44" t="s">
        <v>35</v>
      </c>
      <c r="G44" s="78">
        <v>10</v>
      </c>
      <c r="H44" s="78">
        <v>0</v>
      </c>
      <c r="I44" s="78">
        <v>0</v>
      </c>
      <c r="J44" s="80">
        <f t="shared" si="0"/>
        <v>0</v>
      </c>
      <c r="K44" s="78">
        <v>0</v>
      </c>
      <c r="L44" s="78">
        <v>0</v>
      </c>
      <c r="M44">
        <f t="shared" si="1"/>
        <v>0</v>
      </c>
      <c r="N44" s="78">
        <v>35</v>
      </c>
      <c r="O44" s="81">
        <v>0</v>
      </c>
      <c r="P44" s="81">
        <v>0</v>
      </c>
      <c r="Q44">
        <f>IF(N44=0,0,(O44/N44)-1)</f>
        <v>-1</v>
      </c>
      <c r="R44" s="78">
        <v>8</v>
      </c>
      <c r="S44" s="78">
        <v>0</v>
      </c>
      <c r="T44" s="78">
        <v>0</v>
      </c>
      <c r="U44">
        <f>IF(S44=0,0,(T44/S44)-1)</f>
        <v>0</v>
      </c>
      <c r="V44" s="82">
        <v>0</v>
      </c>
      <c r="W44" s="2">
        <f>IF(K44=0,0,H44/K44)</f>
        <v>0</v>
      </c>
      <c r="X44">
        <f t="shared" si="2"/>
        <v>0</v>
      </c>
      <c r="Y44" s="78">
        <v>0</v>
      </c>
      <c r="Z44" s="78">
        <v>0</v>
      </c>
      <c r="AA44" s="78">
        <v>1</v>
      </c>
      <c r="AB44" s="78">
        <v>0</v>
      </c>
      <c r="AC44" s="78">
        <v>1</v>
      </c>
      <c r="AD44" s="78">
        <v>0</v>
      </c>
    </row>
    <row r="45" spans="1:31" x14ac:dyDescent="0.25">
      <c r="A45" t="s">
        <v>84</v>
      </c>
      <c r="B45" s="78">
        <v>1</v>
      </c>
      <c r="C45" t="s">
        <v>180</v>
      </c>
      <c r="D45" t="s">
        <v>39</v>
      </c>
      <c r="E45" t="s">
        <v>40</v>
      </c>
      <c r="F45" t="s">
        <v>85</v>
      </c>
      <c r="G45" s="78">
        <v>7</v>
      </c>
      <c r="H45" s="78">
        <v>8677.4</v>
      </c>
      <c r="I45" s="78">
        <v>8000</v>
      </c>
      <c r="J45" s="80">
        <f t="shared" si="0"/>
        <v>1.0846750000000001</v>
      </c>
      <c r="K45" s="78">
        <v>6</v>
      </c>
      <c r="L45" s="78">
        <v>6</v>
      </c>
      <c r="M45">
        <f t="shared" si="1"/>
        <v>1</v>
      </c>
      <c r="N45" s="78">
        <v>89</v>
      </c>
      <c r="O45" s="81">
        <v>100</v>
      </c>
      <c r="P45" s="81">
        <v>75</v>
      </c>
      <c r="Q45">
        <f>IF(N45=0,0,(O45/N45)-1)</f>
        <v>0.12359550561797761</v>
      </c>
      <c r="R45" s="78">
        <v>60</v>
      </c>
      <c r="S45" s="78">
        <v>0</v>
      </c>
      <c r="T45" s="78">
        <v>50</v>
      </c>
      <c r="U45">
        <f>IF(S45=0,0,(T45/S45)-1)</f>
        <v>0</v>
      </c>
      <c r="V45" s="82">
        <v>773.75</v>
      </c>
      <c r="W45" s="2">
        <f>IF(K45=0,0,H45/K45)</f>
        <v>1446.2333333333333</v>
      </c>
      <c r="X45">
        <f t="shared" si="2"/>
        <v>0.86912224017232087</v>
      </c>
      <c r="Y45" s="78">
        <v>5</v>
      </c>
      <c r="Z45" s="78">
        <v>5</v>
      </c>
      <c r="AA45" s="78">
        <v>2</v>
      </c>
      <c r="AB45" s="78">
        <v>1</v>
      </c>
      <c r="AC45" s="78">
        <v>2</v>
      </c>
      <c r="AD45" s="78">
        <v>2</v>
      </c>
    </row>
    <row r="46" spans="1:31" x14ac:dyDescent="0.25">
      <c r="A46" t="s">
        <v>81</v>
      </c>
      <c r="B46" s="78">
        <v>1</v>
      </c>
      <c r="C46" t="s">
        <v>182</v>
      </c>
      <c r="D46" t="s">
        <v>27</v>
      </c>
      <c r="E46" t="s">
        <v>33</v>
      </c>
      <c r="F46" t="s">
        <v>82</v>
      </c>
      <c r="G46" s="78">
        <v>20</v>
      </c>
      <c r="H46" s="78">
        <v>540</v>
      </c>
      <c r="I46" s="78">
        <v>14700</v>
      </c>
      <c r="J46" s="80">
        <f t="shared" si="0"/>
        <v>3.6734693877551024E-2</v>
      </c>
      <c r="K46" s="78">
        <v>2</v>
      </c>
      <c r="L46" s="78">
        <v>12</v>
      </c>
      <c r="M46">
        <f t="shared" si="1"/>
        <v>0.16666666666666666</v>
      </c>
      <c r="N46" s="78">
        <v>82</v>
      </c>
      <c r="O46" s="81">
        <v>30</v>
      </c>
      <c r="P46" s="81">
        <v>66</v>
      </c>
      <c r="Q46">
        <f>IF(N46=0,0,(O46/N46)-1)</f>
        <v>-0.63414634146341464</v>
      </c>
      <c r="R46" s="78">
        <v>0</v>
      </c>
      <c r="S46" s="78">
        <v>100</v>
      </c>
      <c r="T46" s="78">
        <v>50</v>
      </c>
      <c r="U46">
        <f>IF(S46=0,0,(T46/S46)-1)</f>
        <v>-0.5</v>
      </c>
      <c r="V46" s="82">
        <v>0</v>
      </c>
      <c r="W46" s="2">
        <f>IF(K46=0,0,H46/K46)</f>
        <v>270</v>
      </c>
      <c r="X46">
        <f t="shared" si="2"/>
        <v>0</v>
      </c>
      <c r="Y46" s="78">
        <v>2</v>
      </c>
      <c r="Z46" s="78">
        <v>2</v>
      </c>
      <c r="AA46" s="78">
        <v>0</v>
      </c>
      <c r="AB46" s="78">
        <v>2</v>
      </c>
      <c r="AC46" s="78">
        <v>0</v>
      </c>
      <c r="AD46" s="78">
        <v>0</v>
      </c>
      <c r="AE46" s="49" t="s">
        <v>233</v>
      </c>
    </row>
    <row r="47" spans="1:31" x14ac:dyDescent="0.25">
      <c r="A47" t="s">
        <v>53</v>
      </c>
      <c r="B47" s="78">
        <v>1</v>
      </c>
      <c r="C47" t="s">
        <v>180</v>
      </c>
      <c r="D47" t="s">
        <v>27</v>
      </c>
      <c r="E47" t="s">
        <v>45</v>
      </c>
      <c r="F47" t="s">
        <v>54</v>
      </c>
      <c r="G47" s="78">
        <v>24</v>
      </c>
      <c r="H47" s="78">
        <v>5260.04</v>
      </c>
      <c r="I47" s="78">
        <v>5000</v>
      </c>
      <c r="J47" s="80">
        <f t="shared" si="0"/>
        <v>1.0520080000000001</v>
      </c>
      <c r="K47" s="78">
        <v>20</v>
      </c>
      <c r="L47" s="78">
        <v>20</v>
      </c>
      <c r="M47">
        <f t="shared" si="1"/>
        <v>1</v>
      </c>
      <c r="N47" s="78">
        <v>0</v>
      </c>
      <c r="O47" s="81">
        <v>62</v>
      </c>
      <c r="P47" s="81">
        <v>60</v>
      </c>
      <c r="Q47">
        <f>IF(N47=0,0,(O47/N47)-1)</f>
        <v>0</v>
      </c>
      <c r="R47" s="78">
        <v>0</v>
      </c>
      <c r="S47" s="78">
        <v>66</v>
      </c>
      <c r="T47" s="78">
        <v>50</v>
      </c>
      <c r="U47">
        <f>IF(S47=0,0,(T47/S47)-1)</f>
        <v>-0.24242424242424243</v>
      </c>
      <c r="V47" s="82">
        <v>0</v>
      </c>
      <c r="W47" s="2">
        <f>IF(K47=0,0,H47/K47)</f>
        <v>263.00200000000001</v>
      </c>
      <c r="X47">
        <f t="shared" si="2"/>
        <v>0</v>
      </c>
      <c r="Y47" s="78">
        <v>11</v>
      </c>
      <c r="Z47" s="78">
        <v>17</v>
      </c>
      <c r="AA47" s="78">
        <v>2</v>
      </c>
      <c r="AB47" s="78">
        <v>2</v>
      </c>
      <c r="AC47" s="78">
        <v>2</v>
      </c>
      <c r="AD47" s="78">
        <v>5</v>
      </c>
    </row>
    <row r="48" spans="1:31" x14ac:dyDescent="0.25">
      <c r="A48" t="s">
        <v>109</v>
      </c>
      <c r="B48" s="78">
        <v>1</v>
      </c>
      <c r="C48" t="s">
        <v>202</v>
      </c>
      <c r="D48" t="s">
        <v>44</v>
      </c>
      <c r="E48" t="s">
        <v>45</v>
      </c>
      <c r="F48" t="s">
        <v>148</v>
      </c>
      <c r="G48" s="78">
        <v>11</v>
      </c>
      <c r="H48" s="78">
        <v>16430.099999999999</v>
      </c>
      <c r="I48" s="78">
        <v>15000</v>
      </c>
      <c r="J48" s="80">
        <f t="shared" si="0"/>
        <v>1.09534</v>
      </c>
      <c r="K48" s="78">
        <v>21</v>
      </c>
      <c r="L48" s="78">
        <v>16</v>
      </c>
      <c r="M48">
        <f t="shared" si="1"/>
        <v>1.3125</v>
      </c>
      <c r="N48" s="78">
        <v>69</v>
      </c>
      <c r="O48" s="81">
        <v>100</v>
      </c>
      <c r="P48" s="81">
        <v>75</v>
      </c>
      <c r="Q48">
        <f>IF(N48=0,0,(O48/N48)-1)</f>
        <v>0.44927536231884058</v>
      </c>
      <c r="R48" s="78">
        <v>1</v>
      </c>
      <c r="S48" s="78">
        <v>50</v>
      </c>
      <c r="T48" s="78">
        <v>14</v>
      </c>
      <c r="U48">
        <f>IF(S48=0,0,(T48/S48)-1)</f>
        <v>-0.72</v>
      </c>
      <c r="V48" s="82">
        <v>689.09090909090901</v>
      </c>
      <c r="W48" s="2">
        <f>IF(K48=0,0,H48/K48)</f>
        <v>782.38571428571424</v>
      </c>
      <c r="X48">
        <f t="shared" si="2"/>
        <v>0.13538823972860925</v>
      </c>
      <c r="Y48" s="78">
        <v>11</v>
      </c>
      <c r="Z48" s="78">
        <v>17</v>
      </c>
      <c r="AA48" s="78">
        <v>2</v>
      </c>
      <c r="AB48" s="78">
        <v>2</v>
      </c>
      <c r="AC48" s="78">
        <v>2</v>
      </c>
      <c r="AD48" s="78">
        <v>3</v>
      </c>
      <c r="AE48" s="49" t="s">
        <v>234</v>
      </c>
    </row>
    <row r="49" spans="1:31" x14ac:dyDescent="0.25">
      <c r="A49" t="s">
        <v>102</v>
      </c>
      <c r="B49" s="78">
        <v>4</v>
      </c>
      <c r="C49" t="s">
        <v>201</v>
      </c>
      <c r="D49" t="s">
        <v>39</v>
      </c>
      <c r="E49" t="s">
        <v>40</v>
      </c>
      <c r="F49" t="s">
        <v>146</v>
      </c>
      <c r="G49" s="78">
        <v>42</v>
      </c>
      <c r="H49" s="78">
        <v>258866.54</v>
      </c>
      <c r="I49" s="78">
        <v>500000</v>
      </c>
      <c r="J49" s="80">
        <f t="shared" si="0"/>
        <v>0.51773308000000007</v>
      </c>
      <c r="K49" s="78">
        <v>55</v>
      </c>
      <c r="L49" s="78">
        <v>65</v>
      </c>
      <c r="M49">
        <f t="shared" si="1"/>
        <v>0.84615384615384615</v>
      </c>
      <c r="N49" s="78">
        <v>100</v>
      </c>
      <c r="O49" s="81">
        <v>90</v>
      </c>
      <c r="P49" s="81">
        <v>75</v>
      </c>
      <c r="Q49">
        <f>IF(N49=0,0,(O49/N49)-1)</f>
        <v>-9.9999999999999978E-2</v>
      </c>
      <c r="R49" s="78">
        <v>0</v>
      </c>
      <c r="S49" s="78">
        <v>68</v>
      </c>
      <c r="T49" s="78">
        <v>80</v>
      </c>
      <c r="U49">
        <f>IF(S49=0,0,(T49/S49)-1)</f>
        <v>0.17647058823529416</v>
      </c>
      <c r="V49" s="82">
        <v>6629.4120930232548</v>
      </c>
      <c r="W49" s="2">
        <f>IF(K49=0,0,H49/K49)</f>
        <v>4706.6643636363642</v>
      </c>
      <c r="X49">
        <f t="shared" si="2"/>
        <v>-0.29003291730957204</v>
      </c>
      <c r="Y49" s="78">
        <v>54</v>
      </c>
      <c r="Z49" s="78">
        <v>55</v>
      </c>
      <c r="AA49" s="78">
        <v>10</v>
      </c>
      <c r="AB49" s="78">
        <v>5</v>
      </c>
      <c r="AC49" s="78">
        <v>6</v>
      </c>
      <c r="AD49" s="78">
        <v>3</v>
      </c>
      <c r="AE49" s="49" t="s">
        <v>235</v>
      </c>
    </row>
    <row r="50" spans="1:31" x14ac:dyDescent="0.25">
      <c r="A50" t="s">
        <v>113</v>
      </c>
      <c r="B50" s="78">
        <v>1</v>
      </c>
      <c r="C50" t="s">
        <v>180</v>
      </c>
      <c r="D50" t="s">
        <v>39</v>
      </c>
      <c r="E50" t="s">
        <v>40</v>
      </c>
      <c r="F50" t="s">
        <v>114</v>
      </c>
      <c r="G50" s="78">
        <v>24</v>
      </c>
      <c r="H50" s="78">
        <v>8729.9</v>
      </c>
      <c r="I50" s="78">
        <v>12500</v>
      </c>
      <c r="J50" s="80">
        <f t="shared" si="0"/>
        <v>0.69839200000000001</v>
      </c>
      <c r="K50" s="78">
        <v>10</v>
      </c>
      <c r="L50" s="78">
        <v>12</v>
      </c>
      <c r="M50">
        <f t="shared" si="1"/>
        <v>0.83333333333333337</v>
      </c>
      <c r="N50" s="78">
        <v>0</v>
      </c>
      <c r="O50" s="81">
        <v>58</v>
      </c>
      <c r="P50" s="81">
        <v>75</v>
      </c>
      <c r="Q50">
        <f>IF(N50=0,0,(O50/N50)-1)</f>
        <v>0</v>
      </c>
      <c r="R50" s="78">
        <v>0</v>
      </c>
      <c r="S50" s="78">
        <v>40</v>
      </c>
      <c r="T50" s="78">
        <v>18</v>
      </c>
      <c r="U50">
        <f>IF(S50=0,0,(T50/S50)-1)</f>
        <v>-0.55000000000000004</v>
      </c>
      <c r="V50" s="82">
        <v>497.8125</v>
      </c>
      <c r="W50" s="2">
        <f>IF(K50=0,0,H50/K50)</f>
        <v>872.99</v>
      </c>
      <c r="X50">
        <f t="shared" si="2"/>
        <v>0.75365222849968605</v>
      </c>
      <c r="Y50" s="78">
        <v>9</v>
      </c>
      <c r="Z50" s="78">
        <v>9</v>
      </c>
      <c r="AA50" s="78">
        <v>0</v>
      </c>
      <c r="AB50" s="78">
        <v>3</v>
      </c>
      <c r="AC50" s="78">
        <v>0</v>
      </c>
      <c r="AD50" s="78">
        <v>0</v>
      </c>
    </row>
    <row r="51" spans="1:31" x14ac:dyDescent="0.25">
      <c r="A51" t="s">
        <v>115</v>
      </c>
      <c r="B51" s="78">
        <v>1</v>
      </c>
      <c r="C51" t="s">
        <v>179</v>
      </c>
      <c r="D51" t="s">
        <v>39</v>
      </c>
      <c r="E51" t="s">
        <v>40</v>
      </c>
      <c r="F51" t="s">
        <v>80</v>
      </c>
      <c r="G51" s="78">
        <v>13</v>
      </c>
      <c r="H51" s="78">
        <v>2474</v>
      </c>
      <c r="I51" s="78">
        <v>30000</v>
      </c>
      <c r="J51" s="80">
        <f t="shared" si="0"/>
        <v>8.246666666666666E-2</v>
      </c>
      <c r="K51" s="78">
        <v>2</v>
      </c>
      <c r="L51" s="78">
        <v>15</v>
      </c>
      <c r="M51">
        <f t="shared" si="1"/>
        <v>0.13333333333333333</v>
      </c>
      <c r="N51" s="78">
        <v>100</v>
      </c>
      <c r="O51" s="81">
        <v>23</v>
      </c>
      <c r="P51" s="81">
        <v>70</v>
      </c>
      <c r="Q51">
        <f>IF(N51=0,0,(O51/N51)-1)</f>
        <v>-0.77</v>
      </c>
      <c r="R51" s="78">
        <v>50</v>
      </c>
      <c r="S51" s="78">
        <v>0</v>
      </c>
      <c r="T51" s="78">
        <v>30</v>
      </c>
      <c r="U51">
        <f>IF(S51=0,0,(T51/S51)-1)</f>
        <v>0</v>
      </c>
      <c r="V51" s="82">
        <v>461.53846153846155</v>
      </c>
      <c r="W51" s="2">
        <f>IF(K51=0,0,H51/K51)</f>
        <v>1237</v>
      </c>
      <c r="X51">
        <f t="shared" si="2"/>
        <v>1.6801666666666666</v>
      </c>
      <c r="Y51" s="78">
        <v>5</v>
      </c>
      <c r="Z51" s="78">
        <v>5</v>
      </c>
      <c r="AA51" s="78">
        <v>0</v>
      </c>
      <c r="AB51" s="78">
        <v>1</v>
      </c>
      <c r="AC51" s="78">
        <v>0</v>
      </c>
      <c r="AD51" s="78">
        <v>0</v>
      </c>
    </row>
    <row r="52" spans="1:31" x14ac:dyDescent="0.25">
      <c r="A52" t="s">
        <v>100</v>
      </c>
      <c r="B52" s="78">
        <v>3</v>
      </c>
      <c r="C52" t="s">
        <v>179</v>
      </c>
      <c r="D52" t="s">
        <v>27</v>
      </c>
      <c r="E52" t="s">
        <v>45</v>
      </c>
      <c r="F52" t="s">
        <v>128</v>
      </c>
      <c r="G52" s="78">
        <v>31</v>
      </c>
      <c r="H52" s="78">
        <v>39242.660000000003</v>
      </c>
      <c r="I52" s="78">
        <v>33314.28</v>
      </c>
      <c r="J52" s="80">
        <f t="shared" si="0"/>
        <v>1.1779531180022502</v>
      </c>
      <c r="K52" s="78">
        <v>20</v>
      </c>
      <c r="L52" s="78">
        <v>18</v>
      </c>
      <c r="M52">
        <f t="shared" si="1"/>
        <v>1.1111111111111112</v>
      </c>
      <c r="N52" s="78">
        <v>0</v>
      </c>
      <c r="O52" s="81">
        <v>83</v>
      </c>
      <c r="P52" s="81">
        <v>73</v>
      </c>
      <c r="Q52">
        <f>IF(N52=0,0,(O52/N52)-1)</f>
        <v>0</v>
      </c>
      <c r="R52" s="78">
        <v>0</v>
      </c>
      <c r="S52" s="78">
        <v>100</v>
      </c>
      <c r="T52" s="78">
        <v>32</v>
      </c>
      <c r="U52">
        <f>IF(S52=0,0,(T52/S52)-1)</f>
        <v>-0.67999999999999994</v>
      </c>
      <c r="V52" s="82">
        <v>1391.8780000000002</v>
      </c>
      <c r="W52" s="2">
        <f>IF(K52=0,0,H52/K52)</f>
        <v>1962.1330000000003</v>
      </c>
      <c r="X52">
        <f t="shared" si="2"/>
        <v>0.40970185605347598</v>
      </c>
      <c r="Y52" s="78">
        <v>5</v>
      </c>
      <c r="Z52" s="78">
        <v>6</v>
      </c>
      <c r="AA52" s="78">
        <v>4</v>
      </c>
      <c r="AB52" s="78">
        <v>2</v>
      </c>
      <c r="AC52" s="78">
        <v>4</v>
      </c>
      <c r="AD52" s="78">
        <v>6</v>
      </c>
    </row>
    <row r="53" spans="1:31" x14ac:dyDescent="0.25">
      <c r="A53" t="s">
        <v>67</v>
      </c>
      <c r="B53" s="78">
        <v>1</v>
      </c>
      <c r="C53" t="s">
        <v>180</v>
      </c>
      <c r="D53" t="s">
        <v>68</v>
      </c>
      <c r="E53" t="s">
        <v>69</v>
      </c>
      <c r="F53" t="s">
        <v>70</v>
      </c>
      <c r="G53" s="78">
        <v>13</v>
      </c>
      <c r="H53" s="78">
        <v>4073.79</v>
      </c>
      <c r="I53" s="78">
        <v>4000</v>
      </c>
      <c r="J53" s="80">
        <f t="shared" si="0"/>
        <v>1.0184475</v>
      </c>
      <c r="K53" s="78">
        <v>9</v>
      </c>
      <c r="L53" s="78">
        <v>8</v>
      </c>
      <c r="M53">
        <f t="shared" si="1"/>
        <v>1.125</v>
      </c>
      <c r="N53" s="78">
        <v>0</v>
      </c>
      <c r="O53" s="81">
        <v>76</v>
      </c>
      <c r="P53" s="81">
        <v>75</v>
      </c>
      <c r="Q53">
        <f>IF(N53=0,0,(O53/N53)-1)</f>
        <v>0</v>
      </c>
      <c r="R53" s="78">
        <v>0</v>
      </c>
      <c r="S53" s="78">
        <v>0</v>
      </c>
      <c r="T53" s="78">
        <v>30</v>
      </c>
      <c r="U53">
        <f>IF(S53=0,0,(T53/S53)-1)</f>
        <v>0</v>
      </c>
      <c r="V53" s="82">
        <v>0</v>
      </c>
      <c r="W53" s="2">
        <f>IF(K53=0,0,H53/K53)</f>
        <v>452.64333333333332</v>
      </c>
      <c r="X53">
        <f t="shared" si="2"/>
        <v>0</v>
      </c>
      <c r="Y53" s="78">
        <v>5</v>
      </c>
      <c r="Z53" s="78">
        <v>7</v>
      </c>
      <c r="AA53" s="78">
        <v>0</v>
      </c>
      <c r="AB53" s="78">
        <v>3</v>
      </c>
      <c r="AC53" s="78">
        <v>0</v>
      </c>
      <c r="AD53" s="78">
        <v>0</v>
      </c>
    </row>
    <row r="54" spans="1:31" x14ac:dyDescent="0.25">
      <c r="A54" t="s">
        <v>153</v>
      </c>
      <c r="B54" s="78">
        <v>1</v>
      </c>
      <c r="C54" t="s">
        <v>181</v>
      </c>
      <c r="D54" t="s">
        <v>27</v>
      </c>
      <c r="E54" t="s">
        <v>45</v>
      </c>
      <c r="F54" t="s">
        <v>59</v>
      </c>
      <c r="G54" s="78">
        <v>30</v>
      </c>
      <c r="H54" s="78">
        <v>13242.82</v>
      </c>
      <c r="I54" s="78">
        <v>28517.09</v>
      </c>
      <c r="J54" s="80">
        <f t="shared" si="0"/>
        <v>0.46438188468739272</v>
      </c>
      <c r="K54" s="78">
        <v>24</v>
      </c>
      <c r="L54" s="78">
        <v>40</v>
      </c>
      <c r="M54">
        <f t="shared" si="1"/>
        <v>0.6</v>
      </c>
      <c r="N54" s="78">
        <v>0</v>
      </c>
      <c r="O54" s="81">
        <v>53</v>
      </c>
      <c r="P54" s="81">
        <v>75</v>
      </c>
      <c r="Q54">
        <f>IF(N54=0,0,(O54/N54)-1)</f>
        <v>0</v>
      </c>
      <c r="R54" s="78">
        <v>0</v>
      </c>
      <c r="S54" s="78">
        <v>100</v>
      </c>
      <c r="T54" s="78">
        <v>5</v>
      </c>
      <c r="U54">
        <f>IF(S54=0,0,(T54/S54)-1)</f>
        <v>-0.95</v>
      </c>
      <c r="V54" s="82">
        <v>548.40550000000007</v>
      </c>
      <c r="W54" s="2">
        <f>IF(K54=0,0,H54/K54)</f>
        <v>551.78416666666669</v>
      </c>
      <c r="X54">
        <f t="shared" si="2"/>
        <v>6.1608912869521859E-3</v>
      </c>
      <c r="Y54" s="78">
        <v>9</v>
      </c>
      <c r="Z54" s="78">
        <v>21</v>
      </c>
      <c r="AA54" s="78">
        <v>1</v>
      </c>
      <c r="AB54" s="78">
        <v>1</v>
      </c>
      <c r="AC54" s="78">
        <v>1</v>
      </c>
      <c r="AD54" s="78">
        <v>3</v>
      </c>
    </row>
    <row r="55" spans="1:31" x14ac:dyDescent="0.25">
      <c r="A55" t="s">
        <v>137</v>
      </c>
      <c r="B55" s="78">
        <v>1</v>
      </c>
      <c r="C55" t="s">
        <v>180</v>
      </c>
      <c r="D55" t="s">
        <v>39</v>
      </c>
      <c r="E55" t="s">
        <v>40</v>
      </c>
      <c r="F55" t="s">
        <v>49</v>
      </c>
      <c r="G55" s="78">
        <v>29</v>
      </c>
      <c r="H55" s="78">
        <v>8234</v>
      </c>
      <c r="I55" s="78">
        <v>25000</v>
      </c>
      <c r="J55" s="80">
        <f t="shared" si="0"/>
        <v>0.32935999999999999</v>
      </c>
      <c r="K55" s="78">
        <v>7</v>
      </c>
      <c r="L55" s="78">
        <v>11</v>
      </c>
      <c r="M55">
        <f t="shared" si="1"/>
        <v>0.63636363636363635</v>
      </c>
      <c r="N55" s="78">
        <v>0</v>
      </c>
      <c r="O55" s="81">
        <v>58</v>
      </c>
      <c r="P55" s="81">
        <v>75</v>
      </c>
      <c r="Q55">
        <f>IF(N55=0,0,(O55/N55)-1)</f>
        <v>0</v>
      </c>
      <c r="R55" s="78">
        <v>0</v>
      </c>
      <c r="S55" s="78">
        <v>100</v>
      </c>
      <c r="T55" s="78">
        <v>20</v>
      </c>
      <c r="U55">
        <f>IF(S55=0,0,(T55/S55)-1)</f>
        <v>-0.8</v>
      </c>
      <c r="V55" s="82">
        <v>1425.625</v>
      </c>
      <c r="W55" s="2">
        <f>IF(K55=0,0,H55/K55)</f>
        <v>1176.2857142857142</v>
      </c>
      <c r="X55">
        <f t="shared" si="2"/>
        <v>-0.17489822759441354</v>
      </c>
      <c r="Y55" s="78">
        <v>6</v>
      </c>
      <c r="Z55" s="78">
        <v>7</v>
      </c>
      <c r="AA55" s="78">
        <v>0</v>
      </c>
      <c r="AB55" s="78">
        <v>4</v>
      </c>
      <c r="AC55" s="78">
        <v>0</v>
      </c>
      <c r="AD55" s="78">
        <v>0</v>
      </c>
      <c r="AE55" s="49" t="s">
        <v>236</v>
      </c>
    </row>
    <row r="56" spans="1:31" x14ac:dyDescent="0.25">
      <c r="A56" t="s">
        <v>43</v>
      </c>
      <c r="B56" s="78">
        <v>1</v>
      </c>
      <c r="C56" t="s">
        <v>179</v>
      </c>
      <c r="D56" t="s">
        <v>44</v>
      </c>
      <c r="E56" t="s">
        <v>45</v>
      </c>
      <c r="F56" t="s">
        <v>46</v>
      </c>
      <c r="G56" s="78">
        <v>25</v>
      </c>
      <c r="H56" s="78">
        <v>13756.5</v>
      </c>
      <c r="I56" s="78">
        <v>13178.62</v>
      </c>
      <c r="J56" s="80">
        <f t="shared" si="0"/>
        <v>1.0438498112852483</v>
      </c>
      <c r="K56" s="78">
        <v>16</v>
      </c>
      <c r="L56" s="78">
        <v>10</v>
      </c>
      <c r="M56">
        <f t="shared" si="1"/>
        <v>1.6</v>
      </c>
      <c r="N56" s="78">
        <v>0</v>
      </c>
      <c r="O56" s="81">
        <v>96</v>
      </c>
      <c r="P56" s="81">
        <v>75</v>
      </c>
      <c r="Q56">
        <f>IF(N56=0,0,(O56/N56)-1)</f>
        <v>0</v>
      </c>
      <c r="R56" s="78">
        <v>0</v>
      </c>
      <c r="S56" s="78">
        <v>66</v>
      </c>
      <c r="T56" s="78">
        <v>21</v>
      </c>
      <c r="U56">
        <f>IF(S56=0,0,(T56/S56)-1)</f>
        <v>-0.68181818181818188</v>
      </c>
      <c r="V56" s="82">
        <v>316.79374999999999</v>
      </c>
      <c r="W56" s="2">
        <f>IF(K56=0,0,H56/K56)</f>
        <v>859.78125</v>
      </c>
      <c r="X56">
        <f t="shared" si="2"/>
        <v>1.7140095093416461</v>
      </c>
      <c r="Y56" s="78">
        <v>18</v>
      </c>
      <c r="Z56" s="78">
        <v>22</v>
      </c>
      <c r="AA56" s="78">
        <v>4</v>
      </c>
      <c r="AB56" s="78">
        <v>3</v>
      </c>
      <c r="AC56" s="78">
        <v>1</v>
      </c>
      <c r="AD56" s="78">
        <v>0</v>
      </c>
      <c r="AE56" s="49" t="s">
        <v>237</v>
      </c>
    </row>
    <row r="57" spans="1:31" x14ac:dyDescent="0.25">
      <c r="A57" t="s">
        <v>112</v>
      </c>
      <c r="B57" s="78">
        <v>1</v>
      </c>
      <c r="C57" t="s">
        <v>201</v>
      </c>
      <c r="D57" t="s">
        <v>139</v>
      </c>
      <c r="E57" t="s">
        <v>140</v>
      </c>
      <c r="F57" t="s">
        <v>141</v>
      </c>
      <c r="G57" s="78">
        <v>14</v>
      </c>
      <c r="H57" s="78">
        <v>22950</v>
      </c>
      <c r="I57" s="78">
        <v>56000</v>
      </c>
      <c r="J57" s="80">
        <f t="shared" si="0"/>
        <v>0.40982142857142856</v>
      </c>
      <c r="K57" s="78">
        <v>13</v>
      </c>
      <c r="L57" s="78">
        <v>36</v>
      </c>
      <c r="M57">
        <f t="shared" si="1"/>
        <v>0.3611111111111111</v>
      </c>
      <c r="N57" s="78">
        <v>70</v>
      </c>
      <c r="O57" s="81">
        <v>100</v>
      </c>
      <c r="P57" s="81">
        <v>50</v>
      </c>
      <c r="Q57">
        <f>IF(N57=0,0,(O57/N57)-1)</f>
        <v>0.4285714285714286</v>
      </c>
      <c r="R57" s="78">
        <v>2</v>
      </c>
      <c r="S57" s="78">
        <v>0</v>
      </c>
      <c r="T57" s="78">
        <v>14</v>
      </c>
      <c r="U57">
        <f>IF(S57=0,0,(T57/S57)-1)</f>
        <v>0</v>
      </c>
      <c r="V57" s="82">
        <v>1098.5714285714287</v>
      </c>
      <c r="W57" s="2">
        <f>IF(K57=0,0,H57/K57)</f>
        <v>1765.3846153846155</v>
      </c>
      <c r="X57">
        <f t="shared" si="2"/>
        <v>0.60698209462838837</v>
      </c>
      <c r="Y57" s="78">
        <v>5</v>
      </c>
      <c r="Z57" s="78">
        <v>5</v>
      </c>
      <c r="AA57" s="78">
        <v>0</v>
      </c>
      <c r="AB57" s="78">
        <v>1</v>
      </c>
      <c r="AC57" s="78">
        <v>0</v>
      </c>
      <c r="AD57" s="78">
        <v>0</v>
      </c>
    </row>
    <row r="58" spans="1:31" x14ac:dyDescent="0.25">
      <c r="A58" t="s">
        <v>135</v>
      </c>
      <c r="B58" s="78">
        <v>1</v>
      </c>
      <c r="C58" t="s">
        <v>201</v>
      </c>
      <c r="D58" t="s">
        <v>136</v>
      </c>
      <c r="E58" t="s">
        <v>69</v>
      </c>
      <c r="F58" t="s">
        <v>97</v>
      </c>
      <c r="G58" s="78">
        <v>18</v>
      </c>
      <c r="H58" s="78">
        <v>0</v>
      </c>
      <c r="I58" s="78">
        <v>0</v>
      </c>
      <c r="J58" s="80">
        <f t="shared" si="0"/>
        <v>0</v>
      </c>
      <c r="K58" s="78">
        <v>0</v>
      </c>
      <c r="L58" s="78">
        <v>0</v>
      </c>
      <c r="M58">
        <f t="shared" si="1"/>
        <v>0</v>
      </c>
      <c r="N58" s="78">
        <v>0</v>
      </c>
      <c r="O58" s="81">
        <v>0</v>
      </c>
      <c r="P58" s="81">
        <v>0</v>
      </c>
      <c r="Q58">
        <f>IF(N58=0,0,(O58/N58)-1)</f>
        <v>0</v>
      </c>
      <c r="R58" s="78">
        <v>0</v>
      </c>
      <c r="S58" s="78">
        <v>0</v>
      </c>
      <c r="T58" s="78">
        <v>0</v>
      </c>
      <c r="U58">
        <f>IF(S58=0,0,(T58/S58)-1)</f>
        <v>0</v>
      </c>
      <c r="V58" s="82">
        <v>0</v>
      </c>
      <c r="W58" s="2">
        <f>IF(K58=0,0,H58/K58)</f>
        <v>0</v>
      </c>
      <c r="X58">
        <f t="shared" si="2"/>
        <v>0</v>
      </c>
      <c r="Y58" s="78">
        <v>0</v>
      </c>
      <c r="Z58" s="78">
        <v>0</v>
      </c>
      <c r="AA58" s="78">
        <v>0</v>
      </c>
      <c r="AB58" s="78">
        <v>0</v>
      </c>
      <c r="AC58" s="78">
        <v>0</v>
      </c>
      <c r="AD58" s="78">
        <v>0</v>
      </c>
    </row>
    <row r="59" spans="1:31" x14ac:dyDescent="0.25">
      <c r="A59" t="s">
        <v>131</v>
      </c>
      <c r="B59" s="78">
        <v>3</v>
      </c>
      <c r="C59" t="s">
        <v>201</v>
      </c>
      <c r="D59" t="s">
        <v>151</v>
      </c>
      <c r="E59" t="s">
        <v>45</v>
      </c>
      <c r="F59" t="s">
        <v>125</v>
      </c>
      <c r="G59" s="78">
        <v>9</v>
      </c>
      <c r="H59" s="78">
        <v>9718.59</v>
      </c>
      <c r="I59" s="78">
        <v>26145</v>
      </c>
      <c r="J59" s="80">
        <f t="shared" si="0"/>
        <v>0.37171887550200805</v>
      </c>
      <c r="K59" s="78">
        <v>18</v>
      </c>
      <c r="L59" s="78">
        <v>17</v>
      </c>
      <c r="M59">
        <f t="shared" si="1"/>
        <v>1.0588235294117647</v>
      </c>
      <c r="N59" s="78">
        <v>55</v>
      </c>
      <c r="O59" s="81">
        <v>88</v>
      </c>
      <c r="P59" s="81">
        <v>65</v>
      </c>
      <c r="Q59">
        <f>IF(N59=0,0,(O59/N59)-1)</f>
        <v>0.60000000000000009</v>
      </c>
      <c r="R59" s="78">
        <v>0</v>
      </c>
      <c r="S59" s="78">
        <v>80</v>
      </c>
      <c r="T59" s="78">
        <v>1</v>
      </c>
      <c r="U59">
        <f>IF(S59=0,0,(T59/S59)-1)</f>
        <v>-0.98750000000000004</v>
      </c>
      <c r="V59" s="82">
        <v>880.30272727272722</v>
      </c>
      <c r="W59" s="2">
        <f>IF(K59=0,0,H59/K59)</f>
        <v>539.92166666666662</v>
      </c>
      <c r="X59">
        <f t="shared" si="2"/>
        <v>-0.38666364429041111</v>
      </c>
      <c r="Y59" s="78">
        <v>6</v>
      </c>
      <c r="Z59" s="78">
        <v>16</v>
      </c>
      <c r="AA59" s="78">
        <v>1</v>
      </c>
      <c r="AB59" s="78">
        <v>1</v>
      </c>
      <c r="AC59" s="78">
        <v>1</v>
      </c>
      <c r="AD59" s="78">
        <v>1</v>
      </c>
    </row>
  </sheetData>
  <sheetProtection sheet="1" objects="1" scenarios="1" formatCells="0" formatColumns="0" formatRows="0" insertColumns="0" insertRows="0" selectLockedCells="1"/>
  <hyperlinks>
    <hyperlink ref="AE4" r:id="rId1" xr:uid="{F4053E78-D7CC-4A31-BCAF-880FAD85EBA6}"/>
    <hyperlink ref="AE7" r:id="rId2" xr:uid="{092473A2-F4E8-4F60-A695-4BA31B698213}"/>
    <hyperlink ref="AE9" r:id="rId3" xr:uid="{BADD8666-E68B-4EA1-B7D9-132F704C9515}"/>
    <hyperlink ref="AE16" r:id="rId4" xr:uid="{8EF697E1-4F10-4D8E-A69A-FD4DCD71CFB5}"/>
    <hyperlink ref="AE22" r:id="rId5" xr:uid="{CD7D8C0C-FE44-4103-A47F-465B834FEEC7}"/>
    <hyperlink ref="AE27" r:id="rId6" xr:uid="{8E3DDA11-2697-4341-8890-869CC3F6BFD6}"/>
    <hyperlink ref="AE21" r:id="rId7" xr:uid="{FE5D9360-8B10-45BE-A411-017A9BCEE617}"/>
    <hyperlink ref="AE20" r:id="rId8" xr:uid="{AB20C89E-FE81-42D7-8E10-045F88D2B62C}"/>
    <hyperlink ref="AE19" r:id="rId9" xr:uid="{650E4B70-5684-4D6D-B1BA-6891E433F28A}"/>
    <hyperlink ref="AE28" r:id="rId10" xr:uid="{E9A74477-8E83-40DC-8FA1-2A5D6455A022}"/>
    <hyperlink ref="AE29" r:id="rId11" xr:uid="{4CAD6B93-C8C3-4517-A84F-6C40531EC315}"/>
    <hyperlink ref="AE36" r:id="rId12" xr:uid="{F1F03FD0-6E1C-45F2-825F-74EF636D491F}"/>
    <hyperlink ref="AE37" r:id="rId13" xr:uid="{89E6A4C4-0E72-41E3-AE18-356BC6138D84}"/>
    <hyperlink ref="AE39" r:id="rId14" xr:uid="{19826536-E5B8-463B-ABA5-2A7A41383520}"/>
    <hyperlink ref="AE43" r:id="rId15" xr:uid="{F5E537C8-2D5F-4D48-A642-CBD346E0852C}"/>
    <hyperlink ref="AE46" r:id="rId16" xr:uid="{6856FABF-5C5C-438A-B442-52928BCB7F9F}"/>
    <hyperlink ref="AE56" r:id="rId17" xr:uid="{667D206B-2D4E-4ECA-922D-645A8AD4184A}"/>
    <hyperlink ref="AE55" r:id="rId18" xr:uid="{8C96DF03-EF39-413E-B36E-AE738B1BEA3D}"/>
    <hyperlink ref="AE49" r:id="rId19" xr:uid="{DBD6556C-1280-4B4D-9527-F1C1457969BE}"/>
    <hyperlink ref="AE48" r:id="rId20" xr:uid="{B7240028-8F7B-4FF7-850C-14ED1B52540A}"/>
    <hyperlink ref="AE5" r:id="rId21" xr:uid="{2FB16077-2011-44B2-B222-4693B3092921}"/>
    <hyperlink ref="AE11" r:id="rId22" xr:uid="{ECFC827F-6A0C-439A-981A-8839232FCE46}"/>
    <hyperlink ref="AE24" r:id="rId23" xr:uid="{69E8F7EF-D609-49F4-97A1-055A2F3DFE64}"/>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7F97-9B23-43F7-932E-DC9AB4BBF9CA}">
  <dimension ref="A1:E649"/>
  <sheetViews>
    <sheetView workbookViewId="0">
      <selection activeCell="C21" sqref="C21"/>
    </sheetView>
  </sheetViews>
  <sheetFormatPr defaultRowHeight="13.8" x14ac:dyDescent="0.25"/>
  <cols>
    <col min="1" max="2" width="34.796875" style="3" customWidth="1"/>
    <col min="3" max="3" width="28.296875" style="3" bestFit="1" customWidth="1"/>
    <col min="4" max="4" width="25.796875" style="3" bestFit="1" customWidth="1"/>
    <col min="5" max="5" width="29.3984375" style="3" bestFit="1" customWidth="1"/>
    <col min="6" max="16384" width="8.796875" style="3"/>
  </cols>
  <sheetData>
    <row r="1" spans="1:5" ht="15.6" x14ac:dyDescent="0.25">
      <c r="A1" s="42" t="s">
        <v>0</v>
      </c>
      <c r="B1" s="38" t="s">
        <v>172</v>
      </c>
      <c r="C1" s="43" t="s">
        <v>15</v>
      </c>
      <c r="D1" s="43" t="s">
        <v>16</v>
      </c>
      <c r="E1" s="44" t="s">
        <v>17</v>
      </c>
    </row>
    <row r="2" spans="1:5" x14ac:dyDescent="0.25">
      <c r="A2" s="45" t="s">
        <v>87</v>
      </c>
      <c r="B2" s="6" t="s">
        <v>158</v>
      </c>
      <c r="C2" s="79">
        <v>0</v>
      </c>
      <c r="D2" s="79">
        <v>0</v>
      </c>
      <c r="E2" s="83">
        <v>2</v>
      </c>
    </row>
    <row r="3" spans="1:5" x14ac:dyDescent="0.25">
      <c r="A3" s="45" t="s">
        <v>87</v>
      </c>
      <c r="B3" s="6" t="s">
        <v>159</v>
      </c>
      <c r="C3" s="79">
        <v>0</v>
      </c>
      <c r="D3" s="79">
        <v>0</v>
      </c>
      <c r="E3" s="83">
        <v>1</v>
      </c>
    </row>
    <row r="4" spans="1:5" x14ac:dyDescent="0.25">
      <c r="A4" s="45" t="s">
        <v>87</v>
      </c>
      <c r="B4" s="6" t="s">
        <v>160</v>
      </c>
      <c r="C4" s="79">
        <v>0</v>
      </c>
      <c r="D4" s="79">
        <v>0</v>
      </c>
      <c r="E4" s="83">
        <v>0</v>
      </c>
    </row>
    <row r="5" spans="1:5" x14ac:dyDescent="0.25">
      <c r="A5" s="45" t="s">
        <v>87</v>
      </c>
      <c r="B5" s="6" t="s">
        <v>161</v>
      </c>
      <c r="C5" s="79">
        <v>0</v>
      </c>
      <c r="D5" s="79">
        <v>0</v>
      </c>
      <c r="E5" s="83">
        <v>1</v>
      </c>
    </row>
    <row r="6" spans="1:5" x14ac:dyDescent="0.25">
      <c r="A6" s="45" t="s">
        <v>87</v>
      </c>
      <c r="B6" s="6" t="s">
        <v>162</v>
      </c>
      <c r="C6" s="79">
        <v>0</v>
      </c>
      <c r="D6" s="79">
        <v>0</v>
      </c>
      <c r="E6" s="83">
        <v>1</v>
      </c>
    </row>
    <row r="7" spans="1:5" x14ac:dyDescent="0.25">
      <c r="A7" s="45" t="s">
        <v>87</v>
      </c>
      <c r="B7" s="6" t="s">
        <v>163</v>
      </c>
      <c r="C7" s="79">
        <v>0</v>
      </c>
      <c r="D7" s="79">
        <v>0</v>
      </c>
      <c r="E7" s="83">
        <v>1</v>
      </c>
    </row>
    <row r="8" spans="1:5" x14ac:dyDescent="0.25">
      <c r="A8" s="45" t="s">
        <v>87</v>
      </c>
      <c r="B8" s="6" t="s">
        <v>164</v>
      </c>
      <c r="C8" s="79">
        <v>0</v>
      </c>
      <c r="D8" s="79">
        <v>0</v>
      </c>
      <c r="E8" s="83">
        <v>0</v>
      </c>
    </row>
    <row r="9" spans="1:5" x14ac:dyDescent="0.25">
      <c r="A9" s="45" t="s">
        <v>87</v>
      </c>
      <c r="B9" s="6" t="s">
        <v>165</v>
      </c>
      <c r="C9" s="79">
        <v>0</v>
      </c>
      <c r="D9" s="79">
        <v>0</v>
      </c>
      <c r="E9" s="83">
        <v>1</v>
      </c>
    </row>
    <row r="10" spans="1:5" x14ac:dyDescent="0.25">
      <c r="A10" s="45" t="s">
        <v>87</v>
      </c>
      <c r="B10" s="6" t="s">
        <v>166</v>
      </c>
      <c r="C10" s="79">
        <v>0</v>
      </c>
      <c r="D10" s="79">
        <v>0</v>
      </c>
      <c r="E10" s="83">
        <v>2</v>
      </c>
    </row>
    <row r="11" spans="1:5" x14ac:dyDescent="0.25">
      <c r="A11" s="45" t="s">
        <v>87</v>
      </c>
      <c r="B11" s="6" t="s">
        <v>167</v>
      </c>
      <c r="C11" s="79">
        <v>0</v>
      </c>
      <c r="D11" s="79">
        <v>0</v>
      </c>
      <c r="E11" s="83">
        <v>0</v>
      </c>
    </row>
    <row r="12" spans="1:5" x14ac:dyDescent="0.25">
      <c r="A12" s="45" t="s">
        <v>87</v>
      </c>
      <c r="B12" s="6" t="s">
        <v>168</v>
      </c>
      <c r="C12" s="79">
        <v>0</v>
      </c>
      <c r="D12" s="79">
        <v>0</v>
      </c>
      <c r="E12" s="83">
        <v>0</v>
      </c>
    </row>
    <row r="13" spans="1:5" x14ac:dyDescent="0.25">
      <c r="A13" s="45" t="s">
        <v>87</v>
      </c>
      <c r="B13" s="6" t="s">
        <v>169</v>
      </c>
      <c r="C13" s="79">
        <v>0</v>
      </c>
      <c r="D13" s="79">
        <v>0</v>
      </c>
      <c r="E13" s="83">
        <v>0</v>
      </c>
    </row>
    <row r="14" spans="1:5" x14ac:dyDescent="0.25">
      <c r="A14" s="45" t="s">
        <v>98</v>
      </c>
      <c r="B14" s="6" t="s">
        <v>158</v>
      </c>
      <c r="C14" s="79">
        <v>0</v>
      </c>
      <c r="D14" s="79">
        <v>0</v>
      </c>
      <c r="E14" s="83">
        <v>0</v>
      </c>
    </row>
    <row r="15" spans="1:5" x14ac:dyDescent="0.25">
      <c r="A15" s="45" t="s">
        <v>98</v>
      </c>
      <c r="B15" s="6" t="s">
        <v>159</v>
      </c>
      <c r="C15" s="79">
        <v>0</v>
      </c>
      <c r="D15" s="79">
        <v>0</v>
      </c>
      <c r="E15" s="83">
        <v>0</v>
      </c>
    </row>
    <row r="16" spans="1:5" x14ac:dyDescent="0.25">
      <c r="A16" s="45" t="s">
        <v>98</v>
      </c>
      <c r="B16" s="6" t="s">
        <v>160</v>
      </c>
      <c r="C16" s="79">
        <v>0</v>
      </c>
      <c r="D16" s="79">
        <v>0</v>
      </c>
      <c r="E16" s="83">
        <v>0</v>
      </c>
    </row>
    <row r="17" spans="1:5" x14ac:dyDescent="0.25">
      <c r="A17" s="45" t="s">
        <v>98</v>
      </c>
      <c r="B17" s="6" t="s">
        <v>161</v>
      </c>
      <c r="C17" s="79">
        <v>0</v>
      </c>
      <c r="D17" s="79">
        <v>0</v>
      </c>
      <c r="E17" s="83">
        <v>0</v>
      </c>
    </row>
    <row r="18" spans="1:5" x14ac:dyDescent="0.25">
      <c r="A18" s="45" t="s">
        <v>98</v>
      </c>
      <c r="B18" s="6" t="s">
        <v>162</v>
      </c>
      <c r="C18" s="79">
        <v>0</v>
      </c>
      <c r="D18" s="79">
        <v>0</v>
      </c>
      <c r="E18" s="83">
        <v>0</v>
      </c>
    </row>
    <row r="19" spans="1:5" x14ac:dyDescent="0.25">
      <c r="A19" s="45" t="s">
        <v>98</v>
      </c>
      <c r="B19" s="6" t="s">
        <v>163</v>
      </c>
      <c r="C19" s="79">
        <v>0</v>
      </c>
      <c r="D19" s="79">
        <v>0</v>
      </c>
      <c r="E19" s="83">
        <v>0</v>
      </c>
    </row>
    <row r="20" spans="1:5" x14ac:dyDescent="0.25">
      <c r="A20" s="45" t="s">
        <v>98</v>
      </c>
      <c r="B20" s="6" t="s">
        <v>164</v>
      </c>
      <c r="C20" s="79">
        <v>0</v>
      </c>
      <c r="D20" s="79">
        <v>0</v>
      </c>
      <c r="E20" s="83">
        <v>0</v>
      </c>
    </row>
    <row r="21" spans="1:5" x14ac:dyDescent="0.25">
      <c r="A21" s="45" t="s">
        <v>98</v>
      </c>
      <c r="B21" s="6" t="s">
        <v>165</v>
      </c>
      <c r="C21" s="79">
        <v>0</v>
      </c>
      <c r="D21" s="79">
        <v>0</v>
      </c>
      <c r="E21" s="83">
        <v>0</v>
      </c>
    </row>
    <row r="22" spans="1:5" x14ac:dyDescent="0.25">
      <c r="A22" s="45" t="s">
        <v>98</v>
      </c>
      <c r="B22" s="6" t="s">
        <v>166</v>
      </c>
      <c r="C22" s="79">
        <v>0</v>
      </c>
      <c r="D22" s="79">
        <v>0</v>
      </c>
      <c r="E22" s="83">
        <v>0</v>
      </c>
    </row>
    <row r="23" spans="1:5" x14ac:dyDescent="0.25">
      <c r="A23" s="45" t="s">
        <v>98</v>
      </c>
      <c r="B23" s="6" t="s">
        <v>167</v>
      </c>
      <c r="C23" s="79">
        <v>0</v>
      </c>
      <c r="D23" s="79">
        <v>0</v>
      </c>
      <c r="E23" s="83">
        <v>0</v>
      </c>
    </row>
    <row r="24" spans="1:5" x14ac:dyDescent="0.25">
      <c r="A24" s="45" t="s">
        <v>98</v>
      </c>
      <c r="B24" s="6" t="s">
        <v>168</v>
      </c>
      <c r="C24" s="79">
        <v>0</v>
      </c>
      <c r="D24" s="79">
        <v>0</v>
      </c>
      <c r="E24" s="83">
        <v>0</v>
      </c>
    </row>
    <row r="25" spans="1:5" x14ac:dyDescent="0.25">
      <c r="A25" s="45" t="s">
        <v>98</v>
      </c>
      <c r="B25" s="6" t="s">
        <v>169</v>
      </c>
      <c r="C25" s="79">
        <v>0</v>
      </c>
      <c r="D25" s="79">
        <v>0</v>
      </c>
      <c r="E25" s="83">
        <v>0</v>
      </c>
    </row>
    <row r="26" spans="1:5" x14ac:dyDescent="0.25">
      <c r="A26" s="45" t="s">
        <v>56</v>
      </c>
      <c r="B26" s="6" t="s">
        <v>158</v>
      </c>
      <c r="C26" s="79">
        <v>0</v>
      </c>
      <c r="D26" s="79">
        <v>0</v>
      </c>
      <c r="E26" s="83">
        <v>0</v>
      </c>
    </row>
    <row r="27" spans="1:5" x14ac:dyDescent="0.25">
      <c r="A27" s="45" t="s">
        <v>56</v>
      </c>
      <c r="B27" s="6" t="s">
        <v>159</v>
      </c>
      <c r="C27" s="79">
        <v>0</v>
      </c>
      <c r="D27" s="79">
        <v>0</v>
      </c>
      <c r="E27" s="83">
        <v>0</v>
      </c>
    </row>
    <row r="28" spans="1:5" x14ac:dyDescent="0.25">
      <c r="A28" s="45" t="s">
        <v>56</v>
      </c>
      <c r="B28" s="6" t="s">
        <v>160</v>
      </c>
      <c r="C28" s="79">
        <v>0</v>
      </c>
      <c r="D28" s="79">
        <v>0</v>
      </c>
      <c r="E28" s="83">
        <v>0</v>
      </c>
    </row>
    <row r="29" spans="1:5" x14ac:dyDescent="0.25">
      <c r="A29" s="45" t="s">
        <v>56</v>
      </c>
      <c r="B29" s="6" t="s">
        <v>161</v>
      </c>
      <c r="C29" s="79">
        <v>0</v>
      </c>
      <c r="D29" s="79">
        <v>0</v>
      </c>
      <c r="E29" s="83">
        <v>0</v>
      </c>
    </row>
    <row r="30" spans="1:5" x14ac:dyDescent="0.25">
      <c r="A30" s="45" t="s">
        <v>56</v>
      </c>
      <c r="B30" s="6" t="s">
        <v>162</v>
      </c>
      <c r="C30" s="79">
        <v>0</v>
      </c>
      <c r="D30" s="79">
        <v>0</v>
      </c>
      <c r="E30" s="83">
        <v>3</v>
      </c>
    </row>
    <row r="31" spans="1:5" x14ac:dyDescent="0.25">
      <c r="A31" s="45" t="s">
        <v>56</v>
      </c>
      <c r="B31" s="6" t="s">
        <v>163</v>
      </c>
      <c r="C31" s="79">
        <v>0</v>
      </c>
      <c r="D31" s="79">
        <v>0</v>
      </c>
      <c r="E31" s="83">
        <v>0</v>
      </c>
    </row>
    <row r="32" spans="1:5" x14ac:dyDescent="0.25">
      <c r="A32" s="45" t="s">
        <v>56</v>
      </c>
      <c r="B32" s="6" t="s">
        <v>164</v>
      </c>
      <c r="C32" s="79">
        <v>0</v>
      </c>
      <c r="D32" s="79">
        <v>0</v>
      </c>
      <c r="E32" s="83">
        <v>0</v>
      </c>
    </row>
    <row r="33" spans="1:5" x14ac:dyDescent="0.25">
      <c r="A33" s="45" t="s">
        <v>56</v>
      </c>
      <c r="B33" s="6" t="s">
        <v>165</v>
      </c>
      <c r="C33" s="79">
        <v>0</v>
      </c>
      <c r="D33" s="79">
        <v>0</v>
      </c>
      <c r="E33" s="83">
        <v>0</v>
      </c>
    </row>
    <row r="34" spans="1:5" x14ac:dyDescent="0.25">
      <c r="A34" s="45" t="s">
        <v>56</v>
      </c>
      <c r="B34" s="6" t="s">
        <v>166</v>
      </c>
      <c r="C34" s="79">
        <v>0</v>
      </c>
      <c r="D34" s="79">
        <v>0</v>
      </c>
      <c r="E34" s="83">
        <v>0</v>
      </c>
    </row>
    <row r="35" spans="1:5" x14ac:dyDescent="0.25">
      <c r="A35" s="45" t="s">
        <v>56</v>
      </c>
      <c r="B35" s="6" t="s">
        <v>167</v>
      </c>
      <c r="C35" s="79">
        <v>0</v>
      </c>
      <c r="D35" s="79">
        <v>0</v>
      </c>
      <c r="E35" s="83">
        <v>0</v>
      </c>
    </row>
    <row r="36" spans="1:5" x14ac:dyDescent="0.25">
      <c r="A36" s="45" t="s">
        <v>56</v>
      </c>
      <c r="B36" s="6" t="s">
        <v>168</v>
      </c>
      <c r="C36" s="79">
        <v>0</v>
      </c>
      <c r="D36" s="79">
        <v>0</v>
      </c>
      <c r="E36" s="83">
        <v>2</v>
      </c>
    </row>
    <row r="37" spans="1:5" x14ac:dyDescent="0.25">
      <c r="A37" s="45" t="s">
        <v>56</v>
      </c>
      <c r="B37" s="6" t="s">
        <v>169</v>
      </c>
      <c r="C37" s="79">
        <v>0</v>
      </c>
      <c r="D37" s="79">
        <v>0</v>
      </c>
      <c r="E37" s="83">
        <v>2</v>
      </c>
    </row>
    <row r="38" spans="1:5" x14ac:dyDescent="0.25">
      <c r="A38" s="45" t="s">
        <v>149</v>
      </c>
      <c r="B38" s="6" t="s">
        <v>158</v>
      </c>
      <c r="C38" s="79">
        <v>0</v>
      </c>
      <c r="D38" s="79">
        <v>0</v>
      </c>
      <c r="E38" s="83">
        <v>0</v>
      </c>
    </row>
    <row r="39" spans="1:5" x14ac:dyDescent="0.25">
      <c r="A39" s="45" t="s">
        <v>149</v>
      </c>
      <c r="B39" s="6" t="s">
        <v>159</v>
      </c>
      <c r="C39" s="79">
        <v>0</v>
      </c>
      <c r="D39" s="79">
        <v>0</v>
      </c>
      <c r="E39" s="83">
        <v>2</v>
      </c>
    </row>
    <row r="40" spans="1:5" x14ac:dyDescent="0.25">
      <c r="A40" s="45" t="s">
        <v>149</v>
      </c>
      <c r="B40" s="6" t="s">
        <v>160</v>
      </c>
      <c r="C40" s="79">
        <v>0</v>
      </c>
      <c r="D40" s="79">
        <v>0</v>
      </c>
      <c r="E40" s="83">
        <v>2</v>
      </c>
    </row>
    <row r="41" spans="1:5" x14ac:dyDescent="0.25">
      <c r="A41" s="45" t="s">
        <v>149</v>
      </c>
      <c r="B41" s="6" t="s">
        <v>161</v>
      </c>
      <c r="C41" s="79">
        <v>0</v>
      </c>
      <c r="D41" s="79">
        <v>0</v>
      </c>
      <c r="E41" s="83">
        <v>1</v>
      </c>
    </row>
    <row r="42" spans="1:5" x14ac:dyDescent="0.25">
      <c r="A42" s="45" t="s">
        <v>149</v>
      </c>
      <c r="B42" s="6" t="s">
        <v>162</v>
      </c>
      <c r="C42" s="79">
        <v>0</v>
      </c>
      <c r="D42" s="79">
        <v>0</v>
      </c>
      <c r="E42" s="83">
        <v>0</v>
      </c>
    </row>
    <row r="43" spans="1:5" x14ac:dyDescent="0.25">
      <c r="A43" s="45" t="s">
        <v>149</v>
      </c>
      <c r="B43" s="6" t="s">
        <v>163</v>
      </c>
      <c r="C43" s="79">
        <v>0</v>
      </c>
      <c r="D43" s="79">
        <v>0</v>
      </c>
      <c r="E43" s="83">
        <v>0</v>
      </c>
    </row>
    <row r="44" spans="1:5" x14ac:dyDescent="0.25">
      <c r="A44" s="45" t="s">
        <v>149</v>
      </c>
      <c r="B44" s="6" t="s">
        <v>164</v>
      </c>
      <c r="C44" s="79">
        <v>0</v>
      </c>
      <c r="D44" s="79">
        <v>0</v>
      </c>
      <c r="E44" s="83">
        <v>1</v>
      </c>
    </row>
    <row r="45" spans="1:5" x14ac:dyDescent="0.25">
      <c r="A45" s="45" t="s">
        <v>149</v>
      </c>
      <c r="B45" s="6" t="s">
        <v>165</v>
      </c>
      <c r="C45" s="79">
        <v>1</v>
      </c>
      <c r="D45" s="79">
        <v>2</v>
      </c>
      <c r="E45" s="83">
        <v>0</v>
      </c>
    </row>
    <row r="46" spans="1:5" x14ac:dyDescent="0.25">
      <c r="A46" s="45" t="s">
        <v>149</v>
      </c>
      <c r="B46" s="6" t="s">
        <v>166</v>
      </c>
      <c r="C46" s="79">
        <v>0</v>
      </c>
      <c r="D46" s="79">
        <v>0</v>
      </c>
      <c r="E46" s="83">
        <v>0</v>
      </c>
    </row>
    <row r="47" spans="1:5" x14ac:dyDescent="0.25">
      <c r="A47" s="45" t="s">
        <v>149</v>
      </c>
      <c r="B47" s="6" t="s">
        <v>167</v>
      </c>
      <c r="C47" s="79">
        <v>0</v>
      </c>
      <c r="D47" s="79">
        <v>0</v>
      </c>
      <c r="E47" s="83">
        <v>0</v>
      </c>
    </row>
    <row r="48" spans="1:5" x14ac:dyDescent="0.25">
      <c r="A48" s="45" t="s">
        <v>149</v>
      </c>
      <c r="B48" s="6" t="s">
        <v>168</v>
      </c>
      <c r="C48" s="79">
        <v>0</v>
      </c>
      <c r="D48" s="79">
        <v>0</v>
      </c>
      <c r="E48" s="83">
        <v>0</v>
      </c>
    </row>
    <row r="49" spans="1:5" x14ac:dyDescent="0.25">
      <c r="A49" s="45" t="s">
        <v>149</v>
      </c>
      <c r="B49" s="6" t="s">
        <v>169</v>
      </c>
      <c r="C49" s="79">
        <v>0</v>
      </c>
      <c r="D49" s="79">
        <v>0</v>
      </c>
      <c r="E49" s="83">
        <v>0</v>
      </c>
    </row>
    <row r="50" spans="1:5" x14ac:dyDescent="0.25">
      <c r="A50" s="45" t="s">
        <v>66</v>
      </c>
      <c r="B50" s="6" t="s">
        <v>158</v>
      </c>
      <c r="C50" s="79">
        <v>0</v>
      </c>
      <c r="D50" s="79">
        <v>0</v>
      </c>
      <c r="E50" s="83">
        <v>0</v>
      </c>
    </row>
    <row r="51" spans="1:5" x14ac:dyDescent="0.25">
      <c r="A51" s="45" t="s">
        <v>66</v>
      </c>
      <c r="B51" s="6" t="s">
        <v>159</v>
      </c>
      <c r="C51" s="79">
        <v>0</v>
      </c>
      <c r="D51" s="79">
        <v>0</v>
      </c>
      <c r="E51" s="83">
        <v>0</v>
      </c>
    </row>
    <row r="52" spans="1:5" x14ac:dyDescent="0.25">
      <c r="A52" s="45" t="s">
        <v>66</v>
      </c>
      <c r="B52" s="6" t="s">
        <v>160</v>
      </c>
      <c r="C52" s="79">
        <v>0</v>
      </c>
      <c r="D52" s="79">
        <v>0</v>
      </c>
      <c r="E52" s="83">
        <v>0</v>
      </c>
    </row>
    <row r="53" spans="1:5" x14ac:dyDescent="0.25">
      <c r="A53" s="45" t="s">
        <v>66</v>
      </c>
      <c r="B53" s="6" t="s">
        <v>161</v>
      </c>
      <c r="C53" s="79">
        <v>0</v>
      </c>
      <c r="D53" s="79">
        <v>0</v>
      </c>
      <c r="E53" s="83">
        <v>0</v>
      </c>
    </row>
    <row r="54" spans="1:5" x14ac:dyDescent="0.25">
      <c r="A54" s="45" t="s">
        <v>66</v>
      </c>
      <c r="B54" s="6" t="s">
        <v>162</v>
      </c>
      <c r="C54" s="79">
        <v>0</v>
      </c>
      <c r="D54" s="79">
        <v>0</v>
      </c>
      <c r="E54" s="83">
        <v>1</v>
      </c>
    </row>
    <row r="55" spans="1:5" x14ac:dyDescent="0.25">
      <c r="A55" s="45" t="s">
        <v>66</v>
      </c>
      <c r="B55" s="6" t="s">
        <v>163</v>
      </c>
      <c r="C55" s="79">
        <v>0</v>
      </c>
      <c r="D55" s="79">
        <v>0</v>
      </c>
      <c r="E55" s="83">
        <v>0</v>
      </c>
    </row>
    <row r="56" spans="1:5" x14ac:dyDescent="0.25">
      <c r="A56" s="45" t="s">
        <v>66</v>
      </c>
      <c r="B56" s="6" t="s">
        <v>164</v>
      </c>
      <c r="C56" s="79">
        <v>0</v>
      </c>
      <c r="D56" s="79">
        <v>0</v>
      </c>
      <c r="E56" s="83">
        <v>0</v>
      </c>
    </row>
    <row r="57" spans="1:5" x14ac:dyDescent="0.25">
      <c r="A57" s="45" t="s">
        <v>66</v>
      </c>
      <c r="B57" s="6" t="s">
        <v>165</v>
      </c>
      <c r="C57" s="79">
        <v>0</v>
      </c>
      <c r="D57" s="79">
        <v>0</v>
      </c>
      <c r="E57" s="83">
        <v>0</v>
      </c>
    </row>
    <row r="58" spans="1:5" x14ac:dyDescent="0.25">
      <c r="A58" s="45" t="s">
        <v>66</v>
      </c>
      <c r="B58" s="6" t="s">
        <v>166</v>
      </c>
      <c r="C58" s="79">
        <v>0</v>
      </c>
      <c r="D58" s="79">
        <v>0</v>
      </c>
      <c r="E58" s="83">
        <v>0</v>
      </c>
    </row>
    <row r="59" spans="1:5" x14ac:dyDescent="0.25">
      <c r="A59" s="45" t="s">
        <v>66</v>
      </c>
      <c r="B59" s="6" t="s">
        <v>167</v>
      </c>
      <c r="C59" s="79">
        <v>0</v>
      </c>
      <c r="D59" s="79">
        <v>0</v>
      </c>
      <c r="E59" s="83">
        <v>0</v>
      </c>
    </row>
    <row r="60" spans="1:5" x14ac:dyDescent="0.25">
      <c r="A60" s="45" t="s">
        <v>66</v>
      </c>
      <c r="B60" s="6" t="s">
        <v>168</v>
      </c>
      <c r="C60" s="79">
        <v>0</v>
      </c>
      <c r="D60" s="79">
        <v>0</v>
      </c>
      <c r="E60" s="83">
        <v>0</v>
      </c>
    </row>
    <row r="61" spans="1:5" x14ac:dyDescent="0.25">
      <c r="A61" s="45" t="s">
        <v>66</v>
      </c>
      <c r="B61" s="6" t="s">
        <v>169</v>
      </c>
      <c r="C61" s="79">
        <v>0</v>
      </c>
      <c r="D61" s="79">
        <v>0</v>
      </c>
      <c r="E61" s="83">
        <v>0</v>
      </c>
    </row>
    <row r="62" spans="1:5" x14ac:dyDescent="0.25">
      <c r="A62" s="45" t="s">
        <v>42</v>
      </c>
      <c r="B62" s="6" t="s">
        <v>158</v>
      </c>
      <c r="C62" s="79">
        <v>0</v>
      </c>
      <c r="D62" s="79">
        <v>0</v>
      </c>
      <c r="E62" s="83">
        <v>425</v>
      </c>
    </row>
    <row r="63" spans="1:5" x14ac:dyDescent="0.25">
      <c r="A63" s="45" t="s">
        <v>42</v>
      </c>
      <c r="B63" s="6" t="s">
        <v>159</v>
      </c>
      <c r="C63" s="79">
        <v>0</v>
      </c>
      <c r="D63" s="79">
        <v>0</v>
      </c>
      <c r="E63" s="83">
        <v>341</v>
      </c>
    </row>
    <row r="64" spans="1:5" x14ac:dyDescent="0.25">
      <c r="A64" s="45" t="s">
        <v>42</v>
      </c>
      <c r="B64" s="6" t="s">
        <v>160</v>
      </c>
      <c r="C64" s="79">
        <v>0</v>
      </c>
      <c r="D64" s="79">
        <v>1</v>
      </c>
      <c r="E64" s="83">
        <v>104</v>
      </c>
    </row>
    <row r="65" spans="1:5" x14ac:dyDescent="0.25">
      <c r="A65" s="45" t="s">
        <v>42</v>
      </c>
      <c r="B65" s="6" t="s">
        <v>161</v>
      </c>
      <c r="C65" s="79">
        <v>0</v>
      </c>
      <c r="D65" s="79">
        <v>3</v>
      </c>
      <c r="E65" s="83">
        <v>129</v>
      </c>
    </row>
    <row r="66" spans="1:5" x14ac:dyDescent="0.25">
      <c r="A66" s="45" t="s">
        <v>42</v>
      </c>
      <c r="B66" s="6" t="s">
        <v>162</v>
      </c>
      <c r="C66" s="79">
        <v>0</v>
      </c>
      <c r="D66" s="79">
        <v>0</v>
      </c>
      <c r="E66" s="83">
        <v>37</v>
      </c>
    </row>
    <row r="67" spans="1:5" x14ac:dyDescent="0.25">
      <c r="A67" s="45" t="s">
        <v>42</v>
      </c>
      <c r="B67" s="6" t="s">
        <v>163</v>
      </c>
      <c r="C67" s="79">
        <v>0</v>
      </c>
      <c r="D67" s="79">
        <v>0</v>
      </c>
      <c r="E67" s="83">
        <v>22</v>
      </c>
    </row>
    <row r="68" spans="1:5" x14ac:dyDescent="0.25">
      <c r="A68" s="45" t="s">
        <v>42</v>
      </c>
      <c r="B68" s="6" t="s">
        <v>164</v>
      </c>
      <c r="C68" s="79">
        <v>0</v>
      </c>
      <c r="D68" s="79">
        <v>0</v>
      </c>
      <c r="E68" s="83">
        <v>28</v>
      </c>
    </row>
    <row r="69" spans="1:5" x14ac:dyDescent="0.25">
      <c r="A69" s="45" t="s">
        <v>42</v>
      </c>
      <c r="B69" s="6" t="s">
        <v>165</v>
      </c>
      <c r="C69" s="79">
        <v>0</v>
      </c>
      <c r="D69" s="79">
        <v>0</v>
      </c>
      <c r="E69" s="83">
        <v>26</v>
      </c>
    </row>
    <row r="70" spans="1:5" x14ac:dyDescent="0.25">
      <c r="A70" s="45" t="s">
        <v>42</v>
      </c>
      <c r="B70" s="6" t="s">
        <v>166</v>
      </c>
      <c r="C70" s="79">
        <v>0</v>
      </c>
      <c r="D70" s="79">
        <v>0</v>
      </c>
      <c r="E70" s="83">
        <v>0</v>
      </c>
    </row>
    <row r="71" spans="1:5" x14ac:dyDescent="0.25">
      <c r="A71" s="45" t="s">
        <v>42</v>
      </c>
      <c r="B71" s="6" t="s">
        <v>167</v>
      </c>
      <c r="C71" s="79">
        <v>0</v>
      </c>
      <c r="D71" s="79">
        <v>0</v>
      </c>
      <c r="E71" s="83">
        <v>0</v>
      </c>
    </row>
    <row r="72" spans="1:5" x14ac:dyDescent="0.25">
      <c r="A72" s="45" t="s">
        <v>42</v>
      </c>
      <c r="B72" s="6" t="s">
        <v>168</v>
      </c>
      <c r="C72" s="79">
        <v>0</v>
      </c>
      <c r="D72" s="79">
        <v>0</v>
      </c>
      <c r="E72" s="83">
        <v>0</v>
      </c>
    </row>
    <row r="73" spans="1:5" x14ac:dyDescent="0.25">
      <c r="A73" s="45" t="s">
        <v>42</v>
      </c>
      <c r="B73" s="6" t="s">
        <v>169</v>
      </c>
      <c r="C73" s="79">
        <v>0</v>
      </c>
      <c r="D73" s="79">
        <v>0</v>
      </c>
      <c r="E73" s="83">
        <v>0</v>
      </c>
    </row>
    <row r="74" spans="1:5" x14ac:dyDescent="0.25">
      <c r="A74" s="45" t="s">
        <v>63</v>
      </c>
      <c r="B74" s="6" t="s">
        <v>158</v>
      </c>
      <c r="C74" s="79">
        <v>0</v>
      </c>
      <c r="D74" s="79">
        <v>0</v>
      </c>
      <c r="E74" s="83">
        <v>0</v>
      </c>
    </row>
    <row r="75" spans="1:5" x14ac:dyDescent="0.25">
      <c r="A75" s="45" t="s">
        <v>63</v>
      </c>
      <c r="B75" s="6" t="s">
        <v>159</v>
      </c>
      <c r="C75" s="79">
        <v>0</v>
      </c>
      <c r="D75" s="79">
        <v>0</v>
      </c>
      <c r="E75" s="83">
        <v>0</v>
      </c>
    </row>
    <row r="76" spans="1:5" x14ac:dyDescent="0.25">
      <c r="A76" s="45" t="s">
        <v>63</v>
      </c>
      <c r="B76" s="6" t="s">
        <v>160</v>
      </c>
      <c r="C76" s="79">
        <v>0</v>
      </c>
      <c r="D76" s="79">
        <v>0</v>
      </c>
      <c r="E76" s="83">
        <v>0</v>
      </c>
    </row>
    <row r="77" spans="1:5" x14ac:dyDescent="0.25">
      <c r="A77" s="45" t="s">
        <v>63</v>
      </c>
      <c r="B77" s="6" t="s">
        <v>161</v>
      </c>
      <c r="C77" s="79">
        <v>0</v>
      </c>
      <c r="D77" s="79">
        <v>0</v>
      </c>
      <c r="E77" s="83">
        <v>0</v>
      </c>
    </row>
    <row r="78" spans="1:5" x14ac:dyDescent="0.25">
      <c r="A78" s="45" t="s">
        <v>63</v>
      </c>
      <c r="B78" s="6" t="s">
        <v>162</v>
      </c>
      <c r="C78" s="79">
        <v>0</v>
      </c>
      <c r="D78" s="79">
        <v>0</v>
      </c>
      <c r="E78" s="83">
        <v>0</v>
      </c>
    </row>
    <row r="79" spans="1:5" x14ac:dyDescent="0.25">
      <c r="A79" s="45" t="s">
        <v>63</v>
      </c>
      <c r="B79" s="6" t="s">
        <v>163</v>
      </c>
      <c r="C79" s="79">
        <v>0</v>
      </c>
      <c r="D79" s="79">
        <v>0</v>
      </c>
      <c r="E79" s="83">
        <v>0</v>
      </c>
    </row>
    <row r="80" spans="1:5" x14ac:dyDescent="0.25">
      <c r="A80" s="45" t="s">
        <v>63</v>
      </c>
      <c r="B80" s="6" t="s">
        <v>164</v>
      </c>
      <c r="C80" s="79">
        <v>0</v>
      </c>
      <c r="D80" s="79">
        <v>0</v>
      </c>
      <c r="E80" s="83">
        <v>0</v>
      </c>
    </row>
    <row r="81" spans="1:5" x14ac:dyDescent="0.25">
      <c r="A81" s="45" t="s">
        <v>63</v>
      </c>
      <c r="B81" s="6" t="s">
        <v>165</v>
      </c>
      <c r="C81" s="79">
        <v>0</v>
      </c>
      <c r="D81" s="79">
        <v>0</v>
      </c>
      <c r="E81" s="83">
        <v>0</v>
      </c>
    </row>
    <row r="82" spans="1:5" x14ac:dyDescent="0.25">
      <c r="A82" s="45" t="s">
        <v>63</v>
      </c>
      <c r="B82" s="6" t="s">
        <v>166</v>
      </c>
      <c r="C82" s="79">
        <v>0</v>
      </c>
      <c r="D82" s="79">
        <v>0</v>
      </c>
      <c r="E82" s="83">
        <v>0</v>
      </c>
    </row>
    <row r="83" spans="1:5" x14ac:dyDescent="0.25">
      <c r="A83" s="45" t="s">
        <v>63</v>
      </c>
      <c r="B83" s="6" t="s">
        <v>167</v>
      </c>
      <c r="C83" s="79">
        <v>0</v>
      </c>
      <c r="D83" s="79">
        <v>0</v>
      </c>
      <c r="E83" s="83">
        <v>0</v>
      </c>
    </row>
    <row r="84" spans="1:5" x14ac:dyDescent="0.25">
      <c r="A84" s="45" t="s">
        <v>63</v>
      </c>
      <c r="B84" s="6" t="s">
        <v>168</v>
      </c>
      <c r="C84" s="79">
        <v>0</v>
      </c>
      <c r="D84" s="79">
        <v>0</v>
      </c>
      <c r="E84" s="83">
        <v>0</v>
      </c>
    </row>
    <row r="85" spans="1:5" x14ac:dyDescent="0.25">
      <c r="A85" s="45" t="s">
        <v>63</v>
      </c>
      <c r="B85" s="6" t="s">
        <v>169</v>
      </c>
      <c r="C85" s="79">
        <v>0</v>
      </c>
      <c r="D85" s="79">
        <v>0</v>
      </c>
      <c r="E85" s="83">
        <v>0</v>
      </c>
    </row>
    <row r="86" spans="1:5" x14ac:dyDescent="0.25">
      <c r="A86" s="45" t="s">
        <v>120</v>
      </c>
      <c r="B86" s="6" t="s">
        <v>158</v>
      </c>
      <c r="C86" s="79">
        <v>0</v>
      </c>
      <c r="D86" s="79">
        <v>0</v>
      </c>
      <c r="E86" s="83">
        <v>1</v>
      </c>
    </row>
    <row r="87" spans="1:5" x14ac:dyDescent="0.25">
      <c r="A87" s="45" t="s">
        <v>120</v>
      </c>
      <c r="B87" s="6" t="s">
        <v>159</v>
      </c>
      <c r="C87" s="79">
        <v>0</v>
      </c>
      <c r="D87" s="79">
        <v>0</v>
      </c>
      <c r="E87" s="83">
        <v>0</v>
      </c>
    </row>
    <row r="88" spans="1:5" x14ac:dyDescent="0.25">
      <c r="A88" s="45" t="s">
        <v>120</v>
      </c>
      <c r="B88" s="6" t="s">
        <v>160</v>
      </c>
      <c r="C88" s="79">
        <v>0</v>
      </c>
      <c r="D88" s="79">
        <v>0</v>
      </c>
      <c r="E88" s="83">
        <v>1</v>
      </c>
    </row>
    <row r="89" spans="1:5" x14ac:dyDescent="0.25">
      <c r="A89" s="45" t="s">
        <v>120</v>
      </c>
      <c r="B89" s="6" t="s">
        <v>161</v>
      </c>
      <c r="C89" s="79">
        <v>0</v>
      </c>
      <c r="D89" s="79">
        <v>0</v>
      </c>
      <c r="E89" s="83">
        <v>3</v>
      </c>
    </row>
    <row r="90" spans="1:5" x14ac:dyDescent="0.25">
      <c r="A90" s="45" t="s">
        <v>120</v>
      </c>
      <c r="B90" s="6" t="s">
        <v>162</v>
      </c>
      <c r="C90" s="79">
        <v>0</v>
      </c>
      <c r="D90" s="79">
        <v>0</v>
      </c>
      <c r="E90" s="83">
        <v>0</v>
      </c>
    </row>
    <row r="91" spans="1:5" x14ac:dyDescent="0.25">
      <c r="A91" s="45" t="s">
        <v>120</v>
      </c>
      <c r="B91" s="6" t="s">
        <v>163</v>
      </c>
      <c r="C91" s="79">
        <v>0</v>
      </c>
      <c r="D91" s="79">
        <v>0</v>
      </c>
      <c r="E91" s="83">
        <v>1</v>
      </c>
    </row>
    <row r="92" spans="1:5" x14ac:dyDescent="0.25">
      <c r="A92" s="45" t="s">
        <v>120</v>
      </c>
      <c r="B92" s="6" t="s">
        <v>164</v>
      </c>
      <c r="C92" s="79">
        <v>0</v>
      </c>
      <c r="D92" s="79">
        <v>0</v>
      </c>
      <c r="E92" s="83">
        <v>0</v>
      </c>
    </row>
    <row r="93" spans="1:5" x14ac:dyDescent="0.25">
      <c r="A93" s="45" t="s">
        <v>120</v>
      </c>
      <c r="B93" s="6" t="s">
        <v>165</v>
      </c>
      <c r="C93" s="79">
        <v>0</v>
      </c>
      <c r="D93" s="79">
        <v>0</v>
      </c>
      <c r="E93" s="83">
        <v>1</v>
      </c>
    </row>
    <row r="94" spans="1:5" x14ac:dyDescent="0.25">
      <c r="A94" s="45" t="s">
        <v>120</v>
      </c>
      <c r="B94" s="6" t="s">
        <v>166</v>
      </c>
      <c r="C94" s="79">
        <v>0</v>
      </c>
      <c r="D94" s="79">
        <v>0</v>
      </c>
      <c r="E94" s="83">
        <v>0</v>
      </c>
    </row>
    <row r="95" spans="1:5" x14ac:dyDescent="0.25">
      <c r="A95" s="45" t="s">
        <v>120</v>
      </c>
      <c r="B95" s="6" t="s">
        <v>167</v>
      </c>
      <c r="C95" s="79">
        <v>0</v>
      </c>
      <c r="D95" s="79">
        <v>0</v>
      </c>
      <c r="E95" s="83">
        <v>0</v>
      </c>
    </row>
    <row r="96" spans="1:5" x14ac:dyDescent="0.25">
      <c r="A96" s="45" t="s">
        <v>120</v>
      </c>
      <c r="B96" s="6" t="s">
        <v>168</v>
      </c>
      <c r="C96" s="79">
        <v>0</v>
      </c>
      <c r="D96" s="79">
        <v>0</v>
      </c>
      <c r="E96" s="83">
        <v>0</v>
      </c>
    </row>
    <row r="97" spans="1:5" x14ac:dyDescent="0.25">
      <c r="A97" s="45" t="s">
        <v>120</v>
      </c>
      <c r="B97" s="6" t="s">
        <v>169</v>
      </c>
      <c r="C97" s="79">
        <v>0</v>
      </c>
      <c r="D97" s="79">
        <v>0</v>
      </c>
      <c r="E97" s="83">
        <v>0</v>
      </c>
    </row>
    <row r="98" spans="1:5" x14ac:dyDescent="0.25">
      <c r="A98" s="45" t="s">
        <v>48</v>
      </c>
      <c r="B98" s="6" t="s">
        <v>158</v>
      </c>
      <c r="C98" s="79">
        <v>0</v>
      </c>
      <c r="D98" s="79">
        <v>0</v>
      </c>
      <c r="E98" s="83">
        <v>37</v>
      </c>
    </row>
    <row r="99" spans="1:5" x14ac:dyDescent="0.25">
      <c r="A99" s="45" t="s">
        <v>48</v>
      </c>
      <c r="B99" s="6" t="s">
        <v>159</v>
      </c>
      <c r="C99" s="79">
        <v>0</v>
      </c>
      <c r="D99" s="79">
        <v>1</v>
      </c>
      <c r="E99" s="83">
        <v>5</v>
      </c>
    </row>
    <row r="100" spans="1:5" x14ac:dyDescent="0.25">
      <c r="A100" s="45" t="s">
        <v>48</v>
      </c>
      <c r="B100" s="6" t="s">
        <v>160</v>
      </c>
      <c r="C100" s="79">
        <v>0</v>
      </c>
      <c r="D100" s="79">
        <v>0</v>
      </c>
      <c r="E100" s="83">
        <v>2</v>
      </c>
    </row>
    <row r="101" spans="1:5" x14ac:dyDescent="0.25">
      <c r="A101" s="45" t="s">
        <v>48</v>
      </c>
      <c r="B101" s="6" t="s">
        <v>161</v>
      </c>
      <c r="C101" s="79">
        <v>0</v>
      </c>
      <c r="D101" s="79">
        <v>10</v>
      </c>
      <c r="E101" s="83">
        <v>1</v>
      </c>
    </row>
    <row r="102" spans="1:5" x14ac:dyDescent="0.25">
      <c r="A102" s="45" t="s">
        <v>48</v>
      </c>
      <c r="B102" s="6" t="s">
        <v>162</v>
      </c>
      <c r="C102" s="79">
        <v>0</v>
      </c>
      <c r="D102" s="79">
        <v>0</v>
      </c>
      <c r="E102" s="83">
        <v>4</v>
      </c>
    </row>
    <row r="103" spans="1:5" x14ac:dyDescent="0.25">
      <c r="A103" s="45" t="s">
        <v>48</v>
      </c>
      <c r="B103" s="6" t="s">
        <v>163</v>
      </c>
      <c r="C103" s="79">
        <v>0</v>
      </c>
      <c r="D103" s="79">
        <v>0</v>
      </c>
      <c r="E103" s="83">
        <v>11</v>
      </c>
    </row>
    <row r="104" spans="1:5" x14ac:dyDescent="0.25">
      <c r="A104" s="45" t="s">
        <v>48</v>
      </c>
      <c r="B104" s="6" t="s">
        <v>164</v>
      </c>
      <c r="C104" s="79">
        <v>0</v>
      </c>
      <c r="D104" s="79">
        <v>0</v>
      </c>
      <c r="E104" s="83">
        <v>6</v>
      </c>
    </row>
    <row r="105" spans="1:5" x14ac:dyDescent="0.25">
      <c r="A105" s="45" t="s">
        <v>48</v>
      </c>
      <c r="B105" s="6" t="s">
        <v>165</v>
      </c>
      <c r="C105" s="79">
        <v>0</v>
      </c>
      <c r="D105" s="79">
        <v>0</v>
      </c>
      <c r="E105" s="83">
        <v>8</v>
      </c>
    </row>
    <row r="106" spans="1:5" x14ac:dyDescent="0.25">
      <c r="A106" s="45" t="s">
        <v>48</v>
      </c>
      <c r="B106" s="6" t="s">
        <v>166</v>
      </c>
      <c r="C106" s="79">
        <v>0</v>
      </c>
      <c r="D106" s="79">
        <v>0</v>
      </c>
      <c r="E106" s="83">
        <v>1</v>
      </c>
    </row>
    <row r="107" spans="1:5" x14ac:dyDescent="0.25">
      <c r="A107" s="45" t="s">
        <v>48</v>
      </c>
      <c r="B107" s="6" t="s">
        <v>167</v>
      </c>
      <c r="C107" s="79">
        <v>0</v>
      </c>
      <c r="D107" s="79">
        <v>0</v>
      </c>
      <c r="E107" s="83">
        <v>14</v>
      </c>
    </row>
    <row r="108" spans="1:5" x14ac:dyDescent="0.25">
      <c r="A108" s="45" t="s">
        <v>48</v>
      </c>
      <c r="B108" s="6" t="s">
        <v>168</v>
      </c>
      <c r="C108" s="79">
        <v>1</v>
      </c>
      <c r="D108" s="79">
        <v>0</v>
      </c>
      <c r="E108" s="83">
        <v>4</v>
      </c>
    </row>
    <row r="109" spans="1:5" x14ac:dyDescent="0.25">
      <c r="A109" s="45" t="s">
        <v>48</v>
      </c>
      <c r="B109" s="6" t="s">
        <v>169</v>
      </c>
      <c r="C109" s="79">
        <v>0</v>
      </c>
      <c r="D109" s="79">
        <v>0</v>
      </c>
      <c r="E109" s="83">
        <v>1</v>
      </c>
    </row>
    <row r="110" spans="1:5" x14ac:dyDescent="0.25">
      <c r="A110" s="45" t="s">
        <v>93</v>
      </c>
      <c r="B110" s="6" t="s">
        <v>158</v>
      </c>
      <c r="C110" s="79">
        <v>0</v>
      </c>
      <c r="D110" s="79">
        <v>0</v>
      </c>
      <c r="E110" s="83">
        <v>1</v>
      </c>
    </row>
    <row r="111" spans="1:5" x14ac:dyDescent="0.25">
      <c r="A111" s="45" t="s">
        <v>93</v>
      </c>
      <c r="B111" s="6" t="s">
        <v>159</v>
      </c>
      <c r="C111" s="79">
        <v>1</v>
      </c>
      <c r="D111" s="79">
        <v>0</v>
      </c>
      <c r="E111" s="83">
        <v>1</v>
      </c>
    </row>
    <row r="112" spans="1:5" x14ac:dyDescent="0.25">
      <c r="A112" s="45" t="s">
        <v>93</v>
      </c>
      <c r="B112" s="6" t="s">
        <v>160</v>
      </c>
      <c r="C112" s="79">
        <v>0</v>
      </c>
      <c r="D112" s="79">
        <v>1</v>
      </c>
      <c r="E112" s="83">
        <v>0</v>
      </c>
    </row>
    <row r="113" spans="1:5" x14ac:dyDescent="0.25">
      <c r="A113" s="45" t="s">
        <v>93</v>
      </c>
      <c r="B113" s="6" t="s">
        <v>161</v>
      </c>
      <c r="C113" s="79">
        <v>0</v>
      </c>
      <c r="D113" s="79">
        <v>0</v>
      </c>
      <c r="E113" s="83">
        <v>1</v>
      </c>
    </row>
    <row r="114" spans="1:5" x14ac:dyDescent="0.25">
      <c r="A114" s="45" t="s">
        <v>93</v>
      </c>
      <c r="B114" s="6" t="s">
        <v>162</v>
      </c>
      <c r="C114" s="79">
        <v>0</v>
      </c>
      <c r="D114" s="79">
        <v>0</v>
      </c>
      <c r="E114" s="83">
        <v>1</v>
      </c>
    </row>
    <row r="115" spans="1:5" x14ac:dyDescent="0.25">
      <c r="A115" s="45" t="s">
        <v>93</v>
      </c>
      <c r="B115" s="6" t="s">
        <v>163</v>
      </c>
      <c r="C115" s="79">
        <v>0</v>
      </c>
      <c r="D115" s="79">
        <v>0</v>
      </c>
      <c r="E115" s="83">
        <v>0</v>
      </c>
    </row>
    <row r="116" spans="1:5" x14ac:dyDescent="0.25">
      <c r="A116" s="45" t="s">
        <v>93</v>
      </c>
      <c r="B116" s="6" t="s">
        <v>164</v>
      </c>
      <c r="C116" s="79">
        <v>0</v>
      </c>
      <c r="D116" s="79">
        <v>0</v>
      </c>
      <c r="E116" s="83">
        <v>1</v>
      </c>
    </row>
    <row r="117" spans="1:5" x14ac:dyDescent="0.25">
      <c r="A117" s="45" t="s">
        <v>93</v>
      </c>
      <c r="B117" s="6" t="s">
        <v>165</v>
      </c>
      <c r="C117" s="79">
        <v>0</v>
      </c>
      <c r="D117" s="79">
        <v>0</v>
      </c>
      <c r="E117" s="83">
        <v>0</v>
      </c>
    </row>
    <row r="118" spans="1:5" x14ac:dyDescent="0.25">
      <c r="A118" s="45" t="s">
        <v>93</v>
      </c>
      <c r="B118" s="6" t="s">
        <v>166</v>
      </c>
      <c r="C118" s="79">
        <v>0</v>
      </c>
      <c r="D118" s="79">
        <v>0</v>
      </c>
      <c r="E118" s="83">
        <v>0</v>
      </c>
    </row>
    <row r="119" spans="1:5" x14ac:dyDescent="0.25">
      <c r="A119" s="45" t="s">
        <v>93</v>
      </c>
      <c r="B119" s="6" t="s">
        <v>167</v>
      </c>
      <c r="C119" s="79">
        <v>0</v>
      </c>
      <c r="D119" s="79">
        <v>0</v>
      </c>
      <c r="E119" s="83">
        <v>0</v>
      </c>
    </row>
    <row r="120" spans="1:5" x14ac:dyDescent="0.25">
      <c r="A120" s="45" t="s">
        <v>93</v>
      </c>
      <c r="B120" s="6" t="s">
        <v>168</v>
      </c>
      <c r="C120" s="79">
        <v>0</v>
      </c>
      <c r="D120" s="79">
        <v>0</v>
      </c>
      <c r="E120" s="83">
        <v>0</v>
      </c>
    </row>
    <row r="121" spans="1:5" x14ac:dyDescent="0.25">
      <c r="A121" s="45" t="s">
        <v>93</v>
      </c>
      <c r="B121" s="6" t="s">
        <v>169</v>
      </c>
      <c r="C121" s="79">
        <v>0</v>
      </c>
      <c r="D121" s="79">
        <v>0</v>
      </c>
      <c r="E121" s="83">
        <v>0</v>
      </c>
    </row>
    <row r="122" spans="1:5" x14ac:dyDescent="0.25">
      <c r="A122" s="45" t="s">
        <v>119</v>
      </c>
      <c r="B122" s="6" t="s">
        <v>158</v>
      </c>
      <c r="C122" s="79">
        <v>0</v>
      </c>
      <c r="D122" s="79">
        <v>0</v>
      </c>
      <c r="E122" s="83">
        <v>0</v>
      </c>
    </row>
    <row r="123" spans="1:5" x14ac:dyDescent="0.25">
      <c r="A123" s="45" t="s">
        <v>119</v>
      </c>
      <c r="B123" s="6" t="s">
        <v>159</v>
      </c>
      <c r="C123" s="79">
        <v>0</v>
      </c>
      <c r="D123" s="79">
        <v>0</v>
      </c>
      <c r="E123" s="83">
        <v>0</v>
      </c>
    </row>
    <row r="124" spans="1:5" x14ac:dyDescent="0.25">
      <c r="A124" s="45" t="s">
        <v>119</v>
      </c>
      <c r="B124" s="6" t="s">
        <v>160</v>
      </c>
      <c r="C124" s="79">
        <v>0</v>
      </c>
      <c r="D124" s="79">
        <v>0</v>
      </c>
      <c r="E124" s="83">
        <v>0</v>
      </c>
    </row>
    <row r="125" spans="1:5" x14ac:dyDescent="0.25">
      <c r="A125" s="45" t="s">
        <v>119</v>
      </c>
      <c r="B125" s="6" t="s">
        <v>161</v>
      </c>
      <c r="C125" s="79">
        <v>0</v>
      </c>
      <c r="D125" s="79">
        <v>0</v>
      </c>
      <c r="E125" s="83">
        <v>0</v>
      </c>
    </row>
    <row r="126" spans="1:5" x14ac:dyDescent="0.25">
      <c r="A126" s="45" t="s">
        <v>119</v>
      </c>
      <c r="B126" s="6" t="s">
        <v>162</v>
      </c>
      <c r="C126" s="79">
        <v>0</v>
      </c>
      <c r="D126" s="79">
        <v>0</v>
      </c>
      <c r="E126" s="83">
        <v>0</v>
      </c>
    </row>
    <row r="127" spans="1:5" x14ac:dyDescent="0.25">
      <c r="A127" s="45" t="s">
        <v>119</v>
      </c>
      <c r="B127" s="6" t="s">
        <v>163</v>
      </c>
      <c r="C127" s="79">
        <v>0</v>
      </c>
      <c r="D127" s="79">
        <v>0</v>
      </c>
      <c r="E127" s="83">
        <v>0</v>
      </c>
    </row>
    <row r="128" spans="1:5" x14ac:dyDescent="0.25">
      <c r="A128" s="45" t="s">
        <v>119</v>
      </c>
      <c r="B128" s="6" t="s">
        <v>164</v>
      </c>
      <c r="C128" s="79">
        <v>0</v>
      </c>
      <c r="D128" s="79">
        <v>0</v>
      </c>
      <c r="E128" s="83">
        <v>0</v>
      </c>
    </row>
    <row r="129" spans="1:5" x14ac:dyDescent="0.25">
      <c r="A129" s="45" t="s">
        <v>119</v>
      </c>
      <c r="B129" s="6" t="s">
        <v>165</v>
      </c>
      <c r="C129" s="79">
        <v>0</v>
      </c>
      <c r="D129" s="79">
        <v>0</v>
      </c>
      <c r="E129" s="83">
        <v>0</v>
      </c>
    </row>
    <row r="130" spans="1:5" x14ac:dyDescent="0.25">
      <c r="A130" s="45" t="s">
        <v>119</v>
      </c>
      <c r="B130" s="6" t="s">
        <v>166</v>
      </c>
      <c r="C130" s="79">
        <v>0</v>
      </c>
      <c r="D130" s="79">
        <v>0</v>
      </c>
      <c r="E130" s="83">
        <v>1</v>
      </c>
    </row>
    <row r="131" spans="1:5" x14ac:dyDescent="0.25">
      <c r="A131" s="45" t="s">
        <v>119</v>
      </c>
      <c r="B131" s="6" t="s">
        <v>167</v>
      </c>
      <c r="C131" s="79">
        <v>0</v>
      </c>
      <c r="D131" s="79">
        <v>0</v>
      </c>
      <c r="E131" s="83">
        <v>0</v>
      </c>
    </row>
    <row r="132" spans="1:5" x14ac:dyDescent="0.25">
      <c r="A132" s="45" t="s">
        <v>119</v>
      </c>
      <c r="B132" s="6" t="s">
        <v>168</v>
      </c>
      <c r="C132" s="79">
        <v>0</v>
      </c>
      <c r="D132" s="79">
        <v>0</v>
      </c>
      <c r="E132" s="83">
        <v>0</v>
      </c>
    </row>
    <row r="133" spans="1:5" x14ac:dyDescent="0.25">
      <c r="A133" s="45" t="s">
        <v>119</v>
      </c>
      <c r="B133" s="6" t="s">
        <v>169</v>
      </c>
      <c r="C133" s="79">
        <v>0</v>
      </c>
      <c r="D133" s="79">
        <v>0</v>
      </c>
      <c r="E133" s="83">
        <v>0</v>
      </c>
    </row>
    <row r="134" spans="1:5" x14ac:dyDescent="0.25">
      <c r="A134" s="45" t="s">
        <v>123</v>
      </c>
      <c r="B134" s="6" t="s">
        <v>158</v>
      </c>
      <c r="C134" s="79">
        <v>0</v>
      </c>
      <c r="D134" s="79">
        <v>0</v>
      </c>
      <c r="E134" s="83">
        <v>1</v>
      </c>
    </row>
    <row r="135" spans="1:5" x14ac:dyDescent="0.25">
      <c r="A135" s="45" t="s">
        <v>123</v>
      </c>
      <c r="B135" s="6" t="s">
        <v>159</v>
      </c>
      <c r="C135" s="79">
        <v>0</v>
      </c>
      <c r="D135" s="79">
        <v>0</v>
      </c>
      <c r="E135" s="83">
        <v>1</v>
      </c>
    </row>
    <row r="136" spans="1:5" x14ac:dyDescent="0.25">
      <c r="A136" s="45" t="s">
        <v>123</v>
      </c>
      <c r="B136" s="6" t="s">
        <v>160</v>
      </c>
      <c r="C136" s="79">
        <v>0</v>
      </c>
      <c r="D136" s="79">
        <v>0</v>
      </c>
      <c r="E136" s="83">
        <v>3</v>
      </c>
    </row>
    <row r="137" spans="1:5" x14ac:dyDescent="0.25">
      <c r="A137" s="45" t="s">
        <v>123</v>
      </c>
      <c r="B137" s="6" t="s">
        <v>161</v>
      </c>
      <c r="C137" s="79">
        <v>0</v>
      </c>
      <c r="D137" s="79">
        <v>0</v>
      </c>
      <c r="E137" s="83">
        <v>1</v>
      </c>
    </row>
    <row r="138" spans="1:5" x14ac:dyDescent="0.25">
      <c r="A138" s="45" t="s">
        <v>123</v>
      </c>
      <c r="B138" s="6" t="s">
        <v>162</v>
      </c>
      <c r="C138" s="79">
        <v>0</v>
      </c>
      <c r="D138" s="79">
        <v>0</v>
      </c>
      <c r="E138" s="83">
        <v>2</v>
      </c>
    </row>
    <row r="139" spans="1:5" x14ac:dyDescent="0.25">
      <c r="A139" s="45" t="s">
        <v>123</v>
      </c>
      <c r="B139" s="6" t="s">
        <v>163</v>
      </c>
      <c r="C139" s="79">
        <v>0</v>
      </c>
      <c r="D139" s="79">
        <v>0</v>
      </c>
      <c r="E139" s="83">
        <v>2</v>
      </c>
    </row>
    <row r="140" spans="1:5" x14ac:dyDescent="0.25">
      <c r="A140" s="45" t="s">
        <v>123</v>
      </c>
      <c r="B140" s="6" t="s">
        <v>164</v>
      </c>
      <c r="C140" s="79">
        <v>0</v>
      </c>
      <c r="D140" s="79">
        <v>0</v>
      </c>
      <c r="E140" s="83">
        <v>0</v>
      </c>
    </row>
    <row r="141" spans="1:5" x14ac:dyDescent="0.25">
      <c r="A141" s="45" t="s">
        <v>123</v>
      </c>
      <c r="B141" s="6" t="s">
        <v>165</v>
      </c>
      <c r="C141" s="79">
        <v>0</v>
      </c>
      <c r="D141" s="79">
        <v>0</v>
      </c>
      <c r="E141" s="83">
        <v>2</v>
      </c>
    </row>
    <row r="142" spans="1:5" x14ac:dyDescent="0.25">
      <c r="A142" s="45" t="s">
        <v>123</v>
      </c>
      <c r="B142" s="6" t="s">
        <v>166</v>
      </c>
      <c r="C142" s="79">
        <v>0</v>
      </c>
      <c r="D142" s="79">
        <v>0</v>
      </c>
      <c r="E142" s="83">
        <v>1</v>
      </c>
    </row>
    <row r="143" spans="1:5" x14ac:dyDescent="0.25">
      <c r="A143" s="45" t="s">
        <v>123</v>
      </c>
      <c r="B143" s="6" t="s">
        <v>167</v>
      </c>
      <c r="C143" s="79">
        <v>0</v>
      </c>
      <c r="D143" s="79">
        <v>0</v>
      </c>
      <c r="E143" s="83">
        <v>0</v>
      </c>
    </row>
    <row r="144" spans="1:5" x14ac:dyDescent="0.25">
      <c r="A144" s="45" t="s">
        <v>123</v>
      </c>
      <c r="B144" s="6" t="s">
        <v>168</v>
      </c>
      <c r="C144" s="79">
        <v>0</v>
      </c>
      <c r="D144" s="79">
        <v>0</v>
      </c>
      <c r="E144" s="83">
        <v>0</v>
      </c>
    </row>
    <row r="145" spans="1:5" x14ac:dyDescent="0.25">
      <c r="A145" s="45" t="s">
        <v>123</v>
      </c>
      <c r="B145" s="6" t="s">
        <v>169</v>
      </c>
      <c r="C145" s="79">
        <v>0</v>
      </c>
      <c r="D145" s="79">
        <v>0</v>
      </c>
      <c r="E145" s="83">
        <v>0</v>
      </c>
    </row>
    <row r="146" spans="1:5" x14ac:dyDescent="0.25">
      <c r="A146" s="45" t="s">
        <v>103</v>
      </c>
      <c r="B146" s="6" t="s">
        <v>158</v>
      </c>
      <c r="C146" s="79">
        <v>0</v>
      </c>
      <c r="D146" s="79">
        <v>0</v>
      </c>
      <c r="E146" s="83">
        <v>0</v>
      </c>
    </row>
    <row r="147" spans="1:5" x14ac:dyDescent="0.25">
      <c r="A147" s="45" t="s">
        <v>103</v>
      </c>
      <c r="B147" s="6" t="s">
        <v>159</v>
      </c>
      <c r="C147" s="79">
        <v>0</v>
      </c>
      <c r="D147" s="79">
        <v>0</v>
      </c>
      <c r="E147" s="83">
        <v>0</v>
      </c>
    </row>
    <row r="148" spans="1:5" x14ac:dyDescent="0.25">
      <c r="A148" s="45" t="s">
        <v>103</v>
      </c>
      <c r="B148" s="6" t="s">
        <v>160</v>
      </c>
      <c r="C148" s="79">
        <v>0</v>
      </c>
      <c r="D148" s="79">
        <v>1</v>
      </c>
      <c r="E148" s="83">
        <v>0</v>
      </c>
    </row>
    <row r="149" spans="1:5" x14ac:dyDescent="0.25">
      <c r="A149" s="45" t="s">
        <v>103</v>
      </c>
      <c r="B149" s="6" t="s">
        <v>161</v>
      </c>
      <c r="C149" s="79">
        <v>0</v>
      </c>
      <c r="D149" s="79">
        <v>1</v>
      </c>
      <c r="E149" s="83">
        <v>0</v>
      </c>
    </row>
    <row r="150" spans="1:5" x14ac:dyDescent="0.25">
      <c r="A150" s="45" t="s">
        <v>103</v>
      </c>
      <c r="B150" s="6" t="s">
        <v>162</v>
      </c>
      <c r="C150" s="79">
        <v>0</v>
      </c>
      <c r="D150" s="79">
        <v>0</v>
      </c>
      <c r="E150" s="83">
        <v>0</v>
      </c>
    </row>
    <row r="151" spans="1:5" x14ac:dyDescent="0.25">
      <c r="A151" s="45" t="s">
        <v>103</v>
      </c>
      <c r="B151" s="6" t="s">
        <v>163</v>
      </c>
      <c r="C151" s="79">
        <v>0</v>
      </c>
      <c r="D151" s="79">
        <v>2</v>
      </c>
      <c r="E151" s="83">
        <v>0</v>
      </c>
    </row>
    <row r="152" spans="1:5" x14ac:dyDescent="0.25">
      <c r="A152" s="45" t="s">
        <v>103</v>
      </c>
      <c r="B152" s="6" t="s">
        <v>164</v>
      </c>
      <c r="C152" s="79">
        <v>0</v>
      </c>
      <c r="D152" s="79">
        <v>2</v>
      </c>
      <c r="E152" s="83">
        <v>3</v>
      </c>
    </row>
    <row r="153" spans="1:5" x14ac:dyDescent="0.25">
      <c r="A153" s="45" t="s">
        <v>103</v>
      </c>
      <c r="B153" s="6" t="s">
        <v>165</v>
      </c>
      <c r="C153" s="79">
        <v>0</v>
      </c>
      <c r="D153" s="79">
        <v>0</v>
      </c>
      <c r="E153" s="83">
        <v>0</v>
      </c>
    </row>
    <row r="154" spans="1:5" x14ac:dyDescent="0.25">
      <c r="A154" s="45" t="s">
        <v>103</v>
      </c>
      <c r="B154" s="6" t="s">
        <v>166</v>
      </c>
      <c r="C154" s="79">
        <v>0</v>
      </c>
      <c r="D154" s="79">
        <v>0</v>
      </c>
      <c r="E154" s="83">
        <v>0</v>
      </c>
    </row>
    <row r="155" spans="1:5" x14ac:dyDescent="0.25">
      <c r="A155" s="45" t="s">
        <v>103</v>
      </c>
      <c r="B155" s="6" t="s">
        <v>167</v>
      </c>
      <c r="C155" s="79">
        <v>0</v>
      </c>
      <c r="D155" s="79">
        <v>0</v>
      </c>
      <c r="E155" s="83">
        <v>0</v>
      </c>
    </row>
    <row r="156" spans="1:5" x14ac:dyDescent="0.25">
      <c r="A156" s="45" t="s">
        <v>103</v>
      </c>
      <c r="B156" s="6" t="s">
        <v>168</v>
      </c>
      <c r="C156" s="79">
        <v>0</v>
      </c>
      <c r="D156" s="79">
        <v>0</v>
      </c>
      <c r="E156" s="83">
        <v>1</v>
      </c>
    </row>
    <row r="157" spans="1:5" x14ac:dyDescent="0.25">
      <c r="A157" s="45" t="s">
        <v>103</v>
      </c>
      <c r="B157" s="6" t="s">
        <v>169</v>
      </c>
      <c r="C157" s="79">
        <v>0</v>
      </c>
      <c r="D157" s="79">
        <v>0</v>
      </c>
      <c r="E157" s="83">
        <v>0</v>
      </c>
    </row>
    <row r="158" spans="1:5" x14ac:dyDescent="0.25">
      <c r="A158" s="45" t="s">
        <v>129</v>
      </c>
      <c r="B158" s="6" t="s">
        <v>158</v>
      </c>
      <c r="C158" s="79">
        <v>0</v>
      </c>
      <c r="D158" s="79">
        <v>0</v>
      </c>
      <c r="E158" s="83">
        <v>0</v>
      </c>
    </row>
    <row r="159" spans="1:5" x14ac:dyDescent="0.25">
      <c r="A159" s="45" t="s">
        <v>129</v>
      </c>
      <c r="B159" s="6" t="s">
        <v>159</v>
      </c>
      <c r="C159" s="79">
        <v>0</v>
      </c>
      <c r="D159" s="79">
        <v>0</v>
      </c>
      <c r="E159" s="83">
        <v>0</v>
      </c>
    </row>
    <row r="160" spans="1:5" x14ac:dyDescent="0.25">
      <c r="A160" s="45" t="s">
        <v>129</v>
      </c>
      <c r="B160" s="6" t="s">
        <v>160</v>
      </c>
      <c r="C160" s="79">
        <v>0</v>
      </c>
      <c r="D160" s="79">
        <v>0</v>
      </c>
      <c r="E160" s="83">
        <v>0</v>
      </c>
    </row>
    <row r="161" spans="1:5" x14ac:dyDescent="0.25">
      <c r="A161" s="45" t="s">
        <v>129</v>
      </c>
      <c r="B161" s="6" t="s">
        <v>161</v>
      </c>
      <c r="C161" s="79">
        <v>0</v>
      </c>
      <c r="D161" s="79">
        <v>0</v>
      </c>
      <c r="E161" s="83">
        <v>0</v>
      </c>
    </row>
    <row r="162" spans="1:5" x14ac:dyDescent="0.25">
      <c r="A162" s="45" t="s">
        <v>129</v>
      </c>
      <c r="B162" s="6" t="s">
        <v>162</v>
      </c>
      <c r="C162" s="79">
        <v>0</v>
      </c>
      <c r="D162" s="79">
        <v>0</v>
      </c>
      <c r="E162" s="83">
        <v>2</v>
      </c>
    </row>
    <row r="163" spans="1:5" x14ac:dyDescent="0.25">
      <c r="A163" s="45" t="s">
        <v>129</v>
      </c>
      <c r="B163" s="6" t="s">
        <v>163</v>
      </c>
      <c r="C163" s="79">
        <v>0</v>
      </c>
      <c r="D163" s="79">
        <v>0</v>
      </c>
      <c r="E163" s="83">
        <v>0</v>
      </c>
    </row>
    <row r="164" spans="1:5" x14ac:dyDescent="0.25">
      <c r="A164" s="45" t="s">
        <v>129</v>
      </c>
      <c r="B164" s="6" t="s">
        <v>164</v>
      </c>
      <c r="C164" s="79">
        <v>0</v>
      </c>
      <c r="D164" s="79">
        <v>0</v>
      </c>
      <c r="E164" s="83">
        <v>2</v>
      </c>
    </row>
    <row r="165" spans="1:5" x14ac:dyDescent="0.25">
      <c r="A165" s="45" t="s">
        <v>129</v>
      </c>
      <c r="B165" s="6" t="s">
        <v>165</v>
      </c>
      <c r="C165" s="79">
        <v>0</v>
      </c>
      <c r="D165" s="79">
        <v>0</v>
      </c>
      <c r="E165" s="83">
        <v>0</v>
      </c>
    </row>
    <row r="166" spans="1:5" x14ac:dyDescent="0.25">
      <c r="A166" s="45" t="s">
        <v>129</v>
      </c>
      <c r="B166" s="6" t="s">
        <v>166</v>
      </c>
      <c r="C166" s="79">
        <v>0</v>
      </c>
      <c r="D166" s="79">
        <v>0</v>
      </c>
      <c r="E166" s="83">
        <v>1</v>
      </c>
    </row>
    <row r="167" spans="1:5" x14ac:dyDescent="0.25">
      <c r="A167" s="45" t="s">
        <v>129</v>
      </c>
      <c r="B167" s="6" t="s">
        <v>167</v>
      </c>
      <c r="C167" s="79">
        <v>0</v>
      </c>
      <c r="D167" s="79">
        <v>0</v>
      </c>
      <c r="E167" s="83">
        <v>0</v>
      </c>
    </row>
    <row r="168" spans="1:5" x14ac:dyDescent="0.25">
      <c r="A168" s="45" t="s">
        <v>129</v>
      </c>
      <c r="B168" s="6" t="s">
        <v>168</v>
      </c>
      <c r="C168" s="79">
        <v>0</v>
      </c>
      <c r="D168" s="79">
        <v>0</v>
      </c>
      <c r="E168" s="83">
        <v>0</v>
      </c>
    </row>
    <row r="169" spans="1:5" x14ac:dyDescent="0.25">
      <c r="A169" s="45" t="s">
        <v>129</v>
      </c>
      <c r="B169" s="6" t="s">
        <v>169</v>
      </c>
      <c r="C169" s="79">
        <v>0</v>
      </c>
      <c r="D169" s="79">
        <v>0</v>
      </c>
      <c r="E169" s="83">
        <v>0</v>
      </c>
    </row>
    <row r="170" spans="1:5" x14ac:dyDescent="0.25">
      <c r="A170" s="45" t="s">
        <v>96</v>
      </c>
      <c r="B170" s="6" t="s">
        <v>158</v>
      </c>
      <c r="C170" s="79">
        <v>0</v>
      </c>
      <c r="D170" s="79">
        <v>0</v>
      </c>
      <c r="E170" s="83">
        <v>1</v>
      </c>
    </row>
    <row r="171" spans="1:5" x14ac:dyDescent="0.25">
      <c r="A171" s="45" t="s">
        <v>96</v>
      </c>
      <c r="B171" s="6" t="s">
        <v>159</v>
      </c>
      <c r="C171" s="79">
        <v>0</v>
      </c>
      <c r="D171" s="79">
        <v>0</v>
      </c>
      <c r="E171" s="83">
        <v>1</v>
      </c>
    </row>
    <row r="172" spans="1:5" x14ac:dyDescent="0.25">
      <c r="A172" s="45" t="s">
        <v>96</v>
      </c>
      <c r="B172" s="6" t="s">
        <v>160</v>
      </c>
      <c r="C172" s="79">
        <v>0</v>
      </c>
      <c r="D172" s="79">
        <v>0</v>
      </c>
      <c r="E172" s="83">
        <v>0</v>
      </c>
    </row>
    <row r="173" spans="1:5" x14ac:dyDescent="0.25">
      <c r="A173" s="45" t="s">
        <v>96</v>
      </c>
      <c r="B173" s="6" t="s">
        <v>161</v>
      </c>
      <c r="C173" s="79">
        <v>2</v>
      </c>
      <c r="D173" s="79">
        <v>0</v>
      </c>
      <c r="E173" s="83">
        <v>0</v>
      </c>
    </row>
    <row r="174" spans="1:5" x14ac:dyDescent="0.25">
      <c r="A174" s="45" t="s">
        <v>96</v>
      </c>
      <c r="B174" s="6" t="s">
        <v>162</v>
      </c>
      <c r="C174" s="79">
        <v>0</v>
      </c>
      <c r="D174" s="79">
        <v>0</v>
      </c>
      <c r="E174" s="83">
        <v>0</v>
      </c>
    </row>
    <row r="175" spans="1:5" x14ac:dyDescent="0.25">
      <c r="A175" s="45" t="s">
        <v>96</v>
      </c>
      <c r="B175" s="6" t="s">
        <v>163</v>
      </c>
      <c r="C175" s="79">
        <v>0</v>
      </c>
      <c r="D175" s="79">
        <v>0</v>
      </c>
      <c r="E175" s="83">
        <v>0</v>
      </c>
    </row>
    <row r="176" spans="1:5" x14ac:dyDescent="0.25">
      <c r="A176" s="45" t="s">
        <v>96</v>
      </c>
      <c r="B176" s="6" t="s">
        <v>164</v>
      </c>
      <c r="C176" s="79">
        <v>0</v>
      </c>
      <c r="D176" s="79">
        <v>0</v>
      </c>
      <c r="E176" s="83">
        <v>1</v>
      </c>
    </row>
    <row r="177" spans="1:5" x14ac:dyDescent="0.25">
      <c r="A177" s="45" t="s">
        <v>96</v>
      </c>
      <c r="B177" s="6" t="s">
        <v>165</v>
      </c>
      <c r="C177" s="79">
        <v>0</v>
      </c>
      <c r="D177" s="79">
        <v>0</v>
      </c>
      <c r="E177" s="83">
        <v>0</v>
      </c>
    </row>
    <row r="178" spans="1:5" x14ac:dyDescent="0.25">
      <c r="A178" s="45" t="s">
        <v>96</v>
      </c>
      <c r="B178" s="6" t="s">
        <v>166</v>
      </c>
      <c r="C178" s="79">
        <v>0</v>
      </c>
      <c r="D178" s="79">
        <v>0</v>
      </c>
      <c r="E178" s="83">
        <v>0</v>
      </c>
    </row>
    <row r="179" spans="1:5" x14ac:dyDescent="0.25">
      <c r="A179" s="45" t="s">
        <v>96</v>
      </c>
      <c r="B179" s="6" t="s">
        <v>167</v>
      </c>
      <c r="C179" s="79">
        <v>0</v>
      </c>
      <c r="D179" s="79">
        <v>0</v>
      </c>
      <c r="E179" s="83">
        <v>1</v>
      </c>
    </row>
    <row r="180" spans="1:5" x14ac:dyDescent="0.25">
      <c r="A180" s="45" t="s">
        <v>96</v>
      </c>
      <c r="B180" s="6" t="s">
        <v>168</v>
      </c>
      <c r="C180" s="79">
        <v>0</v>
      </c>
      <c r="D180" s="79">
        <v>0</v>
      </c>
      <c r="E180" s="83">
        <v>0</v>
      </c>
    </row>
    <row r="181" spans="1:5" x14ac:dyDescent="0.25">
      <c r="A181" s="45" t="s">
        <v>96</v>
      </c>
      <c r="B181" s="6" t="s">
        <v>169</v>
      </c>
      <c r="C181" s="79">
        <v>0</v>
      </c>
      <c r="D181" s="79">
        <v>0</v>
      </c>
      <c r="E181" s="83">
        <v>0</v>
      </c>
    </row>
    <row r="182" spans="1:5" x14ac:dyDescent="0.25">
      <c r="A182" s="45" t="s">
        <v>38</v>
      </c>
      <c r="B182" s="6" t="s">
        <v>158</v>
      </c>
      <c r="C182" s="79">
        <v>0</v>
      </c>
      <c r="D182" s="79">
        <v>0</v>
      </c>
      <c r="E182" s="83">
        <v>0</v>
      </c>
    </row>
    <row r="183" spans="1:5" x14ac:dyDescent="0.25">
      <c r="A183" s="45" t="s">
        <v>38</v>
      </c>
      <c r="B183" s="6" t="s">
        <v>159</v>
      </c>
      <c r="C183" s="79">
        <v>0</v>
      </c>
      <c r="D183" s="79">
        <v>0</v>
      </c>
      <c r="E183" s="83">
        <v>0</v>
      </c>
    </row>
    <row r="184" spans="1:5" x14ac:dyDescent="0.25">
      <c r="A184" s="45" t="s">
        <v>38</v>
      </c>
      <c r="B184" s="6" t="s">
        <v>160</v>
      </c>
      <c r="C184" s="79">
        <v>0</v>
      </c>
      <c r="D184" s="79">
        <v>0</v>
      </c>
      <c r="E184" s="83">
        <v>0</v>
      </c>
    </row>
    <row r="185" spans="1:5" x14ac:dyDescent="0.25">
      <c r="A185" s="45" t="s">
        <v>38</v>
      </c>
      <c r="B185" s="6" t="s">
        <v>161</v>
      </c>
      <c r="C185" s="79">
        <v>0</v>
      </c>
      <c r="D185" s="79">
        <v>0</v>
      </c>
      <c r="E185" s="83">
        <v>0</v>
      </c>
    </row>
    <row r="186" spans="1:5" x14ac:dyDescent="0.25">
      <c r="A186" s="45" t="s">
        <v>38</v>
      </c>
      <c r="B186" s="6" t="s">
        <v>162</v>
      </c>
      <c r="C186" s="79">
        <v>0</v>
      </c>
      <c r="D186" s="79">
        <v>0</v>
      </c>
      <c r="E186" s="83">
        <v>0</v>
      </c>
    </row>
    <row r="187" spans="1:5" x14ac:dyDescent="0.25">
      <c r="A187" s="45" t="s">
        <v>38</v>
      </c>
      <c r="B187" s="6" t="s">
        <v>163</v>
      </c>
      <c r="C187" s="79">
        <v>0</v>
      </c>
      <c r="D187" s="79">
        <v>0</v>
      </c>
      <c r="E187" s="83">
        <v>1</v>
      </c>
    </row>
    <row r="188" spans="1:5" x14ac:dyDescent="0.25">
      <c r="A188" s="45" t="s">
        <v>38</v>
      </c>
      <c r="B188" s="6" t="s">
        <v>164</v>
      </c>
      <c r="C188" s="79">
        <v>0</v>
      </c>
      <c r="D188" s="79">
        <v>0</v>
      </c>
      <c r="E188" s="83">
        <v>0</v>
      </c>
    </row>
    <row r="189" spans="1:5" x14ac:dyDescent="0.25">
      <c r="A189" s="45" t="s">
        <v>38</v>
      </c>
      <c r="B189" s="6" t="s">
        <v>165</v>
      </c>
      <c r="C189" s="79">
        <v>0</v>
      </c>
      <c r="D189" s="79">
        <v>0</v>
      </c>
      <c r="E189" s="83">
        <v>0</v>
      </c>
    </row>
    <row r="190" spans="1:5" x14ac:dyDescent="0.25">
      <c r="A190" s="45" t="s">
        <v>38</v>
      </c>
      <c r="B190" s="6" t="s">
        <v>166</v>
      </c>
      <c r="C190" s="79">
        <v>0</v>
      </c>
      <c r="D190" s="79">
        <v>0</v>
      </c>
      <c r="E190" s="83">
        <v>0</v>
      </c>
    </row>
    <row r="191" spans="1:5" x14ac:dyDescent="0.25">
      <c r="A191" s="45" t="s">
        <v>38</v>
      </c>
      <c r="B191" s="6" t="s">
        <v>167</v>
      </c>
      <c r="C191" s="79">
        <v>0</v>
      </c>
      <c r="D191" s="79">
        <v>0</v>
      </c>
      <c r="E191" s="83">
        <v>1</v>
      </c>
    </row>
    <row r="192" spans="1:5" x14ac:dyDescent="0.25">
      <c r="A192" s="45" t="s">
        <v>38</v>
      </c>
      <c r="B192" s="6" t="s">
        <v>168</v>
      </c>
      <c r="C192" s="79">
        <v>0</v>
      </c>
      <c r="D192" s="79">
        <v>0</v>
      </c>
      <c r="E192" s="83">
        <v>2</v>
      </c>
    </row>
    <row r="193" spans="1:5" x14ac:dyDescent="0.25">
      <c r="A193" s="45" t="s">
        <v>38</v>
      </c>
      <c r="B193" s="6" t="s">
        <v>169</v>
      </c>
      <c r="C193" s="79">
        <v>0</v>
      </c>
      <c r="D193" s="79">
        <v>0</v>
      </c>
      <c r="E193" s="83">
        <v>1</v>
      </c>
    </row>
    <row r="194" spans="1:5" x14ac:dyDescent="0.25">
      <c r="A194" s="45" t="s">
        <v>95</v>
      </c>
      <c r="B194" s="6" t="s">
        <v>158</v>
      </c>
      <c r="C194" s="79">
        <v>0</v>
      </c>
      <c r="D194" s="79">
        <v>0</v>
      </c>
      <c r="E194" s="83">
        <v>1</v>
      </c>
    </row>
    <row r="195" spans="1:5" x14ac:dyDescent="0.25">
      <c r="A195" s="45" t="s">
        <v>95</v>
      </c>
      <c r="B195" s="6" t="s">
        <v>159</v>
      </c>
      <c r="C195" s="79">
        <v>1</v>
      </c>
      <c r="D195" s="79">
        <v>0</v>
      </c>
      <c r="E195" s="83">
        <v>0</v>
      </c>
    </row>
    <row r="196" spans="1:5" x14ac:dyDescent="0.25">
      <c r="A196" s="45" t="s">
        <v>95</v>
      </c>
      <c r="B196" s="6" t="s">
        <v>160</v>
      </c>
      <c r="C196" s="79">
        <v>0</v>
      </c>
      <c r="D196" s="79">
        <v>0</v>
      </c>
      <c r="E196" s="83">
        <v>0</v>
      </c>
    </row>
    <row r="197" spans="1:5" x14ac:dyDescent="0.25">
      <c r="A197" s="45" t="s">
        <v>95</v>
      </c>
      <c r="B197" s="6" t="s">
        <v>161</v>
      </c>
      <c r="C197" s="79">
        <v>0</v>
      </c>
      <c r="D197" s="79">
        <v>0</v>
      </c>
      <c r="E197" s="83">
        <v>0</v>
      </c>
    </row>
    <row r="198" spans="1:5" x14ac:dyDescent="0.25">
      <c r="A198" s="45" t="s">
        <v>95</v>
      </c>
      <c r="B198" s="6" t="s">
        <v>162</v>
      </c>
      <c r="C198" s="79">
        <v>0</v>
      </c>
      <c r="D198" s="79">
        <v>0</v>
      </c>
      <c r="E198" s="83">
        <v>0</v>
      </c>
    </row>
    <row r="199" spans="1:5" x14ac:dyDescent="0.25">
      <c r="A199" s="45" t="s">
        <v>95</v>
      </c>
      <c r="B199" s="6" t="s">
        <v>163</v>
      </c>
      <c r="C199" s="79">
        <v>0</v>
      </c>
      <c r="D199" s="79">
        <v>0</v>
      </c>
      <c r="E199" s="83">
        <v>0</v>
      </c>
    </row>
    <row r="200" spans="1:5" x14ac:dyDescent="0.25">
      <c r="A200" s="45" t="s">
        <v>95</v>
      </c>
      <c r="B200" s="6" t="s">
        <v>164</v>
      </c>
      <c r="C200" s="79">
        <v>0</v>
      </c>
      <c r="D200" s="79">
        <v>0</v>
      </c>
      <c r="E200" s="83">
        <v>0</v>
      </c>
    </row>
    <row r="201" spans="1:5" x14ac:dyDescent="0.25">
      <c r="A201" s="45" t="s">
        <v>95</v>
      </c>
      <c r="B201" s="6" t="s">
        <v>165</v>
      </c>
      <c r="C201" s="79">
        <v>0</v>
      </c>
      <c r="D201" s="79">
        <v>0</v>
      </c>
      <c r="E201" s="83">
        <v>0</v>
      </c>
    </row>
    <row r="202" spans="1:5" x14ac:dyDescent="0.25">
      <c r="A202" s="45" t="s">
        <v>95</v>
      </c>
      <c r="B202" s="6" t="s">
        <v>166</v>
      </c>
      <c r="C202" s="79">
        <v>0</v>
      </c>
      <c r="D202" s="79">
        <v>0</v>
      </c>
      <c r="E202" s="83">
        <v>1</v>
      </c>
    </row>
    <row r="203" spans="1:5" x14ac:dyDescent="0.25">
      <c r="A203" s="45" t="s">
        <v>95</v>
      </c>
      <c r="B203" s="6" t="s">
        <v>167</v>
      </c>
      <c r="C203" s="79">
        <v>0</v>
      </c>
      <c r="D203" s="79">
        <v>0</v>
      </c>
      <c r="E203" s="83">
        <v>0</v>
      </c>
    </row>
    <row r="204" spans="1:5" x14ac:dyDescent="0.25">
      <c r="A204" s="45" t="s">
        <v>95</v>
      </c>
      <c r="B204" s="6" t="s">
        <v>168</v>
      </c>
      <c r="C204" s="79">
        <v>0</v>
      </c>
      <c r="D204" s="79">
        <v>0</v>
      </c>
      <c r="E204" s="83">
        <v>0</v>
      </c>
    </row>
    <row r="205" spans="1:5" x14ac:dyDescent="0.25">
      <c r="A205" s="45" t="s">
        <v>95</v>
      </c>
      <c r="B205" s="6" t="s">
        <v>169</v>
      </c>
      <c r="C205" s="79">
        <v>0</v>
      </c>
      <c r="D205" s="79">
        <v>0</v>
      </c>
      <c r="E205" s="83">
        <v>1</v>
      </c>
    </row>
    <row r="206" spans="1:5" x14ac:dyDescent="0.25">
      <c r="A206" s="45" t="s">
        <v>132</v>
      </c>
      <c r="B206" s="6" t="s">
        <v>158</v>
      </c>
      <c r="C206" s="79">
        <v>0</v>
      </c>
      <c r="D206" s="79">
        <v>1</v>
      </c>
      <c r="E206" s="83">
        <v>1</v>
      </c>
    </row>
    <row r="207" spans="1:5" x14ac:dyDescent="0.25">
      <c r="A207" s="45" t="s">
        <v>132</v>
      </c>
      <c r="B207" s="6" t="s">
        <v>159</v>
      </c>
      <c r="C207" s="79">
        <v>0</v>
      </c>
      <c r="D207" s="79">
        <v>0</v>
      </c>
      <c r="E207" s="83">
        <v>2</v>
      </c>
    </row>
    <row r="208" spans="1:5" x14ac:dyDescent="0.25">
      <c r="A208" s="45" t="s">
        <v>132</v>
      </c>
      <c r="B208" s="6" t="s">
        <v>160</v>
      </c>
      <c r="C208" s="79">
        <v>0</v>
      </c>
      <c r="D208" s="79">
        <v>0</v>
      </c>
      <c r="E208" s="83">
        <v>1</v>
      </c>
    </row>
    <row r="209" spans="1:5" x14ac:dyDescent="0.25">
      <c r="A209" s="45" t="s">
        <v>132</v>
      </c>
      <c r="B209" s="6" t="s">
        <v>161</v>
      </c>
      <c r="C209" s="79">
        <v>0</v>
      </c>
      <c r="D209" s="79">
        <v>0</v>
      </c>
      <c r="E209" s="83">
        <v>1</v>
      </c>
    </row>
    <row r="210" spans="1:5" x14ac:dyDescent="0.25">
      <c r="A210" s="45" t="s">
        <v>132</v>
      </c>
      <c r="B210" s="6" t="s">
        <v>162</v>
      </c>
      <c r="C210" s="79">
        <v>0</v>
      </c>
      <c r="D210" s="79">
        <v>0</v>
      </c>
      <c r="E210" s="83">
        <v>0</v>
      </c>
    </row>
    <row r="211" spans="1:5" x14ac:dyDescent="0.25">
      <c r="A211" s="45" t="s">
        <v>132</v>
      </c>
      <c r="B211" s="6" t="s">
        <v>163</v>
      </c>
      <c r="C211" s="79">
        <v>0</v>
      </c>
      <c r="D211" s="79">
        <v>0</v>
      </c>
      <c r="E211" s="83">
        <v>2</v>
      </c>
    </row>
    <row r="212" spans="1:5" x14ac:dyDescent="0.25">
      <c r="A212" s="45" t="s">
        <v>132</v>
      </c>
      <c r="B212" s="6" t="s">
        <v>164</v>
      </c>
      <c r="C212" s="79">
        <v>0</v>
      </c>
      <c r="D212" s="79">
        <v>2</v>
      </c>
      <c r="E212" s="83">
        <v>1</v>
      </c>
    </row>
    <row r="213" spans="1:5" x14ac:dyDescent="0.25">
      <c r="A213" s="45" t="s">
        <v>132</v>
      </c>
      <c r="B213" s="6" t="s">
        <v>165</v>
      </c>
      <c r="C213" s="79">
        <v>0</v>
      </c>
      <c r="D213" s="79">
        <v>1</v>
      </c>
      <c r="E213" s="83">
        <v>0</v>
      </c>
    </row>
    <row r="214" spans="1:5" x14ac:dyDescent="0.25">
      <c r="A214" s="45" t="s">
        <v>132</v>
      </c>
      <c r="B214" s="6" t="s">
        <v>166</v>
      </c>
      <c r="C214" s="79">
        <v>0</v>
      </c>
      <c r="D214" s="79">
        <v>0</v>
      </c>
      <c r="E214" s="83">
        <v>1</v>
      </c>
    </row>
    <row r="215" spans="1:5" x14ac:dyDescent="0.25">
      <c r="A215" s="45" t="s">
        <v>132</v>
      </c>
      <c r="B215" s="6" t="s">
        <v>167</v>
      </c>
      <c r="C215" s="79">
        <v>0</v>
      </c>
      <c r="D215" s="79">
        <v>0</v>
      </c>
      <c r="E215" s="83">
        <v>0</v>
      </c>
    </row>
    <row r="216" spans="1:5" x14ac:dyDescent="0.25">
      <c r="A216" s="45" t="s">
        <v>132</v>
      </c>
      <c r="B216" s="6" t="s">
        <v>168</v>
      </c>
      <c r="C216" s="79">
        <v>0</v>
      </c>
      <c r="D216" s="79">
        <v>0</v>
      </c>
      <c r="E216" s="83">
        <v>0</v>
      </c>
    </row>
    <row r="217" spans="1:5" x14ac:dyDescent="0.25">
      <c r="A217" s="45" t="s">
        <v>132</v>
      </c>
      <c r="B217" s="6" t="s">
        <v>169</v>
      </c>
      <c r="C217" s="79">
        <v>0</v>
      </c>
      <c r="D217" s="79">
        <v>0</v>
      </c>
      <c r="E217" s="83">
        <v>0</v>
      </c>
    </row>
    <row r="218" spans="1:5" x14ac:dyDescent="0.25">
      <c r="A218" s="45" t="s">
        <v>74</v>
      </c>
      <c r="B218" s="6" t="s">
        <v>158</v>
      </c>
      <c r="C218" s="79">
        <v>0</v>
      </c>
      <c r="D218" s="79">
        <v>0</v>
      </c>
      <c r="E218" s="83">
        <v>0</v>
      </c>
    </row>
    <row r="219" spans="1:5" x14ac:dyDescent="0.25">
      <c r="A219" s="45" t="s">
        <v>74</v>
      </c>
      <c r="B219" s="6" t="s">
        <v>159</v>
      </c>
      <c r="C219" s="79">
        <v>0</v>
      </c>
      <c r="D219" s="79">
        <v>0</v>
      </c>
      <c r="E219" s="83">
        <v>0</v>
      </c>
    </row>
    <row r="220" spans="1:5" x14ac:dyDescent="0.25">
      <c r="A220" s="45" t="s">
        <v>74</v>
      </c>
      <c r="B220" s="6" t="s">
        <v>160</v>
      </c>
      <c r="C220" s="79">
        <v>0</v>
      </c>
      <c r="D220" s="79">
        <v>0</v>
      </c>
      <c r="E220" s="83">
        <v>0</v>
      </c>
    </row>
    <row r="221" spans="1:5" x14ac:dyDescent="0.25">
      <c r="A221" s="45" t="s">
        <v>74</v>
      </c>
      <c r="B221" s="6" t="s">
        <v>161</v>
      </c>
      <c r="C221" s="79">
        <v>0</v>
      </c>
      <c r="D221" s="79">
        <v>0</v>
      </c>
      <c r="E221" s="83">
        <v>1</v>
      </c>
    </row>
    <row r="222" spans="1:5" x14ac:dyDescent="0.25">
      <c r="A222" s="45" t="s">
        <v>74</v>
      </c>
      <c r="B222" s="6" t="s">
        <v>162</v>
      </c>
      <c r="C222" s="79">
        <v>0</v>
      </c>
      <c r="D222" s="79">
        <v>0</v>
      </c>
      <c r="E222" s="83">
        <v>0</v>
      </c>
    </row>
    <row r="223" spans="1:5" x14ac:dyDescent="0.25">
      <c r="A223" s="45" t="s">
        <v>74</v>
      </c>
      <c r="B223" s="6" t="s">
        <v>163</v>
      </c>
      <c r="C223" s="79">
        <v>0</v>
      </c>
      <c r="D223" s="79">
        <v>0</v>
      </c>
      <c r="E223" s="83">
        <v>0</v>
      </c>
    </row>
    <row r="224" spans="1:5" x14ac:dyDescent="0.25">
      <c r="A224" s="45" t="s">
        <v>74</v>
      </c>
      <c r="B224" s="6" t="s">
        <v>164</v>
      </c>
      <c r="C224" s="79">
        <v>0</v>
      </c>
      <c r="D224" s="79">
        <v>0</v>
      </c>
      <c r="E224" s="83">
        <v>0</v>
      </c>
    </row>
    <row r="225" spans="1:5" x14ac:dyDescent="0.25">
      <c r="A225" s="45" t="s">
        <v>74</v>
      </c>
      <c r="B225" s="6" t="s">
        <v>165</v>
      </c>
      <c r="C225" s="79">
        <v>0</v>
      </c>
      <c r="D225" s="79">
        <v>0</v>
      </c>
      <c r="E225" s="83">
        <v>0</v>
      </c>
    </row>
    <row r="226" spans="1:5" x14ac:dyDescent="0.25">
      <c r="A226" s="45" t="s">
        <v>74</v>
      </c>
      <c r="B226" s="6" t="s">
        <v>166</v>
      </c>
      <c r="C226" s="79">
        <v>0</v>
      </c>
      <c r="D226" s="79">
        <v>0</v>
      </c>
      <c r="E226" s="83">
        <v>0</v>
      </c>
    </row>
    <row r="227" spans="1:5" x14ac:dyDescent="0.25">
      <c r="A227" s="45" t="s">
        <v>74</v>
      </c>
      <c r="B227" s="6" t="s">
        <v>167</v>
      </c>
      <c r="C227" s="79">
        <v>0</v>
      </c>
      <c r="D227" s="79">
        <v>0</v>
      </c>
      <c r="E227" s="83">
        <v>0</v>
      </c>
    </row>
    <row r="228" spans="1:5" x14ac:dyDescent="0.25">
      <c r="A228" s="45" t="s">
        <v>74</v>
      </c>
      <c r="B228" s="6" t="s">
        <v>168</v>
      </c>
      <c r="C228" s="79">
        <v>0</v>
      </c>
      <c r="D228" s="79">
        <v>0</v>
      </c>
      <c r="E228" s="83">
        <v>0</v>
      </c>
    </row>
    <row r="229" spans="1:5" x14ac:dyDescent="0.25">
      <c r="A229" s="45" t="s">
        <v>74</v>
      </c>
      <c r="B229" s="6" t="s">
        <v>169</v>
      </c>
      <c r="C229" s="79">
        <v>0</v>
      </c>
      <c r="D229" s="79">
        <v>0</v>
      </c>
      <c r="E229" s="83">
        <v>0</v>
      </c>
    </row>
    <row r="230" spans="1:5" x14ac:dyDescent="0.25">
      <c r="A230" s="45" t="s">
        <v>57</v>
      </c>
      <c r="B230" s="6" t="s">
        <v>158</v>
      </c>
      <c r="C230" s="79">
        <v>0</v>
      </c>
      <c r="D230" s="79">
        <v>0</v>
      </c>
      <c r="E230" s="83">
        <v>0</v>
      </c>
    </row>
    <row r="231" spans="1:5" x14ac:dyDescent="0.25">
      <c r="A231" s="45" t="s">
        <v>57</v>
      </c>
      <c r="B231" s="6" t="s">
        <v>159</v>
      </c>
      <c r="C231" s="79">
        <v>0</v>
      </c>
      <c r="D231" s="79">
        <v>1</v>
      </c>
      <c r="E231" s="83">
        <v>0</v>
      </c>
    </row>
    <row r="232" spans="1:5" x14ac:dyDescent="0.25">
      <c r="A232" s="45" t="s">
        <v>57</v>
      </c>
      <c r="B232" s="6" t="s">
        <v>160</v>
      </c>
      <c r="C232" s="79">
        <v>0</v>
      </c>
      <c r="D232" s="79">
        <v>0</v>
      </c>
      <c r="E232" s="83">
        <v>0</v>
      </c>
    </row>
    <row r="233" spans="1:5" x14ac:dyDescent="0.25">
      <c r="A233" s="45" t="s">
        <v>57</v>
      </c>
      <c r="B233" s="6" t="s">
        <v>161</v>
      </c>
      <c r="C233" s="79">
        <v>0</v>
      </c>
      <c r="D233" s="79">
        <v>0</v>
      </c>
      <c r="E233" s="83">
        <v>2</v>
      </c>
    </row>
    <row r="234" spans="1:5" x14ac:dyDescent="0.25">
      <c r="A234" s="45" t="s">
        <v>57</v>
      </c>
      <c r="B234" s="6" t="s">
        <v>162</v>
      </c>
      <c r="C234" s="79">
        <v>0</v>
      </c>
      <c r="D234" s="79">
        <v>1</v>
      </c>
      <c r="E234" s="83">
        <v>0</v>
      </c>
    </row>
    <row r="235" spans="1:5" x14ac:dyDescent="0.25">
      <c r="A235" s="45" t="s">
        <v>57</v>
      </c>
      <c r="B235" s="6" t="s">
        <v>163</v>
      </c>
      <c r="C235" s="79">
        <v>0</v>
      </c>
      <c r="D235" s="79">
        <v>0</v>
      </c>
      <c r="E235" s="83">
        <v>0</v>
      </c>
    </row>
    <row r="236" spans="1:5" x14ac:dyDescent="0.25">
      <c r="A236" s="45" t="s">
        <v>57</v>
      </c>
      <c r="B236" s="6" t="s">
        <v>164</v>
      </c>
      <c r="C236" s="79">
        <v>0</v>
      </c>
      <c r="D236" s="79">
        <v>0</v>
      </c>
      <c r="E236" s="83">
        <v>0</v>
      </c>
    </row>
    <row r="237" spans="1:5" x14ac:dyDescent="0.25">
      <c r="A237" s="45" t="s">
        <v>57</v>
      </c>
      <c r="B237" s="6" t="s">
        <v>165</v>
      </c>
      <c r="C237" s="79">
        <v>0</v>
      </c>
      <c r="D237" s="79">
        <v>0</v>
      </c>
      <c r="E237" s="83">
        <v>0</v>
      </c>
    </row>
    <row r="238" spans="1:5" x14ac:dyDescent="0.25">
      <c r="A238" s="45" t="s">
        <v>57</v>
      </c>
      <c r="B238" s="6" t="s">
        <v>166</v>
      </c>
      <c r="C238" s="79">
        <v>0</v>
      </c>
      <c r="D238" s="79">
        <v>0</v>
      </c>
      <c r="E238" s="83">
        <v>0</v>
      </c>
    </row>
    <row r="239" spans="1:5" x14ac:dyDescent="0.25">
      <c r="A239" s="45" t="s">
        <v>57</v>
      </c>
      <c r="B239" s="6" t="s">
        <v>167</v>
      </c>
      <c r="C239" s="79">
        <v>0</v>
      </c>
      <c r="D239" s="79">
        <v>0</v>
      </c>
      <c r="E239" s="83">
        <v>0</v>
      </c>
    </row>
    <row r="240" spans="1:5" x14ac:dyDescent="0.25">
      <c r="A240" s="45" t="s">
        <v>57</v>
      </c>
      <c r="B240" s="6" t="s">
        <v>168</v>
      </c>
      <c r="C240" s="79">
        <v>0</v>
      </c>
      <c r="D240" s="79">
        <v>0</v>
      </c>
      <c r="E240" s="83">
        <v>0</v>
      </c>
    </row>
    <row r="241" spans="1:5" x14ac:dyDescent="0.25">
      <c r="A241" s="45" t="s">
        <v>57</v>
      </c>
      <c r="B241" s="6" t="s">
        <v>169</v>
      </c>
      <c r="C241" s="79">
        <v>0</v>
      </c>
      <c r="D241" s="79">
        <v>0</v>
      </c>
      <c r="E241" s="83">
        <v>0</v>
      </c>
    </row>
    <row r="242" spans="1:5" x14ac:dyDescent="0.25">
      <c r="A242" s="45" t="s">
        <v>94</v>
      </c>
      <c r="B242" s="6" t="s">
        <v>158</v>
      </c>
      <c r="C242" s="79">
        <v>0</v>
      </c>
      <c r="D242" s="79">
        <v>0</v>
      </c>
      <c r="E242" s="83">
        <v>0</v>
      </c>
    </row>
    <row r="243" spans="1:5" x14ac:dyDescent="0.25">
      <c r="A243" s="45" t="s">
        <v>94</v>
      </c>
      <c r="B243" s="6" t="s">
        <v>159</v>
      </c>
      <c r="C243" s="79">
        <v>0</v>
      </c>
      <c r="D243" s="79">
        <v>0</v>
      </c>
      <c r="E243" s="83">
        <v>3</v>
      </c>
    </row>
    <row r="244" spans="1:5" x14ac:dyDescent="0.25">
      <c r="A244" s="45" t="s">
        <v>94</v>
      </c>
      <c r="B244" s="6" t="s">
        <v>160</v>
      </c>
      <c r="C244" s="79">
        <v>0</v>
      </c>
      <c r="D244" s="79">
        <v>1</v>
      </c>
      <c r="E244" s="83">
        <v>0</v>
      </c>
    </row>
    <row r="245" spans="1:5" x14ac:dyDescent="0.25">
      <c r="A245" s="45" t="s">
        <v>94</v>
      </c>
      <c r="B245" s="6" t="s">
        <v>161</v>
      </c>
      <c r="C245" s="79">
        <v>0</v>
      </c>
      <c r="D245" s="79">
        <v>0</v>
      </c>
      <c r="E245" s="83">
        <v>1</v>
      </c>
    </row>
    <row r="246" spans="1:5" x14ac:dyDescent="0.25">
      <c r="A246" s="45" t="s">
        <v>94</v>
      </c>
      <c r="B246" s="6" t="s">
        <v>162</v>
      </c>
      <c r="C246" s="79">
        <v>0</v>
      </c>
      <c r="D246" s="79">
        <v>0</v>
      </c>
      <c r="E246" s="83">
        <v>1</v>
      </c>
    </row>
    <row r="247" spans="1:5" x14ac:dyDescent="0.25">
      <c r="A247" s="45" t="s">
        <v>94</v>
      </c>
      <c r="B247" s="6" t="s">
        <v>163</v>
      </c>
      <c r="C247" s="79">
        <v>0</v>
      </c>
      <c r="D247" s="79">
        <v>0</v>
      </c>
      <c r="E247" s="83">
        <v>3</v>
      </c>
    </row>
    <row r="248" spans="1:5" x14ac:dyDescent="0.25">
      <c r="A248" s="45" t="s">
        <v>94</v>
      </c>
      <c r="B248" s="6" t="s">
        <v>164</v>
      </c>
      <c r="C248" s="79">
        <v>0</v>
      </c>
      <c r="D248" s="79">
        <v>0</v>
      </c>
      <c r="E248" s="83">
        <v>0</v>
      </c>
    </row>
    <row r="249" spans="1:5" x14ac:dyDescent="0.25">
      <c r="A249" s="45" t="s">
        <v>94</v>
      </c>
      <c r="B249" s="6" t="s">
        <v>165</v>
      </c>
      <c r="C249" s="79">
        <v>0</v>
      </c>
      <c r="D249" s="79">
        <v>0</v>
      </c>
      <c r="E249" s="83">
        <v>1</v>
      </c>
    </row>
    <row r="250" spans="1:5" x14ac:dyDescent="0.25">
      <c r="A250" s="45" t="s">
        <v>94</v>
      </c>
      <c r="B250" s="6" t="s">
        <v>166</v>
      </c>
      <c r="C250" s="79">
        <v>0</v>
      </c>
      <c r="D250" s="79">
        <v>0</v>
      </c>
      <c r="E250" s="83">
        <v>1</v>
      </c>
    </row>
    <row r="251" spans="1:5" x14ac:dyDescent="0.25">
      <c r="A251" s="45" t="s">
        <v>94</v>
      </c>
      <c r="B251" s="6" t="s">
        <v>167</v>
      </c>
      <c r="C251" s="79">
        <v>0</v>
      </c>
      <c r="D251" s="79">
        <v>0</v>
      </c>
      <c r="E251" s="83">
        <v>0</v>
      </c>
    </row>
    <row r="252" spans="1:5" x14ac:dyDescent="0.25">
      <c r="A252" s="45" t="s">
        <v>94</v>
      </c>
      <c r="B252" s="6" t="s">
        <v>168</v>
      </c>
      <c r="C252" s="79">
        <v>0</v>
      </c>
      <c r="D252" s="79">
        <v>0</v>
      </c>
      <c r="E252" s="83">
        <v>0</v>
      </c>
    </row>
    <row r="253" spans="1:5" x14ac:dyDescent="0.25">
      <c r="A253" s="45" t="s">
        <v>94</v>
      </c>
      <c r="B253" s="6" t="s">
        <v>169</v>
      </c>
      <c r="C253" s="79">
        <v>0</v>
      </c>
      <c r="D253" s="79">
        <v>0</v>
      </c>
      <c r="E253" s="83">
        <v>0</v>
      </c>
    </row>
    <row r="254" spans="1:5" x14ac:dyDescent="0.25">
      <c r="A254" s="45" t="s">
        <v>55</v>
      </c>
      <c r="B254" s="6" t="s">
        <v>158</v>
      </c>
      <c r="C254" s="79">
        <v>1</v>
      </c>
      <c r="D254" s="79">
        <v>3</v>
      </c>
      <c r="E254" s="83">
        <v>16</v>
      </c>
    </row>
    <row r="255" spans="1:5" x14ac:dyDescent="0.25">
      <c r="A255" s="45" t="s">
        <v>55</v>
      </c>
      <c r="B255" s="6" t="s">
        <v>159</v>
      </c>
      <c r="C255" s="79">
        <v>0</v>
      </c>
      <c r="D255" s="79">
        <v>1</v>
      </c>
      <c r="E255" s="83">
        <v>23</v>
      </c>
    </row>
    <row r="256" spans="1:5" x14ac:dyDescent="0.25">
      <c r="A256" s="45" t="s">
        <v>55</v>
      </c>
      <c r="B256" s="6" t="s">
        <v>160</v>
      </c>
      <c r="C256" s="79">
        <v>1</v>
      </c>
      <c r="D256" s="79">
        <v>1</v>
      </c>
      <c r="E256" s="83">
        <v>33</v>
      </c>
    </row>
    <row r="257" spans="1:5" x14ac:dyDescent="0.25">
      <c r="A257" s="45" t="s">
        <v>55</v>
      </c>
      <c r="B257" s="6" t="s">
        <v>161</v>
      </c>
      <c r="C257" s="79">
        <v>2</v>
      </c>
      <c r="D257" s="79">
        <v>1</v>
      </c>
      <c r="E257" s="83">
        <v>50</v>
      </c>
    </row>
    <row r="258" spans="1:5" x14ac:dyDescent="0.25">
      <c r="A258" s="45" t="s">
        <v>55</v>
      </c>
      <c r="B258" s="6" t="s">
        <v>162</v>
      </c>
      <c r="C258" s="79">
        <v>0</v>
      </c>
      <c r="D258" s="79">
        <v>0</v>
      </c>
      <c r="E258" s="83">
        <v>7</v>
      </c>
    </row>
    <row r="259" spans="1:5" x14ac:dyDescent="0.25">
      <c r="A259" s="45" t="s">
        <v>55</v>
      </c>
      <c r="B259" s="6" t="s">
        <v>163</v>
      </c>
      <c r="C259" s="79">
        <v>0</v>
      </c>
      <c r="D259" s="79">
        <v>0</v>
      </c>
      <c r="E259" s="83">
        <v>4</v>
      </c>
    </row>
    <row r="260" spans="1:5" x14ac:dyDescent="0.25">
      <c r="A260" s="45" t="s">
        <v>55</v>
      </c>
      <c r="B260" s="6" t="s">
        <v>164</v>
      </c>
      <c r="C260" s="79">
        <v>0</v>
      </c>
      <c r="D260" s="79">
        <v>1</v>
      </c>
      <c r="E260" s="83">
        <v>15</v>
      </c>
    </row>
    <row r="261" spans="1:5" x14ac:dyDescent="0.25">
      <c r="A261" s="45" t="s">
        <v>55</v>
      </c>
      <c r="B261" s="6" t="s">
        <v>165</v>
      </c>
      <c r="C261" s="79">
        <v>0</v>
      </c>
      <c r="D261" s="79">
        <v>0</v>
      </c>
      <c r="E261" s="83">
        <v>22</v>
      </c>
    </row>
    <row r="262" spans="1:5" x14ac:dyDescent="0.25">
      <c r="A262" s="45" t="s">
        <v>55</v>
      </c>
      <c r="B262" s="6" t="s">
        <v>166</v>
      </c>
      <c r="C262" s="79">
        <v>0</v>
      </c>
      <c r="D262" s="79">
        <v>3</v>
      </c>
      <c r="E262" s="83">
        <v>17</v>
      </c>
    </row>
    <row r="263" spans="1:5" x14ac:dyDescent="0.25">
      <c r="A263" s="45" t="s">
        <v>55</v>
      </c>
      <c r="B263" s="6" t="s">
        <v>167</v>
      </c>
      <c r="C263" s="79">
        <v>0</v>
      </c>
      <c r="D263" s="79">
        <v>0</v>
      </c>
      <c r="E263" s="83">
        <v>9</v>
      </c>
    </row>
    <row r="264" spans="1:5" x14ac:dyDescent="0.25">
      <c r="A264" s="45" t="s">
        <v>55</v>
      </c>
      <c r="B264" s="6" t="s">
        <v>168</v>
      </c>
      <c r="C264" s="79">
        <v>0</v>
      </c>
      <c r="D264" s="79">
        <v>1</v>
      </c>
      <c r="E264" s="83">
        <v>5</v>
      </c>
    </row>
    <row r="265" spans="1:5" x14ac:dyDescent="0.25">
      <c r="A265" s="45" t="s">
        <v>55</v>
      </c>
      <c r="B265" s="6" t="s">
        <v>169</v>
      </c>
      <c r="C265" s="79">
        <v>0</v>
      </c>
      <c r="D265" s="79">
        <v>0</v>
      </c>
      <c r="E265" s="83">
        <v>0</v>
      </c>
    </row>
    <row r="266" spans="1:5" x14ac:dyDescent="0.25">
      <c r="A266" s="45" t="s">
        <v>154</v>
      </c>
      <c r="B266" s="6" t="s">
        <v>158</v>
      </c>
      <c r="C266" s="79">
        <v>0</v>
      </c>
      <c r="D266" s="79">
        <v>0</v>
      </c>
      <c r="E266" s="83">
        <v>0</v>
      </c>
    </row>
    <row r="267" spans="1:5" x14ac:dyDescent="0.25">
      <c r="A267" s="45" t="s">
        <v>154</v>
      </c>
      <c r="B267" s="6" t="s">
        <v>159</v>
      </c>
      <c r="C267" s="79">
        <v>0</v>
      </c>
      <c r="D267" s="79">
        <v>0</v>
      </c>
      <c r="E267" s="83">
        <v>0</v>
      </c>
    </row>
    <row r="268" spans="1:5" x14ac:dyDescent="0.25">
      <c r="A268" s="45" t="s">
        <v>154</v>
      </c>
      <c r="B268" s="6" t="s">
        <v>160</v>
      </c>
      <c r="C268" s="79">
        <v>0</v>
      </c>
      <c r="D268" s="79">
        <v>0</v>
      </c>
      <c r="E268" s="83">
        <v>0</v>
      </c>
    </row>
    <row r="269" spans="1:5" x14ac:dyDescent="0.25">
      <c r="A269" s="45" t="s">
        <v>154</v>
      </c>
      <c r="B269" s="6" t="s">
        <v>161</v>
      </c>
      <c r="C269" s="79">
        <v>0</v>
      </c>
      <c r="D269" s="79">
        <v>0</v>
      </c>
      <c r="E269" s="83">
        <v>0</v>
      </c>
    </row>
    <row r="270" spans="1:5" x14ac:dyDescent="0.25">
      <c r="A270" s="45" t="s">
        <v>154</v>
      </c>
      <c r="B270" s="6" t="s">
        <v>162</v>
      </c>
      <c r="C270" s="79">
        <v>0</v>
      </c>
      <c r="D270" s="79">
        <v>0</v>
      </c>
      <c r="E270" s="83">
        <v>0</v>
      </c>
    </row>
    <row r="271" spans="1:5" x14ac:dyDescent="0.25">
      <c r="A271" s="45" t="s">
        <v>154</v>
      </c>
      <c r="B271" s="6" t="s">
        <v>163</v>
      </c>
      <c r="C271" s="79">
        <v>0</v>
      </c>
      <c r="D271" s="79">
        <v>0</v>
      </c>
      <c r="E271" s="83">
        <v>0</v>
      </c>
    </row>
    <row r="272" spans="1:5" x14ac:dyDescent="0.25">
      <c r="A272" s="45" t="s">
        <v>154</v>
      </c>
      <c r="B272" s="6" t="s">
        <v>164</v>
      </c>
      <c r="C272" s="79">
        <v>0</v>
      </c>
      <c r="D272" s="79">
        <v>0</v>
      </c>
      <c r="E272" s="83">
        <v>0</v>
      </c>
    </row>
    <row r="273" spans="1:5" x14ac:dyDescent="0.25">
      <c r="A273" s="45" t="s">
        <v>154</v>
      </c>
      <c r="B273" s="6" t="s">
        <v>165</v>
      </c>
      <c r="C273" s="79">
        <v>0</v>
      </c>
      <c r="D273" s="79">
        <v>0</v>
      </c>
      <c r="E273" s="83">
        <v>0</v>
      </c>
    </row>
    <row r="274" spans="1:5" x14ac:dyDescent="0.25">
      <c r="A274" s="45" t="s">
        <v>154</v>
      </c>
      <c r="B274" s="6" t="s">
        <v>166</v>
      </c>
      <c r="C274" s="79">
        <v>0</v>
      </c>
      <c r="D274" s="79">
        <v>0</v>
      </c>
      <c r="E274" s="83">
        <v>0</v>
      </c>
    </row>
    <row r="275" spans="1:5" x14ac:dyDescent="0.25">
      <c r="A275" s="45" t="s">
        <v>154</v>
      </c>
      <c r="B275" s="6" t="s">
        <v>167</v>
      </c>
      <c r="C275" s="79">
        <v>0</v>
      </c>
      <c r="D275" s="79">
        <v>0</v>
      </c>
      <c r="E275" s="83">
        <v>0</v>
      </c>
    </row>
    <row r="276" spans="1:5" x14ac:dyDescent="0.25">
      <c r="A276" s="45" t="s">
        <v>154</v>
      </c>
      <c r="B276" s="6" t="s">
        <v>168</v>
      </c>
      <c r="C276" s="79">
        <v>0</v>
      </c>
      <c r="D276" s="79">
        <v>0</v>
      </c>
      <c r="E276" s="83">
        <v>0</v>
      </c>
    </row>
    <row r="277" spans="1:5" x14ac:dyDescent="0.25">
      <c r="A277" s="45" t="s">
        <v>154</v>
      </c>
      <c r="B277" s="6" t="s">
        <v>169</v>
      </c>
      <c r="C277" s="79">
        <v>0</v>
      </c>
      <c r="D277" s="79">
        <v>0</v>
      </c>
      <c r="E277" s="83">
        <v>0</v>
      </c>
    </row>
    <row r="278" spans="1:5" x14ac:dyDescent="0.25">
      <c r="A278" s="45" t="s">
        <v>72</v>
      </c>
      <c r="B278" s="6" t="s">
        <v>158</v>
      </c>
      <c r="C278" s="79">
        <v>0</v>
      </c>
      <c r="D278" s="79">
        <v>0</v>
      </c>
      <c r="E278" s="83">
        <v>0</v>
      </c>
    </row>
    <row r="279" spans="1:5" x14ac:dyDescent="0.25">
      <c r="A279" s="45" t="s">
        <v>72</v>
      </c>
      <c r="B279" s="6" t="s">
        <v>159</v>
      </c>
      <c r="C279" s="79">
        <v>0</v>
      </c>
      <c r="D279" s="79">
        <v>0</v>
      </c>
      <c r="E279" s="83">
        <v>0</v>
      </c>
    </row>
    <row r="280" spans="1:5" x14ac:dyDescent="0.25">
      <c r="A280" s="45" t="s">
        <v>72</v>
      </c>
      <c r="B280" s="6" t="s">
        <v>160</v>
      </c>
      <c r="C280" s="79">
        <v>0</v>
      </c>
      <c r="D280" s="79">
        <v>0</v>
      </c>
      <c r="E280" s="83">
        <v>0</v>
      </c>
    </row>
    <row r="281" spans="1:5" x14ac:dyDescent="0.25">
      <c r="A281" s="45" t="s">
        <v>72</v>
      </c>
      <c r="B281" s="6" t="s">
        <v>161</v>
      </c>
      <c r="C281" s="79">
        <v>0</v>
      </c>
      <c r="D281" s="79">
        <v>0</v>
      </c>
      <c r="E281" s="83">
        <v>0</v>
      </c>
    </row>
    <row r="282" spans="1:5" x14ac:dyDescent="0.25">
      <c r="A282" s="45" t="s">
        <v>72</v>
      </c>
      <c r="B282" s="6" t="s">
        <v>162</v>
      </c>
      <c r="C282" s="79">
        <v>0</v>
      </c>
      <c r="D282" s="79">
        <v>0</v>
      </c>
      <c r="E282" s="83">
        <v>0</v>
      </c>
    </row>
    <row r="283" spans="1:5" x14ac:dyDescent="0.25">
      <c r="A283" s="45" t="s">
        <v>72</v>
      </c>
      <c r="B283" s="6" t="s">
        <v>163</v>
      </c>
      <c r="C283" s="79">
        <v>0</v>
      </c>
      <c r="D283" s="79">
        <v>0</v>
      </c>
      <c r="E283" s="83">
        <v>0</v>
      </c>
    </row>
    <row r="284" spans="1:5" x14ac:dyDescent="0.25">
      <c r="A284" s="45" t="s">
        <v>72</v>
      </c>
      <c r="B284" s="6" t="s">
        <v>164</v>
      </c>
      <c r="C284" s="79">
        <v>0</v>
      </c>
      <c r="D284" s="79">
        <v>0</v>
      </c>
      <c r="E284" s="83">
        <v>0</v>
      </c>
    </row>
    <row r="285" spans="1:5" x14ac:dyDescent="0.25">
      <c r="A285" s="45" t="s">
        <v>72</v>
      </c>
      <c r="B285" s="6" t="s">
        <v>165</v>
      </c>
      <c r="C285" s="79">
        <v>0</v>
      </c>
      <c r="D285" s="79">
        <v>0</v>
      </c>
      <c r="E285" s="83">
        <v>0</v>
      </c>
    </row>
    <row r="286" spans="1:5" x14ac:dyDescent="0.25">
      <c r="A286" s="45" t="s">
        <v>72</v>
      </c>
      <c r="B286" s="6" t="s">
        <v>166</v>
      </c>
      <c r="C286" s="79">
        <v>0</v>
      </c>
      <c r="D286" s="79">
        <v>0</v>
      </c>
      <c r="E286" s="83">
        <v>0</v>
      </c>
    </row>
    <row r="287" spans="1:5" x14ac:dyDescent="0.25">
      <c r="A287" s="45" t="s">
        <v>72</v>
      </c>
      <c r="B287" s="6" t="s">
        <v>167</v>
      </c>
      <c r="C287" s="79">
        <v>0</v>
      </c>
      <c r="D287" s="79">
        <v>0</v>
      </c>
      <c r="E287" s="83">
        <v>0</v>
      </c>
    </row>
    <row r="288" spans="1:5" x14ac:dyDescent="0.25">
      <c r="A288" s="45" t="s">
        <v>72</v>
      </c>
      <c r="B288" s="6" t="s">
        <v>168</v>
      </c>
      <c r="C288" s="79">
        <v>0</v>
      </c>
      <c r="D288" s="79">
        <v>0</v>
      </c>
      <c r="E288" s="83">
        <v>0</v>
      </c>
    </row>
    <row r="289" spans="1:5" x14ac:dyDescent="0.25">
      <c r="A289" s="45" t="s">
        <v>72</v>
      </c>
      <c r="B289" s="6" t="s">
        <v>169</v>
      </c>
      <c r="C289" s="79">
        <v>0</v>
      </c>
      <c r="D289" s="79">
        <v>0</v>
      </c>
      <c r="E289" s="83">
        <v>0</v>
      </c>
    </row>
    <row r="290" spans="1:5" x14ac:dyDescent="0.25">
      <c r="A290" s="45" t="s">
        <v>76</v>
      </c>
      <c r="B290" s="6" t="s">
        <v>158</v>
      </c>
      <c r="C290" s="79">
        <v>0</v>
      </c>
      <c r="D290" s="79">
        <v>0</v>
      </c>
      <c r="E290" s="83">
        <v>0</v>
      </c>
    </row>
    <row r="291" spans="1:5" x14ac:dyDescent="0.25">
      <c r="A291" s="45" t="s">
        <v>76</v>
      </c>
      <c r="B291" s="6" t="s">
        <v>159</v>
      </c>
      <c r="C291" s="79">
        <v>0</v>
      </c>
      <c r="D291" s="79">
        <v>0</v>
      </c>
      <c r="E291" s="83">
        <v>3</v>
      </c>
    </row>
    <row r="292" spans="1:5" x14ac:dyDescent="0.25">
      <c r="A292" s="45" t="s">
        <v>76</v>
      </c>
      <c r="B292" s="6" t="s">
        <v>160</v>
      </c>
      <c r="C292" s="79">
        <v>0</v>
      </c>
      <c r="D292" s="79">
        <v>0</v>
      </c>
      <c r="E292" s="83">
        <v>2</v>
      </c>
    </row>
    <row r="293" spans="1:5" x14ac:dyDescent="0.25">
      <c r="A293" s="45" t="s">
        <v>76</v>
      </c>
      <c r="B293" s="6" t="s">
        <v>161</v>
      </c>
      <c r="C293" s="79">
        <v>0</v>
      </c>
      <c r="D293" s="79">
        <v>0</v>
      </c>
      <c r="E293" s="83">
        <v>4</v>
      </c>
    </row>
    <row r="294" spans="1:5" x14ac:dyDescent="0.25">
      <c r="A294" s="45" t="s">
        <v>76</v>
      </c>
      <c r="B294" s="6" t="s">
        <v>162</v>
      </c>
      <c r="C294" s="79">
        <v>0</v>
      </c>
      <c r="D294" s="79">
        <v>2</v>
      </c>
      <c r="E294" s="83">
        <v>0</v>
      </c>
    </row>
    <row r="295" spans="1:5" x14ac:dyDescent="0.25">
      <c r="A295" s="45" t="s">
        <v>76</v>
      </c>
      <c r="B295" s="6" t="s">
        <v>163</v>
      </c>
      <c r="C295" s="79">
        <v>0</v>
      </c>
      <c r="D295" s="79">
        <v>0</v>
      </c>
      <c r="E295" s="83">
        <v>0</v>
      </c>
    </row>
    <row r="296" spans="1:5" x14ac:dyDescent="0.25">
      <c r="A296" s="45" t="s">
        <v>76</v>
      </c>
      <c r="B296" s="6" t="s">
        <v>164</v>
      </c>
      <c r="C296" s="79">
        <v>0</v>
      </c>
      <c r="D296" s="79">
        <v>0</v>
      </c>
      <c r="E296" s="83">
        <v>0</v>
      </c>
    </row>
    <row r="297" spans="1:5" x14ac:dyDescent="0.25">
      <c r="A297" s="45" t="s">
        <v>76</v>
      </c>
      <c r="B297" s="6" t="s">
        <v>165</v>
      </c>
      <c r="C297" s="79">
        <v>0</v>
      </c>
      <c r="D297" s="79">
        <v>0</v>
      </c>
      <c r="E297" s="83">
        <v>1</v>
      </c>
    </row>
    <row r="298" spans="1:5" x14ac:dyDescent="0.25">
      <c r="A298" s="45" t="s">
        <v>76</v>
      </c>
      <c r="B298" s="6" t="s">
        <v>166</v>
      </c>
      <c r="C298" s="79">
        <v>0</v>
      </c>
      <c r="D298" s="79">
        <v>0</v>
      </c>
      <c r="E298" s="83">
        <v>0</v>
      </c>
    </row>
    <row r="299" spans="1:5" x14ac:dyDescent="0.25">
      <c r="A299" s="45" t="s">
        <v>76</v>
      </c>
      <c r="B299" s="6" t="s">
        <v>167</v>
      </c>
      <c r="C299" s="79">
        <v>0</v>
      </c>
      <c r="D299" s="79">
        <v>0</v>
      </c>
      <c r="E299" s="83">
        <v>0</v>
      </c>
    </row>
    <row r="300" spans="1:5" x14ac:dyDescent="0.25">
      <c r="A300" s="45" t="s">
        <v>76</v>
      </c>
      <c r="B300" s="6" t="s">
        <v>168</v>
      </c>
      <c r="C300" s="79">
        <v>0</v>
      </c>
      <c r="D300" s="79">
        <v>0</v>
      </c>
      <c r="E300" s="83">
        <v>0</v>
      </c>
    </row>
    <row r="301" spans="1:5" x14ac:dyDescent="0.25">
      <c r="A301" s="45" t="s">
        <v>76</v>
      </c>
      <c r="B301" s="6" t="s">
        <v>169</v>
      </c>
      <c r="C301" s="79">
        <v>0</v>
      </c>
      <c r="D301" s="79">
        <v>0</v>
      </c>
      <c r="E301" s="83">
        <v>0</v>
      </c>
    </row>
    <row r="302" spans="1:5" x14ac:dyDescent="0.25">
      <c r="A302" s="45" t="s">
        <v>47</v>
      </c>
      <c r="B302" s="6" t="s">
        <v>158</v>
      </c>
      <c r="C302" s="79">
        <v>0</v>
      </c>
      <c r="D302" s="79">
        <v>0</v>
      </c>
      <c r="E302" s="83">
        <v>0</v>
      </c>
    </row>
    <row r="303" spans="1:5" x14ac:dyDescent="0.25">
      <c r="A303" s="45" t="s">
        <v>47</v>
      </c>
      <c r="B303" s="6" t="s">
        <v>159</v>
      </c>
      <c r="C303" s="79">
        <v>0</v>
      </c>
      <c r="D303" s="79">
        <v>0</v>
      </c>
      <c r="E303" s="83">
        <v>0</v>
      </c>
    </row>
    <row r="304" spans="1:5" x14ac:dyDescent="0.25">
      <c r="A304" s="45" t="s">
        <v>47</v>
      </c>
      <c r="B304" s="6" t="s">
        <v>160</v>
      </c>
      <c r="C304" s="79">
        <v>0</v>
      </c>
      <c r="D304" s="79">
        <v>0</v>
      </c>
      <c r="E304" s="83">
        <v>3</v>
      </c>
    </row>
    <row r="305" spans="1:5" x14ac:dyDescent="0.25">
      <c r="A305" s="45" t="s">
        <v>47</v>
      </c>
      <c r="B305" s="6" t="s">
        <v>161</v>
      </c>
      <c r="C305" s="79">
        <v>0</v>
      </c>
      <c r="D305" s="79">
        <v>0</v>
      </c>
      <c r="E305" s="83">
        <v>0</v>
      </c>
    </row>
    <row r="306" spans="1:5" x14ac:dyDescent="0.25">
      <c r="A306" s="45" t="s">
        <v>47</v>
      </c>
      <c r="B306" s="6" t="s">
        <v>162</v>
      </c>
      <c r="C306" s="79">
        <v>0</v>
      </c>
      <c r="D306" s="79">
        <v>0</v>
      </c>
      <c r="E306" s="83">
        <v>0</v>
      </c>
    </row>
    <row r="307" spans="1:5" x14ac:dyDescent="0.25">
      <c r="A307" s="45" t="s">
        <v>47</v>
      </c>
      <c r="B307" s="6" t="s">
        <v>163</v>
      </c>
      <c r="C307" s="79">
        <v>0</v>
      </c>
      <c r="D307" s="79">
        <v>0</v>
      </c>
      <c r="E307" s="83">
        <v>0</v>
      </c>
    </row>
    <row r="308" spans="1:5" x14ac:dyDescent="0.25">
      <c r="A308" s="45" t="s">
        <v>47</v>
      </c>
      <c r="B308" s="6" t="s">
        <v>164</v>
      </c>
      <c r="C308" s="79">
        <v>0</v>
      </c>
      <c r="D308" s="79">
        <v>0</v>
      </c>
      <c r="E308" s="83">
        <v>2</v>
      </c>
    </row>
    <row r="309" spans="1:5" x14ac:dyDescent="0.25">
      <c r="A309" s="45" t="s">
        <v>47</v>
      </c>
      <c r="B309" s="6" t="s">
        <v>165</v>
      </c>
      <c r="C309" s="79">
        <v>0</v>
      </c>
      <c r="D309" s="79">
        <v>1</v>
      </c>
      <c r="E309" s="83">
        <v>1</v>
      </c>
    </row>
    <row r="310" spans="1:5" x14ac:dyDescent="0.25">
      <c r="A310" s="45" t="s">
        <v>47</v>
      </c>
      <c r="B310" s="6" t="s">
        <v>166</v>
      </c>
      <c r="C310" s="79">
        <v>0</v>
      </c>
      <c r="D310" s="79">
        <v>0</v>
      </c>
      <c r="E310" s="83">
        <v>0</v>
      </c>
    </row>
    <row r="311" spans="1:5" x14ac:dyDescent="0.25">
      <c r="A311" s="45" t="s">
        <v>47</v>
      </c>
      <c r="B311" s="6" t="s">
        <v>167</v>
      </c>
      <c r="C311" s="79">
        <v>0</v>
      </c>
      <c r="D311" s="79">
        <v>0</v>
      </c>
      <c r="E311" s="83">
        <v>0</v>
      </c>
    </row>
    <row r="312" spans="1:5" x14ac:dyDescent="0.25">
      <c r="A312" s="45" t="s">
        <v>47</v>
      </c>
      <c r="B312" s="6" t="s">
        <v>168</v>
      </c>
      <c r="C312" s="79">
        <v>0</v>
      </c>
      <c r="D312" s="79">
        <v>0</v>
      </c>
      <c r="E312" s="83">
        <v>0</v>
      </c>
    </row>
    <row r="313" spans="1:5" x14ac:dyDescent="0.25">
      <c r="A313" s="45" t="s">
        <v>47</v>
      </c>
      <c r="B313" s="6" t="s">
        <v>169</v>
      </c>
      <c r="C313" s="79">
        <v>0</v>
      </c>
      <c r="D313" s="79">
        <v>0</v>
      </c>
      <c r="E313" s="83">
        <v>0</v>
      </c>
    </row>
    <row r="314" spans="1:5" x14ac:dyDescent="0.25">
      <c r="A314" s="45" t="s">
        <v>37</v>
      </c>
      <c r="B314" s="6" t="s">
        <v>158</v>
      </c>
      <c r="C314" s="79">
        <v>0</v>
      </c>
      <c r="D314" s="79">
        <v>0</v>
      </c>
      <c r="E314" s="83">
        <v>0</v>
      </c>
    </row>
    <row r="315" spans="1:5" x14ac:dyDescent="0.25">
      <c r="A315" s="45" t="s">
        <v>37</v>
      </c>
      <c r="B315" s="6" t="s">
        <v>159</v>
      </c>
      <c r="C315" s="79">
        <v>0</v>
      </c>
      <c r="D315" s="79">
        <v>0</v>
      </c>
      <c r="E315" s="83">
        <v>0</v>
      </c>
    </row>
    <row r="316" spans="1:5" x14ac:dyDescent="0.25">
      <c r="A316" s="45" t="s">
        <v>37</v>
      </c>
      <c r="B316" s="6" t="s">
        <v>160</v>
      </c>
      <c r="C316" s="79">
        <v>0</v>
      </c>
      <c r="D316" s="79">
        <v>0</v>
      </c>
      <c r="E316" s="83">
        <v>0</v>
      </c>
    </row>
    <row r="317" spans="1:5" x14ac:dyDescent="0.25">
      <c r="A317" s="45" t="s">
        <v>37</v>
      </c>
      <c r="B317" s="6" t="s">
        <v>161</v>
      </c>
      <c r="C317" s="79">
        <v>0</v>
      </c>
      <c r="D317" s="79">
        <v>0</v>
      </c>
      <c r="E317" s="83">
        <v>0</v>
      </c>
    </row>
    <row r="318" spans="1:5" x14ac:dyDescent="0.25">
      <c r="A318" s="45" t="s">
        <v>37</v>
      </c>
      <c r="B318" s="6" t="s">
        <v>162</v>
      </c>
      <c r="C318" s="79">
        <v>0</v>
      </c>
      <c r="D318" s="79">
        <v>0</v>
      </c>
      <c r="E318" s="83">
        <v>0</v>
      </c>
    </row>
    <row r="319" spans="1:5" x14ac:dyDescent="0.25">
      <c r="A319" s="45" t="s">
        <v>37</v>
      </c>
      <c r="B319" s="6" t="s">
        <v>163</v>
      </c>
      <c r="C319" s="79">
        <v>0</v>
      </c>
      <c r="D319" s="79">
        <v>0</v>
      </c>
      <c r="E319" s="83">
        <v>0</v>
      </c>
    </row>
    <row r="320" spans="1:5" x14ac:dyDescent="0.25">
      <c r="A320" s="45" t="s">
        <v>37</v>
      </c>
      <c r="B320" s="6" t="s">
        <v>164</v>
      </c>
      <c r="C320" s="79">
        <v>0</v>
      </c>
      <c r="D320" s="79">
        <v>0</v>
      </c>
      <c r="E320" s="83">
        <v>0</v>
      </c>
    </row>
    <row r="321" spans="1:5" x14ac:dyDescent="0.25">
      <c r="A321" s="45" t="s">
        <v>37</v>
      </c>
      <c r="B321" s="6" t="s">
        <v>165</v>
      </c>
      <c r="C321" s="79">
        <v>0</v>
      </c>
      <c r="D321" s="79">
        <v>0</v>
      </c>
      <c r="E321" s="83">
        <v>1</v>
      </c>
    </row>
    <row r="322" spans="1:5" x14ac:dyDescent="0.25">
      <c r="A322" s="45" t="s">
        <v>37</v>
      </c>
      <c r="B322" s="6" t="s">
        <v>166</v>
      </c>
      <c r="C322" s="79">
        <v>0</v>
      </c>
      <c r="D322" s="79">
        <v>0</v>
      </c>
      <c r="E322" s="83">
        <v>0</v>
      </c>
    </row>
    <row r="323" spans="1:5" x14ac:dyDescent="0.25">
      <c r="A323" s="45" t="s">
        <v>37</v>
      </c>
      <c r="B323" s="6" t="s">
        <v>167</v>
      </c>
      <c r="C323" s="79">
        <v>0</v>
      </c>
      <c r="D323" s="79">
        <v>0</v>
      </c>
      <c r="E323" s="83">
        <v>0</v>
      </c>
    </row>
    <row r="324" spans="1:5" x14ac:dyDescent="0.25">
      <c r="A324" s="45" t="s">
        <v>37</v>
      </c>
      <c r="B324" s="6" t="s">
        <v>168</v>
      </c>
      <c r="C324" s="79">
        <v>0</v>
      </c>
      <c r="D324" s="79">
        <v>0</v>
      </c>
      <c r="E324" s="83">
        <v>0</v>
      </c>
    </row>
    <row r="325" spans="1:5" x14ac:dyDescent="0.25">
      <c r="A325" s="45" t="s">
        <v>37</v>
      </c>
      <c r="B325" s="6" t="s">
        <v>169</v>
      </c>
      <c r="C325" s="79">
        <v>0</v>
      </c>
      <c r="D325" s="79">
        <v>0</v>
      </c>
      <c r="E325" s="83">
        <v>0</v>
      </c>
    </row>
    <row r="326" spans="1:5" x14ac:dyDescent="0.25">
      <c r="A326" s="45" t="s">
        <v>86</v>
      </c>
      <c r="B326" s="6" t="s">
        <v>158</v>
      </c>
      <c r="C326" s="79">
        <v>0</v>
      </c>
      <c r="D326" s="79">
        <v>0</v>
      </c>
      <c r="E326" s="83">
        <v>0</v>
      </c>
    </row>
    <row r="327" spans="1:5" x14ac:dyDescent="0.25">
      <c r="A327" s="45" t="s">
        <v>86</v>
      </c>
      <c r="B327" s="6" t="s">
        <v>159</v>
      </c>
      <c r="C327" s="79">
        <v>0</v>
      </c>
      <c r="D327" s="79">
        <v>0</v>
      </c>
      <c r="E327" s="83">
        <v>0</v>
      </c>
    </row>
    <row r="328" spans="1:5" x14ac:dyDescent="0.25">
      <c r="A328" s="45" t="s">
        <v>86</v>
      </c>
      <c r="B328" s="6" t="s">
        <v>160</v>
      </c>
      <c r="C328" s="79">
        <v>0</v>
      </c>
      <c r="D328" s="79">
        <v>0</v>
      </c>
      <c r="E328" s="83">
        <v>0</v>
      </c>
    </row>
    <row r="329" spans="1:5" x14ac:dyDescent="0.25">
      <c r="A329" s="45" t="s">
        <v>86</v>
      </c>
      <c r="B329" s="6" t="s">
        <v>161</v>
      </c>
      <c r="C329" s="79">
        <v>0</v>
      </c>
      <c r="D329" s="79">
        <v>0</v>
      </c>
      <c r="E329" s="83">
        <v>0</v>
      </c>
    </row>
    <row r="330" spans="1:5" x14ac:dyDescent="0.25">
      <c r="A330" s="45" t="s">
        <v>86</v>
      </c>
      <c r="B330" s="6" t="s">
        <v>162</v>
      </c>
      <c r="C330" s="79">
        <v>0</v>
      </c>
      <c r="D330" s="79">
        <v>0</v>
      </c>
      <c r="E330" s="83">
        <v>0</v>
      </c>
    </row>
    <row r="331" spans="1:5" x14ac:dyDescent="0.25">
      <c r="A331" s="45" t="s">
        <v>86</v>
      </c>
      <c r="B331" s="6" t="s">
        <v>163</v>
      </c>
      <c r="C331" s="79">
        <v>0</v>
      </c>
      <c r="D331" s="79">
        <v>0</v>
      </c>
      <c r="E331" s="83">
        <v>0</v>
      </c>
    </row>
    <row r="332" spans="1:5" x14ac:dyDescent="0.25">
      <c r="A332" s="45" t="s">
        <v>86</v>
      </c>
      <c r="B332" s="6" t="s">
        <v>164</v>
      </c>
      <c r="C332" s="79">
        <v>0</v>
      </c>
      <c r="D332" s="79">
        <v>0</v>
      </c>
      <c r="E332" s="83">
        <v>0</v>
      </c>
    </row>
    <row r="333" spans="1:5" x14ac:dyDescent="0.25">
      <c r="A333" s="45" t="s">
        <v>86</v>
      </c>
      <c r="B333" s="6" t="s">
        <v>165</v>
      </c>
      <c r="C333" s="79">
        <v>0</v>
      </c>
      <c r="D333" s="79">
        <v>0</v>
      </c>
      <c r="E333" s="83">
        <v>0</v>
      </c>
    </row>
    <row r="334" spans="1:5" x14ac:dyDescent="0.25">
      <c r="A334" s="45" t="s">
        <v>86</v>
      </c>
      <c r="B334" s="6" t="s">
        <v>166</v>
      </c>
      <c r="C334" s="79">
        <v>0</v>
      </c>
      <c r="D334" s="79">
        <v>0</v>
      </c>
      <c r="E334" s="83">
        <v>0</v>
      </c>
    </row>
    <row r="335" spans="1:5" x14ac:dyDescent="0.25">
      <c r="A335" s="45" t="s">
        <v>86</v>
      </c>
      <c r="B335" s="6" t="s">
        <v>167</v>
      </c>
      <c r="C335" s="79">
        <v>0</v>
      </c>
      <c r="D335" s="79">
        <v>0</v>
      </c>
      <c r="E335" s="83">
        <v>0</v>
      </c>
    </row>
    <row r="336" spans="1:5" x14ac:dyDescent="0.25">
      <c r="A336" s="45" t="s">
        <v>86</v>
      </c>
      <c r="B336" s="6" t="s">
        <v>168</v>
      </c>
      <c r="C336" s="79">
        <v>0</v>
      </c>
      <c r="D336" s="79">
        <v>0</v>
      </c>
      <c r="E336" s="83">
        <v>0</v>
      </c>
    </row>
    <row r="337" spans="1:5" x14ac:dyDescent="0.25">
      <c r="A337" s="45" t="s">
        <v>86</v>
      </c>
      <c r="B337" s="6" t="s">
        <v>169</v>
      </c>
      <c r="C337" s="79">
        <v>0</v>
      </c>
      <c r="D337" s="79">
        <v>0</v>
      </c>
      <c r="E337" s="83">
        <v>0</v>
      </c>
    </row>
    <row r="338" spans="1:5" x14ac:dyDescent="0.25">
      <c r="A338" s="45" t="s">
        <v>65</v>
      </c>
      <c r="B338" s="6" t="s">
        <v>158</v>
      </c>
      <c r="C338" s="79">
        <v>0</v>
      </c>
      <c r="D338" s="79">
        <v>0</v>
      </c>
      <c r="E338" s="83">
        <v>0</v>
      </c>
    </row>
    <row r="339" spans="1:5" x14ac:dyDescent="0.25">
      <c r="A339" s="45" t="s">
        <v>65</v>
      </c>
      <c r="B339" s="6" t="s">
        <v>159</v>
      </c>
      <c r="C339" s="79">
        <v>0</v>
      </c>
      <c r="D339" s="79">
        <v>0</v>
      </c>
      <c r="E339" s="83">
        <v>0</v>
      </c>
    </row>
    <row r="340" spans="1:5" x14ac:dyDescent="0.25">
      <c r="A340" s="45" t="s">
        <v>65</v>
      </c>
      <c r="B340" s="6" t="s">
        <v>160</v>
      </c>
      <c r="C340" s="79">
        <v>0</v>
      </c>
      <c r="D340" s="79">
        <v>0</v>
      </c>
      <c r="E340" s="83">
        <v>0</v>
      </c>
    </row>
    <row r="341" spans="1:5" x14ac:dyDescent="0.25">
      <c r="A341" s="45" t="s">
        <v>65</v>
      </c>
      <c r="B341" s="6" t="s">
        <v>161</v>
      </c>
      <c r="C341" s="79">
        <v>0</v>
      </c>
      <c r="D341" s="79">
        <v>0</v>
      </c>
      <c r="E341" s="83">
        <v>0</v>
      </c>
    </row>
    <row r="342" spans="1:5" x14ac:dyDescent="0.25">
      <c r="A342" s="45" t="s">
        <v>65</v>
      </c>
      <c r="B342" s="6" t="s">
        <v>162</v>
      </c>
      <c r="C342" s="79">
        <v>0</v>
      </c>
      <c r="D342" s="79">
        <v>0</v>
      </c>
      <c r="E342" s="83">
        <v>0</v>
      </c>
    </row>
    <row r="343" spans="1:5" x14ac:dyDescent="0.25">
      <c r="A343" s="45" t="s">
        <v>65</v>
      </c>
      <c r="B343" s="6" t="s">
        <v>163</v>
      </c>
      <c r="C343" s="79">
        <v>0</v>
      </c>
      <c r="D343" s="79">
        <v>0</v>
      </c>
      <c r="E343" s="83">
        <v>0</v>
      </c>
    </row>
    <row r="344" spans="1:5" x14ac:dyDescent="0.25">
      <c r="A344" s="45" t="s">
        <v>65</v>
      </c>
      <c r="B344" s="6" t="s">
        <v>164</v>
      </c>
      <c r="C344" s="79">
        <v>0</v>
      </c>
      <c r="D344" s="79">
        <v>0</v>
      </c>
      <c r="E344" s="83">
        <v>2</v>
      </c>
    </row>
    <row r="345" spans="1:5" x14ac:dyDescent="0.25">
      <c r="A345" s="45" t="s">
        <v>65</v>
      </c>
      <c r="B345" s="6" t="s">
        <v>165</v>
      </c>
      <c r="C345" s="79">
        <v>0</v>
      </c>
      <c r="D345" s="79">
        <v>0</v>
      </c>
      <c r="E345" s="83">
        <v>0</v>
      </c>
    </row>
    <row r="346" spans="1:5" x14ac:dyDescent="0.25">
      <c r="A346" s="45" t="s">
        <v>65</v>
      </c>
      <c r="B346" s="6" t="s">
        <v>166</v>
      </c>
      <c r="C346" s="79">
        <v>0</v>
      </c>
      <c r="D346" s="79">
        <v>0</v>
      </c>
      <c r="E346" s="83">
        <v>0</v>
      </c>
    </row>
    <row r="347" spans="1:5" x14ac:dyDescent="0.25">
      <c r="A347" s="45" t="s">
        <v>65</v>
      </c>
      <c r="B347" s="6" t="s">
        <v>167</v>
      </c>
      <c r="C347" s="79">
        <v>0</v>
      </c>
      <c r="D347" s="79">
        <v>0</v>
      </c>
      <c r="E347" s="83">
        <v>0</v>
      </c>
    </row>
    <row r="348" spans="1:5" x14ac:dyDescent="0.25">
      <c r="A348" s="45" t="s">
        <v>65</v>
      </c>
      <c r="B348" s="6" t="s">
        <v>168</v>
      </c>
      <c r="C348" s="79">
        <v>0</v>
      </c>
      <c r="D348" s="79">
        <v>0</v>
      </c>
      <c r="E348" s="83">
        <v>0</v>
      </c>
    </row>
    <row r="349" spans="1:5" x14ac:dyDescent="0.25">
      <c r="A349" s="45" t="s">
        <v>65</v>
      </c>
      <c r="B349" s="6" t="s">
        <v>169</v>
      </c>
      <c r="C349" s="79">
        <v>0</v>
      </c>
      <c r="D349" s="79">
        <v>0</v>
      </c>
      <c r="E349" s="83">
        <v>0</v>
      </c>
    </row>
    <row r="350" spans="1:5" x14ac:dyDescent="0.25">
      <c r="A350" s="45" t="s">
        <v>142</v>
      </c>
      <c r="B350" s="6" t="s">
        <v>158</v>
      </c>
      <c r="C350" s="79">
        <v>0</v>
      </c>
      <c r="D350" s="79">
        <v>0</v>
      </c>
      <c r="E350" s="83">
        <v>0</v>
      </c>
    </row>
    <row r="351" spans="1:5" x14ac:dyDescent="0.25">
      <c r="A351" s="45" t="s">
        <v>142</v>
      </c>
      <c r="B351" s="6" t="s">
        <v>159</v>
      </c>
      <c r="C351" s="79">
        <v>0</v>
      </c>
      <c r="D351" s="79">
        <v>0</v>
      </c>
      <c r="E351" s="83">
        <v>0</v>
      </c>
    </row>
    <row r="352" spans="1:5" x14ac:dyDescent="0.25">
      <c r="A352" s="45" t="s">
        <v>142</v>
      </c>
      <c r="B352" s="6" t="s">
        <v>160</v>
      </c>
      <c r="C352" s="79">
        <v>0</v>
      </c>
      <c r="D352" s="79">
        <v>0</v>
      </c>
      <c r="E352" s="83">
        <v>0</v>
      </c>
    </row>
    <row r="353" spans="1:5" x14ac:dyDescent="0.25">
      <c r="A353" s="45" t="s">
        <v>142</v>
      </c>
      <c r="B353" s="6" t="s">
        <v>161</v>
      </c>
      <c r="C353" s="79">
        <v>0</v>
      </c>
      <c r="D353" s="79">
        <v>0</v>
      </c>
      <c r="E353" s="83">
        <v>0</v>
      </c>
    </row>
    <row r="354" spans="1:5" x14ac:dyDescent="0.25">
      <c r="A354" s="45" t="s">
        <v>142</v>
      </c>
      <c r="B354" s="6" t="s">
        <v>162</v>
      </c>
      <c r="C354" s="79">
        <v>0</v>
      </c>
      <c r="D354" s="79">
        <v>0</v>
      </c>
      <c r="E354" s="83">
        <v>0</v>
      </c>
    </row>
    <row r="355" spans="1:5" x14ac:dyDescent="0.25">
      <c r="A355" s="45" t="s">
        <v>142</v>
      </c>
      <c r="B355" s="6" t="s">
        <v>163</v>
      </c>
      <c r="C355" s="79">
        <v>0</v>
      </c>
      <c r="D355" s="79">
        <v>0</v>
      </c>
      <c r="E355" s="83">
        <v>0</v>
      </c>
    </row>
    <row r="356" spans="1:5" x14ac:dyDescent="0.25">
      <c r="A356" s="45" t="s">
        <v>142</v>
      </c>
      <c r="B356" s="6" t="s">
        <v>164</v>
      </c>
      <c r="C356" s="79">
        <v>0</v>
      </c>
      <c r="D356" s="79">
        <v>0</v>
      </c>
      <c r="E356" s="83">
        <v>0</v>
      </c>
    </row>
    <row r="357" spans="1:5" x14ac:dyDescent="0.25">
      <c r="A357" s="45" t="s">
        <v>142</v>
      </c>
      <c r="B357" s="6" t="s">
        <v>165</v>
      </c>
      <c r="C357" s="79">
        <v>0</v>
      </c>
      <c r="D357" s="79">
        <v>0</v>
      </c>
      <c r="E357" s="83">
        <v>0</v>
      </c>
    </row>
    <row r="358" spans="1:5" x14ac:dyDescent="0.25">
      <c r="A358" s="45" t="s">
        <v>142</v>
      </c>
      <c r="B358" s="6" t="s">
        <v>166</v>
      </c>
      <c r="C358" s="79">
        <v>0</v>
      </c>
      <c r="D358" s="79">
        <v>0</v>
      </c>
      <c r="E358" s="83">
        <v>0</v>
      </c>
    </row>
    <row r="359" spans="1:5" x14ac:dyDescent="0.25">
      <c r="A359" s="45" t="s">
        <v>142</v>
      </c>
      <c r="B359" s="6" t="s">
        <v>167</v>
      </c>
      <c r="C359" s="79">
        <v>0</v>
      </c>
      <c r="D359" s="79">
        <v>0</v>
      </c>
      <c r="E359" s="83">
        <v>0</v>
      </c>
    </row>
    <row r="360" spans="1:5" x14ac:dyDescent="0.25">
      <c r="A360" s="45" t="s">
        <v>142</v>
      </c>
      <c r="B360" s="6" t="s">
        <v>168</v>
      </c>
      <c r="C360" s="79">
        <v>0</v>
      </c>
      <c r="D360" s="79">
        <v>0</v>
      </c>
      <c r="E360" s="83">
        <v>0</v>
      </c>
    </row>
    <row r="361" spans="1:5" x14ac:dyDescent="0.25">
      <c r="A361" s="45" t="s">
        <v>142</v>
      </c>
      <c r="B361" s="6" t="s">
        <v>169</v>
      </c>
      <c r="C361" s="79">
        <v>0</v>
      </c>
      <c r="D361" s="79">
        <v>0</v>
      </c>
      <c r="E361" s="83">
        <v>0</v>
      </c>
    </row>
    <row r="362" spans="1:5" x14ac:dyDescent="0.25">
      <c r="A362" s="45" t="s">
        <v>107</v>
      </c>
      <c r="B362" s="6" t="s">
        <v>158</v>
      </c>
      <c r="C362" s="79">
        <v>0</v>
      </c>
      <c r="D362" s="79">
        <v>0</v>
      </c>
      <c r="E362" s="83">
        <v>4</v>
      </c>
    </row>
    <row r="363" spans="1:5" x14ac:dyDescent="0.25">
      <c r="A363" s="45" t="s">
        <v>107</v>
      </c>
      <c r="B363" s="6" t="s">
        <v>159</v>
      </c>
      <c r="C363" s="79">
        <v>0</v>
      </c>
      <c r="D363" s="79">
        <v>0</v>
      </c>
      <c r="E363" s="83">
        <v>0</v>
      </c>
    </row>
    <row r="364" spans="1:5" x14ac:dyDescent="0.25">
      <c r="A364" s="45" t="s">
        <v>107</v>
      </c>
      <c r="B364" s="6" t="s">
        <v>160</v>
      </c>
      <c r="C364" s="79">
        <v>0</v>
      </c>
      <c r="D364" s="79">
        <v>0</v>
      </c>
      <c r="E364" s="83">
        <v>0</v>
      </c>
    </row>
    <row r="365" spans="1:5" x14ac:dyDescent="0.25">
      <c r="A365" s="45" t="s">
        <v>107</v>
      </c>
      <c r="B365" s="6" t="s">
        <v>161</v>
      </c>
      <c r="C365" s="79">
        <v>0</v>
      </c>
      <c r="D365" s="79">
        <v>0</v>
      </c>
      <c r="E365" s="83">
        <v>0</v>
      </c>
    </row>
    <row r="366" spans="1:5" x14ac:dyDescent="0.25">
      <c r="A366" s="45" t="s">
        <v>107</v>
      </c>
      <c r="B366" s="6" t="s">
        <v>162</v>
      </c>
      <c r="C366" s="79">
        <v>0</v>
      </c>
      <c r="D366" s="79">
        <v>0</v>
      </c>
      <c r="E366" s="83">
        <v>2</v>
      </c>
    </row>
    <row r="367" spans="1:5" x14ac:dyDescent="0.25">
      <c r="A367" s="45" t="s">
        <v>107</v>
      </c>
      <c r="B367" s="6" t="s">
        <v>163</v>
      </c>
      <c r="C367" s="79">
        <v>0</v>
      </c>
      <c r="D367" s="79">
        <v>2</v>
      </c>
      <c r="E367" s="83">
        <v>2</v>
      </c>
    </row>
    <row r="368" spans="1:5" x14ac:dyDescent="0.25">
      <c r="A368" s="45" t="s">
        <v>107</v>
      </c>
      <c r="B368" s="6" t="s">
        <v>164</v>
      </c>
      <c r="C368" s="79">
        <v>0</v>
      </c>
      <c r="D368" s="79">
        <v>0</v>
      </c>
      <c r="E368" s="83">
        <v>0</v>
      </c>
    </row>
    <row r="369" spans="1:5" x14ac:dyDescent="0.25">
      <c r="A369" s="45" t="s">
        <v>107</v>
      </c>
      <c r="B369" s="6" t="s">
        <v>165</v>
      </c>
      <c r="C369" s="79">
        <v>0</v>
      </c>
      <c r="D369" s="79">
        <v>0</v>
      </c>
      <c r="E369" s="83">
        <v>0</v>
      </c>
    </row>
    <row r="370" spans="1:5" x14ac:dyDescent="0.25">
      <c r="A370" s="45" t="s">
        <v>107</v>
      </c>
      <c r="B370" s="6" t="s">
        <v>166</v>
      </c>
      <c r="C370" s="79">
        <v>0</v>
      </c>
      <c r="D370" s="79">
        <v>0</v>
      </c>
      <c r="E370" s="83">
        <v>3</v>
      </c>
    </row>
    <row r="371" spans="1:5" x14ac:dyDescent="0.25">
      <c r="A371" s="45" t="s">
        <v>107</v>
      </c>
      <c r="B371" s="6" t="s">
        <v>167</v>
      </c>
      <c r="C371" s="79">
        <v>0</v>
      </c>
      <c r="D371" s="79">
        <v>0</v>
      </c>
      <c r="E371" s="83">
        <v>0</v>
      </c>
    </row>
    <row r="372" spans="1:5" x14ac:dyDescent="0.25">
      <c r="A372" s="45" t="s">
        <v>107</v>
      </c>
      <c r="B372" s="6" t="s">
        <v>168</v>
      </c>
      <c r="C372" s="79">
        <v>0</v>
      </c>
      <c r="D372" s="79">
        <v>0</v>
      </c>
      <c r="E372" s="83">
        <v>0</v>
      </c>
    </row>
    <row r="373" spans="1:5" x14ac:dyDescent="0.25">
      <c r="A373" s="45" t="s">
        <v>107</v>
      </c>
      <c r="B373" s="6" t="s">
        <v>169</v>
      </c>
      <c r="C373" s="79">
        <v>0</v>
      </c>
      <c r="D373" s="79">
        <v>0</v>
      </c>
      <c r="E373" s="83">
        <v>0</v>
      </c>
    </row>
    <row r="374" spans="1:5" x14ac:dyDescent="0.25">
      <c r="A374" s="45" t="s">
        <v>89</v>
      </c>
      <c r="B374" s="6" t="s">
        <v>158</v>
      </c>
      <c r="C374" s="79">
        <v>0</v>
      </c>
      <c r="D374" s="79">
        <v>0</v>
      </c>
      <c r="E374" s="83">
        <v>0</v>
      </c>
    </row>
    <row r="375" spans="1:5" x14ac:dyDescent="0.25">
      <c r="A375" s="45" t="s">
        <v>89</v>
      </c>
      <c r="B375" s="6" t="s">
        <v>159</v>
      </c>
      <c r="C375" s="79">
        <v>0</v>
      </c>
      <c r="D375" s="79">
        <v>0</v>
      </c>
      <c r="E375" s="83">
        <v>0</v>
      </c>
    </row>
    <row r="376" spans="1:5" x14ac:dyDescent="0.25">
      <c r="A376" s="45" t="s">
        <v>89</v>
      </c>
      <c r="B376" s="6" t="s">
        <v>160</v>
      </c>
      <c r="C376" s="79">
        <v>0</v>
      </c>
      <c r="D376" s="79">
        <v>0</v>
      </c>
      <c r="E376" s="83">
        <v>0</v>
      </c>
    </row>
    <row r="377" spans="1:5" x14ac:dyDescent="0.25">
      <c r="A377" s="45" t="s">
        <v>89</v>
      </c>
      <c r="B377" s="6" t="s">
        <v>161</v>
      </c>
      <c r="C377" s="79">
        <v>0</v>
      </c>
      <c r="D377" s="79">
        <v>0</v>
      </c>
      <c r="E377" s="83">
        <v>0</v>
      </c>
    </row>
    <row r="378" spans="1:5" x14ac:dyDescent="0.25">
      <c r="A378" s="45" t="s">
        <v>89</v>
      </c>
      <c r="B378" s="6" t="s">
        <v>162</v>
      </c>
      <c r="C378" s="79">
        <v>0</v>
      </c>
      <c r="D378" s="79">
        <v>0</v>
      </c>
      <c r="E378" s="83">
        <v>0</v>
      </c>
    </row>
    <row r="379" spans="1:5" x14ac:dyDescent="0.25">
      <c r="A379" s="45" t="s">
        <v>89</v>
      </c>
      <c r="B379" s="6" t="s">
        <v>163</v>
      </c>
      <c r="C379" s="79">
        <v>0</v>
      </c>
      <c r="D379" s="79">
        <v>0</v>
      </c>
      <c r="E379" s="83">
        <v>0</v>
      </c>
    </row>
    <row r="380" spans="1:5" x14ac:dyDescent="0.25">
      <c r="A380" s="45" t="s">
        <v>89</v>
      </c>
      <c r="B380" s="6" t="s">
        <v>164</v>
      </c>
      <c r="C380" s="79">
        <v>0</v>
      </c>
      <c r="D380" s="79">
        <v>0</v>
      </c>
      <c r="E380" s="83">
        <v>0</v>
      </c>
    </row>
    <row r="381" spans="1:5" x14ac:dyDescent="0.25">
      <c r="A381" s="45" t="s">
        <v>89</v>
      </c>
      <c r="B381" s="6" t="s">
        <v>165</v>
      </c>
      <c r="C381" s="79">
        <v>0</v>
      </c>
      <c r="D381" s="79">
        <v>0</v>
      </c>
      <c r="E381" s="83">
        <v>0</v>
      </c>
    </row>
    <row r="382" spans="1:5" x14ac:dyDescent="0.25">
      <c r="A382" s="45" t="s">
        <v>89</v>
      </c>
      <c r="B382" s="6" t="s">
        <v>166</v>
      </c>
      <c r="C382" s="79">
        <v>0</v>
      </c>
      <c r="D382" s="79">
        <v>0</v>
      </c>
      <c r="E382" s="83">
        <v>0</v>
      </c>
    </row>
    <row r="383" spans="1:5" x14ac:dyDescent="0.25">
      <c r="A383" s="45" t="s">
        <v>89</v>
      </c>
      <c r="B383" s="6" t="s">
        <v>167</v>
      </c>
      <c r="C383" s="79">
        <v>0</v>
      </c>
      <c r="D383" s="79">
        <v>0</v>
      </c>
      <c r="E383" s="83">
        <v>1</v>
      </c>
    </row>
    <row r="384" spans="1:5" x14ac:dyDescent="0.25">
      <c r="A384" s="45" t="s">
        <v>89</v>
      </c>
      <c r="B384" s="6" t="s">
        <v>168</v>
      </c>
      <c r="C384" s="79">
        <v>0</v>
      </c>
      <c r="D384" s="79">
        <v>0</v>
      </c>
      <c r="E384" s="83">
        <v>0</v>
      </c>
    </row>
    <row r="385" spans="1:5" x14ac:dyDescent="0.25">
      <c r="A385" s="45" t="s">
        <v>89</v>
      </c>
      <c r="B385" s="6" t="s">
        <v>169</v>
      </c>
      <c r="C385" s="79">
        <v>0</v>
      </c>
      <c r="D385" s="79">
        <v>0</v>
      </c>
      <c r="E385" s="83">
        <v>0</v>
      </c>
    </row>
    <row r="386" spans="1:5" x14ac:dyDescent="0.25">
      <c r="A386" s="45" t="s">
        <v>127</v>
      </c>
      <c r="B386" s="6" t="s">
        <v>158</v>
      </c>
      <c r="C386" s="79">
        <v>0</v>
      </c>
      <c r="D386" s="79">
        <v>0</v>
      </c>
      <c r="E386" s="83">
        <v>0</v>
      </c>
    </row>
    <row r="387" spans="1:5" x14ac:dyDescent="0.25">
      <c r="A387" s="45" t="s">
        <v>127</v>
      </c>
      <c r="B387" s="6" t="s">
        <v>159</v>
      </c>
      <c r="C387" s="79">
        <v>0</v>
      </c>
      <c r="D387" s="79">
        <v>0</v>
      </c>
      <c r="E387" s="83">
        <v>0</v>
      </c>
    </row>
    <row r="388" spans="1:5" x14ac:dyDescent="0.25">
      <c r="A388" s="45" t="s">
        <v>127</v>
      </c>
      <c r="B388" s="6" t="s">
        <v>160</v>
      </c>
      <c r="C388" s="79">
        <v>0</v>
      </c>
      <c r="D388" s="79">
        <v>0</v>
      </c>
      <c r="E388" s="83">
        <v>0</v>
      </c>
    </row>
    <row r="389" spans="1:5" x14ac:dyDescent="0.25">
      <c r="A389" s="45" t="s">
        <v>127</v>
      </c>
      <c r="B389" s="6" t="s">
        <v>161</v>
      </c>
      <c r="C389" s="79">
        <v>2</v>
      </c>
      <c r="D389" s="79">
        <v>0</v>
      </c>
      <c r="E389" s="83">
        <v>2</v>
      </c>
    </row>
    <row r="390" spans="1:5" x14ac:dyDescent="0.25">
      <c r="A390" s="45" t="s">
        <v>127</v>
      </c>
      <c r="B390" s="6" t="s">
        <v>162</v>
      </c>
      <c r="C390" s="79">
        <v>0</v>
      </c>
      <c r="D390" s="79">
        <v>0</v>
      </c>
      <c r="E390" s="83">
        <v>0</v>
      </c>
    </row>
    <row r="391" spans="1:5" x14ac:dyDescent="0.25">
      <c r="A391" s="45" t="s">
        <v>127</v>
      </c>
      <c r="B391" s="6" t="s">
        <v>163</v>
      </c>
      <c r="C391" s="79">
        <v>0</v>
      </c>
      <c r="D391" s="79">
        <v>0</v>
      </c>
      <c r="E391" s="83">
        <v>0</v>
      </c>
    </row>
    <row r="392" spans="1:5" x14ac:dyDescent="0.25">
      <c r="A392" s="45" t="s">
        <v>127</v>
      </c>
      <c r="B392" s="6" t="s">
        <v>164</v>
      </c>
      <c r="C392" s="79">
        <v>0</v>
      </c>
      <c r="D392" s="79">
        <v>0</v>
      </c>
      <c r="E392" s="83">
        <v>0</v>
      </c>
    </row>
    <row r="393" spans="1:5" x14ac:dyDescent="0.25">
      <c r="A393" s="45" t="s">
        <v>127</v>
      </c>
      <c r="B393" s="6" t="s">
        <v>165</v>
      </c>
      <c r="C393" s="79">
        <v>0</v>
      </c>
      <c r="D393" s="79">
        <v>0</v>
      </c>
      <c r="E393" s="83">
        <v>1</v>
      </c>
    </row>
    <row r="394" spans="1:5" x14ac:dyDescent="0.25">
      <c r="A394" s="45" t="s">
        <v>127</v>
      </c>
      <c r="B394" s="6" t="s">
        <v>166</v>
      </c>
      <c r="C394" s="79">
        <v>0</v>
      </c>
      <c r="D394" s="79">
        <v>0</v>
      </c>
      <c r="E394" s="83">
        <v>0</v>
      </c>
    </row>
    <row r="395" spans="1:5" x14ac:dyDescent="0.25">
      <c r="A395" s="45" t="s">
        <v>127</v>
      </c>
      <c r="B395" s="6" t="s">
        <v>167</v>
      </c>
      <c r="C395" s="79">
        <v>0</v>
      </c>
      <c r="D395" s="79">
        <v>0</v>
      </c>
      <c r="E395" s="83">
        <v>0</v>
      </c>
    </row>
    <row r="396" spans="1:5" x14ac:dyDescent="0.25">
      <c r="A396" s="45" t="s">
        <v>127</v>
      </c>
      <c r="B396" s="6" t="s">
        <v>168</v>
      </c>
      <c r="C396" s="79">
        <v>0</v>
      </c>
      <c r="D396" s="79">
        <v>0</v>
      </c>
      <c r="E396" s="83">
        <v>0</v>
      </c>
    </row>
    <row r="397" spans="1:5" x14ac:dyDescent="0.25">
      <c r="A397" s="45" t="s">
        <v>127</v>
      </c>
      <c r="B397" s="6" t="s">
        <v>169</v>
      </c>
      <c r="C397" s="79">
        <v>0</v>
      </c>
      <c r="D397" s="79">
        <v>0</v>
      </c>
      <c r="E397" s="83">
        <v>1</v>
      </c>
    </row>
    <row r="398" spans="1:5" x14ac:dyDescent="0.25">
      <c r="A398" s="45" t="s">
        <v>122</v>
      </c>
      <c r="B398" s="6" t="s">
        <v>158</v>
      </c>
      <c r="C398" s="79">
        <v>0</v>
      </c>
      <c r="D398" s="79">
        <v>0</v>
      </c>
      <c r="E398" s="83">
        <v>0</v>
      </c>
    </row>
    <row r="399" spans="1:5" x14ac:dyDescent="0.25">
      <c r="A399" s="45" t="s">
        <v>122</v>
      </c>
      <c r="B399" s="6" t="s">
        <v>159</v>
      </c>
      <c r="C399" s="79">
        <v>0</v>
      </c>
      <c r="D399" s="79">
        <v>0</v>
      </c>
      <c r="E399" s="83">
        <v>0</v>
      </c>
    </row>
    <row r="400" spans="1:5" x14ac:dyDescent="0.25">
      <c r="A400" s="45" t="s">
        <v>122</v>
      </c>
      <c r="B400" s="6" t="s">
        <v>160</v>
      </c>
      <c r="C400" s="79">
        <v>0</v>
      </c>
      <c r="D400" s="79">
        <v>0</v>
      </c>
      <c r="E400" s="83">
        <v>0</v>
      </c>
    </row>
    <row r="401" spans="1:5" x14ac:dyDescent="0.25">
      <c r="A401" s="45" t="s">
        <v>122</v>
      </c>
      <c r="B401" s="6" t="s">
        <v>161</v>
      </c>
      <c r="C401" s="79">
        <v>0</v>
      </c>
      <c r="D401" s="79">
        <v>0</v>
      </c>
      <c r="E401" s="83">
        <v>1</v>
      </c>
    </row>
    <row r="402" spans="1:5" x14ac:dyDescent="0.25">
      <c r="A402" s="45" t="s">
        <v>122</v>
      </c>
      <c r="B402" s="6" t="s">
        <v>162</v>
      </c>
      <c r="C402" s="79">
        <v>0</v>
      </c>
      <c r="D402" s="79">
        <v>0</v>
      </c>
      <c r="E402" s="83">
        <v>0</v>
      </c>
    </row>
    <row r="403" spans="1:5" x14ac:dyDescent="0.25">
      <c r="A403" s="45" t="s">
        <v>122</v>
      </c>
      <c r="B403" s="6" t="s">
        <v>163</v>
      </c>
      <c r="C403" s="79">
        <v>0</v>
      </c>
      <c r="D403" s="79">
        <v>0</v>
      </c>
      <c r="E403" s="83">
        <v>0</v>
      </c>
    </row>
    <row r="404" spans="1:5" x14ac:dyDescent="0.25">
      <c r="A404" s="45" t="s">
        <v>122</v>
      </c>
      <c r="B404" s="6" t="s">
        <v>164</v>
      </c>
      <c r="C404" s="79">
        <v>0</v>
      </c>
      <c r="D404" s="79">
        <v>0</v>
      </c>
      <c r="E404" s="83">
        <v>0</v>
      </c>
    </row>
    <row r="405" spans="1:5" x14ac:dyDescent="0.25">
      <c r="A405" s="45" t="s">
        <v>122</v>
      </c>
      <c r="B405" s="6" t="s">
        <v>165</v>
      </c>
      <c r="C405" s="79">
        <v>0</v>
      </c>
      <c r="D405" s="79">
        <v>0</v>
      </c>
      <c r="E405" s="83">
        <v>0</v>
      </c>
    </row>
    <row r="406" spans="1:5" x14ac:dyDescent="0.25">
      <c r="A406" s="45" t="s">
        <v>122</v>
      </c>
      <c r="B406" s="6" t="s">
        <v>166</v>
      </c>
      <c r="C406" s="79">
        <v>0</v>
      </c>
      <c r="D406" s="79">
        <v>0</v>
      </c>
      <c r="E406" s="83">
        <v>0</v>
      </c>
    </row>
    <row r="407" spans="1:5" x14ac:dyDescent="0.25">
      <c r="A407" s="45" t="s">
        <v>122</v>
      </c>
      <c r="B407" s="6" t="s">
        <v>167</v>
      </c>
      <c r="C407" s="79">
        <v>0</v>
      </c>
      <c r="D407" s="79">
        <v>0</v>
      </c>
      <c r="E407" s="83">
        <v>0</v>
      </c>
    </row>
    <row r="408" spans="1:5" x14ac:dyDescent="0.25">
      <c r="A408" s="45" t="s">
        <v>122</v>
      </c>
      <c r="B408" s="6" t="s">
        <v>168</v>
      </c>
      <c r="C408" s="79">
        <v>0</v>
      </c>
      <c r="D408" s="79">
        <v>0</v>
      </c>
      <c r="E408" s="83">
        <v>1</v>
      </c>
    </row>
    <row r="409" spans="1:5" x14ac:dyDescent="0.25">
      <c r="A409" s="45" t="s">
        <v>122</v>
      </c>
      <c r="B409" s="6" t="s">
        <v>169</v>
      </c>
      <c r="C409" s="79">
        <v>0</v>
      </c>
      <c r="D409" s="79">
        <v>0</v>
      </c>
      <c r="E409" s="83">
        <v>0</v>
      </c>
    </row>
    <row r="410" spans="1:5" x14ac:dyDescent="0.25">
      <c r="A410" s="45" t="s">
        <v>90</v>
      </c>
      <c r="B410" s="6" t="s">
        <v>158</v>
      </c>
      <c r="C410" s="79">
        <v>0</v>
      </c>
      <c r="D410" s="79">
        <v>0</v>
      </c>
      <c r="E410" s="83">
        <v>0</v>
      </c>
    </row>
    <row r="411" spans="1:5" x14ac:dyDescent="0.25">
      <c r="A411" s="45" t="s">
        <v>90</v>
      </c>
      <c r="B411" s="6" t="s">
        <v>159</v>
      </c>
      <c r="C411" s="79">
        <v>0</v>
      </c>
      <c r="D411" s="79">
        <v>0</v>
      </c>
      <c r="E411" s="83">
        <v>0</v>
      </c>
    </row>
    <row r="412" spans="1:5" x14ac:dyDescent="0.25">
      <c r="A412" s="45" t="s">
        <v>90</v>
      </c>
      <c r="B412" s="6" t="s">
        <v>160</v>
      </c>
      <c r="C412" s="79">
        <v>0</v>
      </c>
      <c r="D412" s="79">
        <v>0</v>
      </c>
      <c r="E412" s="83">
        <v>0</v>
      </c>
    </row>
    <row r="413" spans="1:5" x14ac:dyDescent="0.25">
      <c r="A413" s="45" t="s">
        <v>90</v>
      </c>
      <c r="B413" s="6" t="s">
        <v>161</v>
      </c>
      <c r="C413" s="79">
        <v>0</v>
      </c>
      <c r="D413" s="79">
        <v>0</v>
      </c>
      <c r="E413" s="83">
        <v>0</v>
      </c>
    </row>
    <row r="414" spans="1:5" x14ac:dyDescent="0.25">
      <c r="A414" s="45" t="s">
        <v>90</v>
      </c>
      <c r="B414" s="6" t="s">
        <v>162</v>
      </c>
      <c r="C414" s="79">
        <v>0</v>
      </c>
      <c r="D414" s="79">
        <v>0</v>
      </c>
      <c r="E414" s="83">
        <v>0</v>
      </c>
    </row>
    <row r="415" spans="1:5" x14ac:dyDescent="0.25">
      <c r="A415" s="45" t="s">
        <v>90</v>
      </c>
      <c r="B415" s="6" t="s">
        <v>163</v>
      </c>
      <c r="C415" s="79">
        <v>0</v>
      </c>
      <c r="D415" s="79">
        <v>0</v>
      </c>
      <c r="E415" s="83">
        <v>0</v>
      </c>
    </row>
    <row r="416" spans="1:5" x14ac:dyDescent="0.25">
      <c r="A416" s="45" t="s">
        <v>90</v>
      </c>
      <c r="B416" s="6" t="s">
        <v>164</v>
      </c>
      <c r="C416" s="79">
        <v>0</v>
      </c>
      <c r="D416" s="79">
        <v>0</v>
      </c>
      <c r="E416" s="83">
        <v>0</v>
      </c>
    </row>
    <row r="417" spans="1:5" x14ac:dyDescent="0.25">
      <c r="A417" s="45" t="s">
        <v>90</v>
      </c>
      <c r="B417" s="6" t="s">
        <v>165</v>
      </c>
      <c r="C417" s="79">
        <v>0</v>
      </c>
      <c r="D417" s="79">
        <v>0</v>
      </c>
      <c r="E417" s="83">
        <v>0</v>
      </c>
    </row>
    <row r="418" spans="1:5" x14ac:dyDescent="0.25">
      <c r="A418" s="45" t="s">
        <v>90</v>
      </c>
      <c r="B418" s="6" t="s">
        <v>166</v>
      </c>
      <c r="C418" s="79">
        <v>0</v>
      </c>
      <c r="D418" s="79">
        <v>0</v>
      </c>
      <c r="E418" s="83">
        <v>0</v>
      </c>
    </row>
    <row r="419" spans="1:5" x14ac:dyDescent="0.25">
      <c r="A419" s="45" t="s">
        <v>90</v>
      </c>
      <c r="B419" s="6" t="s">
        <v>167</v>
      </c>
      <c r="C419" s="79">
        <v>0</v>
      </c>
      <c r="D419" s="79">
        <v>0</v>
      </c>
      <c r="E419" s="83">
        <v>0</v>
      </c>
    </row>
    <row r="420" spans="1:5" x14ac:dyDescent="0.25">
      <c r="A420" s="45" t="s">
        <v>90</v>
      </c>
      <c r="B420" s="6" t="s">
        <v>168</v>
      </c>
      <c r="C420" s="79">
        <v>0</v>
      </c>
      <c r="D420" s="79">
        <v>0</v>
      </c>
      <c r="E420" s="83">
        <v>0</v>
      </c>
    </row>
    <row r="421" spans="1:5" x14ac:dyDescent="0.25">
      <c r="A421" s="45" t="s">
        <v>90</v>
      </c>
      <c r="B421" s="6" t="s">
        <v>169</v>
      </c>
      <c r="C421" s="79">
        <v>0</v>
      </c>
      <c r="D421" s="79">
        <v>0</v>
      </c>
      <c r="E421" s="83">
        <v>0</v>
      </c>
    </row>
    <row r="422" spans="1:5" x14ac:dyDescent="0.25">
      <c r="A422" s="45" t="s">
        <v>106</v>
      </c>
      <c r="B422" s="6" t="s">
        <v>158</v>
      </c>
      <c r="C422" s="79">
        <v>0</v>
      </c>
      <c r="D422" s="79">
        <v>0</v>
      </c>
      <c r="E422" s="83">
        <v>0</v>
      </c>
    </row>
    <row r="423" spans="1:5" x14ac:dyDescent="0.25">
      <c r="A423" s="45" t="s">
        <v>106</v>
      </c>
      <c r="B423" s="6" t="s">
        <v>159</v>
      </c>
      <c r="C423" s="79">
        <v>0</v>
      </c>
      <c r="D423" s="79">
        <v>0</v>
      </c>
      <c r="E423" s="83">
        <v>0</v>
      </c>
    </row>
    <row r="424" spans="1:5" x14ac:dyDescent="0.25">
      <c r="A424" s="45" t="s">
        <v>106</v>
      </c>
      <c r="B424" s="6" t="s">
        <v>160</v>
      </c>
      <c r="C424" s="79">
        <v>0</v>
      </c>
      <c r="D424" s="79">
        <v>0</v>
      </c>
      <c r="E424" s="83">
        <v>0</v>
      </c>
    </row>
    <row r="425" spans="1:5" x14ac:dyDescent="0.25">
      <c r="A425" s="45" t="s">
        <v>106</v>
      </c>
      <c r="B425" s="6" t="s">
        <v>161</v>
      </c>
      <c r="C425" s="79">
        <v>0</v>
      </c>
      <c r="D425" s="79">
        <v>0</v>
      </c>
      <c r="E425" s="83">
        <v>0</v>
      </c>
    </row>
    <row r="426" spans="1:5" x14ac:dyDescent="0.25">
      <c r="A426" s="45" t="s">
        <v>106</v>
      </c>
      <c r="B426" s="6" t="s">
        <v>162</v>
      </c>
      <c r="C426" s="79">
        <v>0</v>
      </c>
      <c r="D426" s="79">
        <v>0</v>
      </c>
      <c r="E426" s="83">
        <v>0</v>
      </c>
    </row>
    <row r="427" spans="1:5" x14ac:dyDescent="0.25">
      <c r="A427" s="45" t="s">
        <v>106</v>
      </c>
      <c r="B427" s="6" t="s">
        <v>163</v>
      </c>
      <c r="C427" s="79">
        <v>0</v>
      </c>
      <c r="D427" s="79">
        <v>0</v>
      </c>
      <c r="E427" s="83">
        <v>0</v>
      </c>
    </row>
    <row r="428" spans="1:5" x14ac:dyDescent="0.25">
      <c r="A428" s="45" t="s">
        <v>106</v>
      </c>
      <c r="B428" s="6" t="s">
        <v>164</v>
      </c>
      <c r="C428" s="79">
        <v>0</v>
      </c>
      <c r="D428" s="79">
        <v>0</v>
      </c>
      <c r="E428" s="83">
        <v>0</v>
      </c>
    </row>
    <row r="429" spans="1:5" x14ac:dyDescent="0.25">
      <c r="A429" s="45" t="s">
        <v>106</v>
      </c>
      <c r="B429" s="6" t="s">
        <v>165</v>
      </c>
      <c r="C429" s="79">
        <v>0</v>
      </c>
      <c r="D429" s="79">
        <v>0</v>
      </c>
      <c r="E429" s="83">
        <v>0</v>
      </c>
    </row>
    <row r="430" spans="1:5" x14ac:dyDescent="0.25">
      <c r="A430" s="45" t="s">
        <v>106</v>
      </c>
      <c r="B430" s="6" t="s">
        <v>166</v>
      </c>
      <c r="C430" s="79">
        <v>0</v>
      </c>
      <c r="D430" s="79">
        <v>0</v>
      </c>
      <c r="E430" s="83">
        <v>0</v>
      </c>
    </row>
    <row r="431" spans="1:5" x14ac:dyDescent="0.25">
      <c r="A431" s="45" t="s">
        <v>106</v>
      </c>
      <c r="B431" s="6" t="s">
        <v>167</v>
      </c>
      <c r="C431" s="79">
        <v>0</v>
      </c>
      <c r="D431" s="79">
        <v>1</v>
      </c>
      <c r="E431" s="83">
        <v>0</v>
      </c>
    </row>
    <row r="432" spans="1:5" x14ac:dyDescent="0.25">
      <c r="A432" s="45" t="s">
        <v>106</v>
      </c>
      <c r="B432" s="6" t="s">
        <v>168</v>
      </c>
      <c r="C432" s="79">
        <v>0</v>
      </c>
      <c r="D432" s="79">
        <v>1</v>
      </c>
      <c r="E432" s="83">
        <v>2</v>
      </c>
    </row>
    <row r="433" spans="1:5" x14ac:dyDescent="0.25">
      <c r="A433" s="45" t="s">
        <v>106</v>
      </c>
      <c r="B433" s="6" t="s">
        <v>169</v>
      </c>
      <c r="C433" s="79">
        <v>0</v>
      </c>
      <c r="D433" s="79">
        <v>0</v>
      </c>
      <c r="E433" s="83">
        <v>0</v>
      </c>
    </row>
    <row r="434" spans="1:5" x14ac:dyDescent="0.25">
      <c r="A434" s="45" t="s">
        <v>110</v>
      </c>
      <c r="B434" s="6" t="s">
        <v>158</v>
      </c>
      <c r="C434" s="79">
        <v>0</v>
      </c>
      <c r="D434" s="79">
        <v>0</v>
      </c>
      <c r="E434" s="83">
        <v>0</v>
      </c>
    </row>
    <row r="435" spans="1:5" x14ac:dyDescent="0.25">
      <c r="A435" s="45" t="s">
        <v>110</v>
      </c>
      <c r="B435" s="6" t="s">
        <v>159</v>
      </c>
      <c r="C435" s="79">
        <v>0</v>
      </c>
      <c r="D435" s="79">
        <v>0</v>
      </c>
      <c r="E435" s="83">
        <v>0</v>
      </c>
    </row>
    <row r="436" spans="1:5" x14ac:dyDescent="0.25">
      <c r="A436" s="45" t="s">
        <v>110</v>
      </c>
      <c r="B436" s="6" t="s">
        <v>160</v>
      </c>
      <c r="C436" s="79">
        <v>0</v>
      </c>
      <c r="D436" s="79">
        <v>0</v>
      </c>
      <c r="E436" s="83">
        <v>0</v>
      </c>
    </row>
    <row r="437" spans="1:5" x14ac:dyDescent="0.25">
      <c r="A437" s="45" t="s">
        <v>110</v>
      </c>
      <c r="B437" s="6" t="s">
        <v>161</v>
      </c>
      <c r="C437" s="79">
        <v>0</v>
      </c>
      <c r="D437" s="79">
        <v>0</v>
      </c>
      <c r="E437" s="83">
        <v>2</v>
      </c>
    </row>
    <row r="438" spans="1:5" x14ac:dyDescent="0.25">
      <c r="A438" s="45" t="s">
        <v>110</v>
      </c>
      <c r="B438" s="6" t="s">
        <v>162</v>
      </c>
      <c r="C438" s="79">
        <v>0</v>
      </c>
      <c r="D438" s="79">
        <v>0</v>
      </c>
      <c r="E438" s="83">
        <v>0</v>
      </c>
    </row>
    <row r="439" spans="1:5" x14ac:dyDescent="0.25">
      <c r="A439" s="45" t="s">
        <v>110</v>
      </c>
      <c r="B439" s="6" t="s">
        <v>163</v>
      </c>
      <c r="C439" s="79">
        <v>0</v>
      </c>
      <c r="D439" s="79">
        <v>0</v>
      </c>
      <c r="E439" s="83">
        <v>0</v>
      </c>
    </row>
    <row r="440" spans="1:5" x14ac:dyDescent="0.25">
      <c r="A440" s="45" t="s">
        <v>110</v>
      </c>
      <c r="B440" s="6" t="s">
        <v>164</v>
      </c>
      <c r="C440" s="79">
        <v>0</v>
      </c>
      <c r="D440" s="79">
        <v>0</v>
      </c>
      <c r="E440" s="83">
        <v>2</v>
      </c>
    </row>
    <row r="441" spans="1:5" x14ac:dyDescent="0.25">
      <c r="A441" s="45" t="s">
        <v>110</v>
      </c>
      <c r="B441" s="6" t="s">
        <v>165</v>
      </c>
      <c r="C441" s="79">
        <v>0</v>
      </c>
      <c r="D441" s="79">
        <v>0</v>
      </c>
      <c r="E441" s="83">
        <v>0</v>
      </c>
    </row>
    <row r="442" spans="1:5" x14ac:dyDescent="0.25">
      <c r="A442" s="45" t="s">
        <v>110</v>
      </c>
      <c r="B442" s="6" t="s">
        <v>166</v>
      </c>
      <c r="C442" s="79">
        <v>0</v>
      </c>
      <c r="D442" s="79">
        <v>0</v>
      </c>
      <c r="E442" s="83">
        <v>0</v>
      </c>
    </row>
    <row r="443" spans="1:5" x14ac:dyDescent="0.25">
      <c r="A443" s="45" t="s">
        <v>110</v>
      </c>
      <c r="B443" s="6" t="s">
        <v>167</v>
      </c>
      <c r="C443" s="79">
        <v>0</v>
      </c>
      <c r="D443" s="79">
        <v>0</v>
      </c>
      <c r="E443" s="83">
        <v>0</v>
      </c>
    </row>
    <row r="444" spans="1:5" x14ac:dyDescent="0.25">
      <c r="A444" s="45" t="s">
        <v>110</v>
      </c>
      <c r="B444" s="6" t="s">
        <v>168</v>
      </c>
      <c r="C444" s="79">
        <v>0</v>
      </c>
      <c r="D444" s="79">
        <v>0</v>
      </c>
      <c r="E444" s="83">
        <v>0</v>
      </c>
    </row>
    <row r="445" spans="1:5" x14ac:dyDescent="0.25">
      <c r="A445" s="45" t="s">
        <v>110</v>
      </c>
      <c r="B445" s="6" t="s">
        <v>169</v>
      </c>
      <c r="C445" s="79">
        <v>0</v>
      </c>
      <c r="D445" s="79">
        <v>0</v>
      </c>
      <c r="E445" s="83">
        <v>0</v>
      </c>
    </row>
    <row r="446" spans="1:5" x14ac:dyDescent="0.25">
      <c r="A446" s="45" t="s">
        <v>32</v>
      </c>
      <c r="B446" s="6" t="s">
        <v>158</v>
      </c>
      <c r="C446" s="79">
        <v>0</v>
      </c>
      <c r="D446" s="79">
        <v>0</v>
      </c>
      <c r="E446" s="83">
        <v>0</v>
      </c>
    </row>
    <row r="447" spans="1:5" x14ac:dyDescent="0.25">
      <c r="A447" s="45" t="s">
        <v>32</v>
      </c>
      <c r="B447" s="6" t="s">
        <v>159</v>
      </c>
      <c r="C447" s="79">
        <v>0</v>
      </c>
      <c r="D447" s="79">
        <v>0</v>
      </c>
      <c r="E447" s="83">
        <v>0</v>
      </c>
    </row>
    <row r="448" spans="1:5" x14ac:dyDescent="0.25">
      <c r="A448" s="45" t="s">
        <v>32</v>
      </c>
      <c r="B448" s="6" t="s">
        <v>160</v>
      </c>
      <c r="C448" s="79">
        <v>0</v>
      </c>
      <c r="D448" s="79">
        <v>0</v>
      </c>
      <c r="E448" s="83">
        <v>0</v>
      </c>
    </row>
    <row r="449" spans="1:5" x14ac:dyDescent="0.25">
      <c r="A449" s="45" t="s">
        <v>32</v>
      </c>
      <c r="B449" s="6" t="s">
        <v>161</v>
      </c>
      <c r="C449" s="79">
        <v>0</v>
      </c>
      <c r="D449" s="79">
        <v>0</v>
      </c>
      <c r="E449" s="83">
        <v>0</v>
      </c>
    </row>
    <row r="450" spans="1:5" x14ac:dyDescent="0.25">
      <c r="A450" s="45" t="s">
        <v>32</v>
      </c>
      <c r="B450" s="6" t="s">
        <v>162</v>
      </c>
      <c r="C450" s="79">
        <v>0</v>
      </c>
      <c r="D450" s="79">
        <v>0</v>
      </c>
      <c r="E450" s="83">
        <v>0</v>
      </c>
    </row>
    <row r="451" spans="1:5" x14ac:dyDescent="0.25">
      <c r="A451" s="45" t="s">
        <v>32</v>
      </c>
      <c r="B451" s="6" t="s">
        <v>163</v>
      </c>
      <c r="C451" s="79">
        <v>0</v>
      </c>
      <c r="D451" s="79">
        <v>0</v>
      </c>
      <c r="E451" s="83">
        <v>0</v>
      </c>
    </row>
    <row r="452" spans="1:5" x14ac:dyDescent="0.25">
      <c r="A452" s="45" t="s">
        <v>32</v>
      </c>
      <c r="B452" s="6" t="s">
        <v>164</v>
      </c>
      <c r="C452" s="79">
        <v>0</v>
      </c>
      <c r="D452" s="79">
        <v>0</v>
      </c>
      <c r="E452" s="83">
        <v>0</v>
      </c>
    </row>
    <row r="453" spans="1:5" x14ac:dyDescent="0.25">
      <c r="A453" s="45" t="s">
        <v>32</v>
      </c>
      <c r="B453" s="6" t="s">
        <v>165</v>
      </c>
      <c r="C453" s="79">
        <v>0</v>
      </c>
      <c r="D453" s="79">
        <v>0</v>
      </c>
      <c r="E453" s="83">
        <v>0</v>
      </c>
    </row>
    <row r="454" spans="1:5" x14ac:dyDescent="0.25">
      <c r="A454" s="45" t="s">
        <v>32</v>
      </c>
      <c r="B454" s="6" t="s">
        <v>166</v>
      </c>
      <c r="C454" s="79">
        <v>0</v>
      </c>
      <c r="D454" s="79">
        <v>0</v>
      </c>
      <c r="E454" s="83">
        <v>0</v>
      </c>
    </row>
    <row r="455" spans="1:5" x14ac:dyDescent="0.25">
      <c r="A455" s="45" t="s">
        <v>32</v>
      </c>
      <c r="B455" s="6" t="s">
        <v>167</v>
      </c>
      <c r="C455" s="79">
        <v>0</v>
      </c>
      <c r="D455" s="79">
        <v>0</v>
      </c>
      <c r="E455" s="83">
        <v>0</v>
      </c>
    </row>
    <row r="456" spans="1:5" x14ac:dyDescent="0.25">
      <c r="A456" s="45" t="s">
        <v>32</v>
      </c>
      <c r="B456" s="6" t="s">
        <v>168</v>
      </c>
      <c r="C456" s="79">
        <v>0</v>
      </c>
      <c r="D456" s="79">
        <v>0</v>
      </c>
      <c r="E456" s="83">
        <v>0</v>
      </c>
    </row>
    <row r="457" spans="1:5" x14ac:dyDescent="0.25">
      <c r="A457" s="45" t="s">
        <v>32</v>
      </c>
      <c r="B457" s="6" t="s">
        <v>169</v>
      </c>
      <c r="C457" s="79">
        <v>0</v>
      </c>
      <c r="D457" s="79">
        <v>0</v>
      </c>
      <c r="E457" s="83">
        <v>0</v>
      </c>
    </row>
    <row r="458" spans="1:5" x14ac:dyDescent="0.25">
      <c r="A458" s="45" t="s">
        <v>150</v>
      </c>
      <c r="B458" s="6" t="s">
        <v>158</v>
      </c>
      <c r="C458" s="79">
        <v>0</v>
      </c>
      <c r="D458" s="79">
        <v>0</v>
      </c>
      <c r="E458" s="83">
        <v>0</v>
      </c>
    </row>
    <row r="459" spans="1:5" x14ac:dyDescent="0.25">
      <c r="A459" s="45" t="s">
        <v>150</v>
      </c>
      <c r="B459" s="6" t="s">
        <v>159</v>
      </c>
      <c r="C459" s="79">
        <v>0</v>
      </c>
      <c r="D459" s="79">
        <v>1</v>
      </c>
      <c r="E459" s="83">
        <v>2</v>
      </c>
    </row>
    <row r="460" spans="1:5" x14ac:dyDescent="0.25">
      <c r="A460" s="45" t="s">
        <v>150</v>
      </c>
      <c r="B460" s="6" t="s">
        <v>160</v>
      </c>
      <c r="C460" s="79">
        <v>0</v>
      </c>
      <c r="D460" s="79">
        <v>0</v>
      </c>
      <c r="E460" s="83">
        <v>0</v>
      </c>
    </row>
    <row r="461" spans="1:5" x14ac:dyDescent="0.25">
      <c r="A461" s="45" t="s">
        <v>150</v>
      </c>
      <c r="B461" s="6" t="s">
        <v>161</v>
      </c>
      <c r="C461" s="79">
        <v>0</v>
      </c>
      <c r="D461" s="79">
        <v>0</v>
      </c>
      <c r="E461" s="83">
        <v>1</v>
      </c>
    </row>
    <row r="462" spans="1:5" x14ac:dyDescent="0.25">
      <c r="A462" s="45" t="s">
        <v>150</v>
      </c>
      <c r="B462" s="6" t="s">
        <v>162</v>
      </c>
      <c r="C462" s="79">
        <v>0</v>
      </c>
      <c r="D462" s="79">
        <v>1</v>
      </c>
      <c r="E462" s="83">
        <v>0</v>
      </c>
    </row>
    <row r="463" spans="1:5" x14ac:dyDescent="0.25">
      <c r="A463" s="45" t="s">
        <v>150</v>
      </c>
      <c r="B463" s="6" t="s">
        <v>163</v>
      </c>
      <c r="C463" s="79">
        <v>0</v>
      </c>
      <c r="D463" s="79">
        <v>0</v>
      </c>
      <c r="E463" s="83">
        <v>0</v>
      </c>
    </row>
    <row r="464" spans="1:5" x14ac:dyDescent="0.25">
      <c r="A464" s="45" t="s">
        <v>150</v>
      </c>
      <c r="B464" s="6" t="s">
        <v>164</v>
      </c>
      <c r="C464" s="79">
        <v>0</v>
      </c>
      <c r="D464" s="79">
        <v>2</v>
      </c>
      <c r="E464" s="83">
        <v>1</v>
      </c>
    </row>
    <row r="465" spans="1:5" x14ac:dyDescent="0.25">
      <c r="A465" s="45" t="s">
        <v>150</v>
      </c>
      <c r="B465" s="6" t="s">
        <v>165</v>
      </c>
      <c r="C465" s="79">
        <v>0</v>
      </c>
      <c r="D465" s="79">
        <v>0</v>
      </c>
      <c r="E465" s="83">
        <v>1</v>
      </c>
    </row>
    <row r="466" spans="1:5" x14ac:dyDescent="0.25">
      <c r="A466" s="45" t="s">
        <v>150</v>
      </c>
      <c r="B466" s="6" t="s">
        <v>166</v>
      </c>
      <c r="C466" s="79">
        <v>0</v>
      </c>
      <c r="D466" s="79">
        <v>0</v>
      </c>
      <c r="E466" s="83">
        <v>0</v>
      </c>
    </row>
    <row r="467" spans="1:5" x14ac:dyDescent="0.25">
      <c r="A467" s="45" t="s">
        <v>150</v>
      </c>
      <c r="B467" s="6" t="s">
        <v>167</v>
      </c>
      <c r="C467" s="79">
        <v>0</v>
      </c>
      <c r="D467" s="79">
        <v>0</v>
      </c>
      <c r="E467" s="83">
        <v>0</v>
      </c>
    </row>
    <row r="468" spans="1:5" x14ac:dyDescent="0.25">
      <c r="A468" s="45" t="s">
        <v>150</v>
      </c>
      <c r="B468" s="6" t="s">
        <v>168</v>
      </c>
      <c r="C468" s="79">
        <v>0</v>
      </c>
      <c r="D468" s="79">
        <v>0</v>
      </c>
      <c r="E468" s="83">
        <v>0</v>
      </c>
    </row>
    <row r="469" spans="1:5" x14ac:dyDescent="0.25">
      <c r="A469" s="45" t="s">
        <v>150</v>
      </c>
      <c r="B469" s="6" t="s">
        <v>169</v>
      </c>
      <c r="C469" s="79">
        <v>0</v>
      </c>
      <c r="D469" s="79">
        <v>0</v>
      </c>
      <c r="E469" s="83">
        <v>0</v>
      </c>
    </row>
    <row r="470" spans="1:5" x14ac:dyDescent="0.25">
      <c r="A470" s="45" t="s">
        <v>71</v>
      </c>
      <c r="B470" s="6" t="s">
        <v>158</v>
      </c>
      <c r="C470" s="79">
        <v>0</v>
      </c>
      <c r="D470" s="79">
        <v>0</v>
      </c>
      <c r="E470" s="83">
        <v>0</v>
      </c>
    </row>
    <row r="471" spans="1:5" x14ac:dyDescent="0.25">
      <c r="A471" s="45" t="s">
        <v>71</v>
      </c>
      <c r="B471" s="6" t="s">
        <v>159</v>
      </c>
      <c r="C471" s="79">
        <v>0</v>
      </c>
      <c r="D471" s="79">
        <v>0</v>
      </c>
      <c r="E471" s="83">
        <v>0</v>
      </c>
    </row>
    <row r="472" spans="1:5" x14ac:dyDescent="0.25">
      <c r="A472" s="45" t="s">
        <v>71</v>
      </c>
      <c r="B472" s="6" t="s">
        <v>160</v>
      </c>
      <c r="C472" s="79">
        <v>0</v>
      </c>
      <c r="D472" s="79">
        <v>0</v>
      </c>
      <c r="E472" s="83">
        <v>0</v>
      </c>
    </row>
    <row r="473" spans="1:5" x14ac:dyDescent="0.25">
      <c r="A473" s="45" t="s">
        <v>71</v>
      </c>
      <c r="B473" s="6" t="s">
        <v>161</v>
      </c>
      <c r="C473" s="79">
        <v>0</v>
      </c>
      <c r="D473" s="79">
        <v>0</v>
      </c>
      <c r="E473" s="83">
        <v>0</v>
      </c>
    </row>
    <row r="474" spans="1:5" x14ac:dyDescent="0.25">
      <c r="A474" s="45" t="s">
        <v>71</v>
      </c>
      <c r="B474" s="6" t="s">
        <v>162</v>
      </c>
      <c r="C474" s="79">
        <v>0</v>
      </c>
      <c r="D474" s="79">
        <v>0</v>
      </c>
      <c r="E474" s="83">
        <v>0</v>
      </c>
    </row>
    <row r="475" spans="1:5" x14ac:dyDescent="0.25">
      <c r="A475" s="45" t="s">
        <v>71</v>
      </c>
      <c r="B475" s="6" t="s">
        <v>163</v>
      </c>
      <c r="C475" s="79">
        <v>0</v>
      </c>
      <c r="D475" s="79">
        <v>0</v>
      </c>
      <c r="E475" s="83">
        <v>0</v>
      </c>
    </row>
    <row r="476" spans="1:5" x14ac:dyDescent="0.25">
      <c r="A476" s="45" t="s">
        <v>71</v>
      </c>
      <c r="B476" s="6" t="s">
        <v>164</v>
      </c>
      <c r="C476" s="79">
        <v>0</v>
      </c>
      <c r="D476" s="79">
        <v>0</v>
      </c>
      <c r="E476" s="83">
        <v>0</v>
      </c>
    </row>
    <row r="477" spans="1:5" x14ac:dyDescent="0.25">
      <c r="A477" s="45" t="s">
        <v>71</v>
      </c>
      <c r="B477" s="6" t="s">
        <v>165</v>
      </c>
      <c r="C477" s="79">
        <v>0</v>
      </c>
      <c r="D477" s="79">
        <v>0</v>
      </c>
      <c r="E477" s="83">
        <v>0</v>
      </c>
    </row>
    <row r="478" spans="1:5" x14ac:dyDescent="0.25">
      <c r="A478" s="45" t="s">
        <v>71</v>
      </c>
      <c r="B478" s="6" t="s">
        <v>166</v>
      </c>
      <c r="C478" s="79">
        <v>0</v>
      </c>
      <c r="D478" s="79">
        <v>0</v>
      </c>
      <c r="E478" s="83">
        <v>0</v>
      </c>
    </row>
    <row r="479" spans="1:5" x14ac:dyDescent="0.25">
      <c r="A479" s="45" t="s">
        <v>71</v>
      </c>
      <c r="B479" s="6" t="s">
        <v>167</v>
      </c>
      <c r="C479" s="79">
        <v>0</v>
      </c>
      <c r="D479" s="79">
        <v>0</v>
      </c>
      <c r="E479" s="83">
        <v>0</v>
      </c>
    </row>
    <row r="480" spans="1:5" x14ac:dyDescent="0.25">
      <c r="A480" s="45" t="s">
        <v>71</v>
      </c>
      <c r="B480" s="6" t="s">
        <v>168</v>
      </c>
      <c r="C480" s="79">
        <v>0</v>
      </c>
      <c r="D480" s="79">
        <v>0</v>
      </c>
      <c r="E480" s="83">
        <v>0</v>
      </c>
    </row>
    <row r="481" spans="1:5" x14ac:dyDescent="0.25">
      <c r="A481" s="45" t="s">
        <v>71</v>
      </c>
      <c r="B481" s="6" t="s">
        <v>169</v>
      </c>
      <c r="C481" s="79">
        <v>0</v>
      </c>
      <c r="D481" s="79">
        <v>0</v>
      </c>
      <c r="E481" s="83">
        <v>0</v>
      </c>
    </row>
    <row r="482" spans="1:5" x14ac:dyDescent="0.25">
      <c r="A482" s="45" t="s">
        <v>84</v>
      </c>
      <c r="B482" s="6" t="s">
        <v>158</v>
      </c>
      <c r="C482" s="79">
        <v>0</v>
      </c>
      <c r="D482" s="79">
        <v>0</v>
      </c>
      <c r="E482" s="83">
        <v>0</v>
      </c>
    </row>
    <row r="483" spans="1:5" x14ac:dyDescent="0.25">
      <c r="A483" s="45" t="s">
        <v>84</v>
      </c>
      <c r="B483" s="6" t="s">
        <v>159</v>
      </c>
      <c r="C483" s="79">
        <v>0</v>
      </c>
      <c r="D483" s="79">
        <v>0</v>
      </c>
      <c r="E483" s="83">
        <v>0</v>
      </c>
    </row>
    <row r="484" spans="1:5" x14ac:dyDescent="0.25">
      <c r="A484" s="45" t="s">
        <v>84</v>
      </c>
      <c r="B484" s="6" t="s">
        <v>160</v>
      </c>
      <c r="C484" s="79">
        <v>0</v>
      </c>
      <c r="D484" s="79">
        <v>0</v>
      </c>
      <c r="E484" s="83">
        <v>0</v>
      </c>
    </row>
    <row r="485" spans="1:5" x14ac:dyDescent="0.25">
      <c r="A485" s="45" t="s">
        <v>84</v>
      </c>
      <c r="B485" s="6" t="s">
        <v>161</v>
      </c>
      <c r="C485" s="79">
        <v>0</v>
      </c>
      <c r="D485" s="79">
        <v>0</v>
      </c>
      <c r="E485" s="83">
        <v>0</v>
      </c>
    </row>
    <row r="486" spans="1:5" x14ac:dyDescent="0.25">
      <c r="A486" s="45" t="s">
        <v>84</v>
      </c>
      <c r="B486" s="6" t="s">
        <v>162</v>
      </c>
      <c r="C486" s="79">
        <v>0</v>
      </c>
      <c r="D486" s="79">
        <v>0</v>
      </c>
      <c r="E486" s="83">
        <v>0</v>
      </c>
    </row>
    <row r="487" spans="1:5" x14ac:dyDescent="0.25">
      <c r="A487" s="45" t="s">
        <v>84</v>
      </c>
      <c r="B487" s="6" t="s">
        <v>163</v>
      </c>
      <c r="C487" s="79">
        <v>0</v>
      </c>
      <c r="D487" s="79">
        <v>0</v>
      </c>
      <c r="E487" s="83">
        <v>0</v>
      </c>
    </row>
    <row r="488" spans="1:5" x14ac:dyDescent="0.25">
      <c r="A488" s="45" t="s">
        <v>84</v>
      </c>
      <c r="B488" s="6" t="s">
        <v>164</v>
      </c>
      <c r="C488" s="79">
        <v>0</v>
      </c>
      <c r="D488" s="79">
        <v>0</v>
      </c>
      <c r="E488" s="83">
        <v>0</v>
      </c>
    </row>
    <row r="489" spans="1:5" x14ac:dyDescent="0.25">
      <c r="A489" s="45" t="s">
        <v>84</v>
      </c>
      <c r="B489" s="6" t="s">
        <v>165</v>
      </c>
      <c r="C489" s="79">
        <v>0</v>
      </c>
      <c r="D489" s="79">
        <v>0</v>
      </c>
      <c r="E489" s="83">
        <v>0</v>
      </c>
    </row>
    <row r="490" spans="1:5" x14ac:dyDescent="0.25">
      <c r="A490" s="45" t="s">
        <v>84</v>
      </c>
      <c r="B490" s="6" t="s">
        <v>166</v>
      </c>
      <c r="C490" s="79">
        <v>0</v>
      </c>
      <c r="D490" s="79">
        <v>0</v>
      </c>
      <c r="E490" s="83">
        <v>0</v>
      </c>
    </row>
    <row r="491" spans="1:5" x14ac:dyDescent="0.25">
      <c r="A491" s="45" t="s">
        <v>84</v>
      </c>
      <c r="B491" s="6" t="s">
        <v>167</v>
      </c>
      <c r="C491" s="79">
        <v>0</v>
      </c>
      <c r="D491" s="79">
        <v>0</v>
      </c>
      <c r="E491" s="83">
        <v>0</v>
      </c>
    </row>
    <row r="492" spans="1:5" x14ac:dyDescent="0.25">
      <c r="A492" s="45" t="s">
        <v>84</v>
      </c>
      <c r="B492" s="6" t="s">
        <v>168</v>
      </c>
      <c r="C492" s="79">
        <v>0</v>
      </c>
      <c r="D492" s="79">
        <v>0</v>
      </c>
      <c r="E492" s="83">
        <v>0</v>
      </c>
    </row>
    <row r="493" spans="1:5" x14ac:dyDescent="0.25">
      <c r="A493" s="45" t="s">
        <v>84</v>
      </c>
      <c r="B493" s="6" t="s">
        <v>169</v>
      </c>
      <c r="C493" s="79">
        <v>0</v>
      </c>
      <c r="D493" s="79">
        <v>0</v>
      </c>
      <c r="E493" s="83">
        <v>0</v>
      </c>
    </row>
    <row r="494" spans="1:5" x14ac:dyDescent="0.25">
      <c r="A494" s="45" t="s">
        <v>81</v>
      </c>
      <c r="B494" s="6" t="s">
        <v>158</v>
      </c>
      <c r="C494" s="79">
        <v>0</v>
      </c>
      <c r="D494" s="79">
        <v>0</v>
      </c>
      <c r="E494" s="83">
        <v>0</v>
      </c>
    </row>
    <row r="495" spans="1:5" x14ac:dyDescent="0.25">
      <c r="A495" s="45" t="s">
        <v>81</v>
      </c>
      <c r="B495" s="6" t="s">
        <v>159</v>
      </c>
      <c r="C495" s="79">
        <v>0</v>
      </c>
      <c r="D495" s="79">
        <v>0</v>
      </c>
      <c r="E495" s="83">
        <v>0</v>
      </c>
    </row>
    <row r="496" spans="1:5" x14ac:dyDescent="0.25">
      <c r="A496" s="45" t="s">
        <v>81</v>
      </c>
      <c r="B496" s="6" t="s">
        <v>160</v>
      </c>
      <c r="C496" s="79">
        <v>0</v>
      </c>
      <c r="D496" s="79">
        <v>0</v>
      </c>
      <c r="E496" s="83">
        <v>0</v>
      </c>
    </row>
    <row r="497" spans="1:5" x14ac:dyDescent="0.25">
      <c r="A497" s="45" t="s">
        <v>81</v>
      </c>
      <c r="B497" s="6" t="s">
        <v>161</v>
      </c>
      <c r="C497" s="79">
        <v>0</v>
      </c>
      <c r="D497" s="79">
        <v>0</v>
      </c>
      <c r="E497" s="83">
        <v>0</v>
      </c>
    </row>
    <row r="498" spans="1:5" x14ac:dyDescent="0.25">
      <c r="A498" s="45" t="s">
        <v>81</v>
      </c>
      <c r="B498" s="6" t="s">
        <v>162</v>
      </c>
      <c r="C498" s="79">
        <v>0</v>
      </c>
      <c r="D498" s="79">
        <v>0</v>
      </c>
      <c r="E498" s="83">
        <v>0</v>
      </c>
    </row>
    <row r="499" spans="1:5" x14ac:dyDescent="0.25">
      <c r="A499" s="45" t="s">
        <v>81</v>
      </c>
      <c r="B499" s="6" t="s">
        <v>163</v>
      </c>
      <c r="C499" s="79">
        <v>0</v>
      </c>
      <c r="D499" s="79">
        <v>0</v>
      </c>
      <c r="E499" s="83">
        <v>0</v>
      </c>
    </row>
    <row r="500" spans="1:5" x14ac:dyDescent="0.25">
      <c r="A500" s="45" t="s">
        <v>81</v>
      </c>
      <c r="B500" s="6" t="s">
        <v>164</v>
      </c>
      <c r="C500" s="79">
        <v>0</v>
      </c>
      <c r="D500" s="79">
        <v>0</v>
      </c>
      <c r="E500" s="83">
        <v>0</v>
      </c>
    </row>
    <row r="501" spans="1:5" x14ac:dyDescent="0.25">
      <c r="A501" s="45" t="s">
        <v>81</v>
      </c>
      <c r="B501" s="6" t="s">
        <v>165</v>
      </c>
      <c r="C501" s="79">
        <v>0</v>
      </c>
      <c r="D501" s="79">
        <v>0</v>
      </c>
      <c r="E501" s="83">
        <v>0</v>
      </c>
    </row>
    <row r="502" spans="1:5" x14ac:dyDescent="0.25">
      <c r="A502" s="45" t="s">
        <v>81</v>
      </c>
      <c r="B502" s="6" t="s">
        <v>166</v>
      </c>
      <c r="C502" s="79">
        <v>0</v>
      </c>
      <c r="D502" s="79">
        <v>0</v>
      </c>
      <c r="E502" s="83">
        <v>0</v>
      </c>
    </row>
    <row r="503" spans="1:5" x14ac:dyDescent="0.25">
      <c r="A503" s="45" t="s">
        <v>81</v>
      </c>
      <c r="B503" s="6" t="s">
        <v>167</v>
      </c>
      <c r="C503" s="79">
        <v>0</v>
      </c>
      <c r="D503" s="79">
        <v>0</v>
      </c>
      <c r="E503" s="83">
        <v>1</v>
      </c>
    </row>
    <row r="504" spans="1:5" x14ac:dyDescent="0.25">
      <c r="A504" s="45" t="s">
        <v>81</v>
      </c>
      <c r="B504" s="6" t="s">
        <v>168</v>
      </c>
      <c r="C504" s="79">
        <v>0</v>
      </c>
      <c r="D504" s="79">
        <v>0</v>
      </c>
      <c r="E504" s="83">
        <v>0</v>
      </c>
    </row>
    <row r="505" spans="1:5" x14ac:dyDescent="0.25">
      <c r="A505" s="45" t="s">
        <v>81</v>
      </c>
      <c r="B505" s="6" t="s">
        <v>169</v>
      </c>
      <c r="C505" s="79">
        <v>0</v>
      </c>
      <c r="D505" s="79">
        <v>0</v>
      </c>
      <c r="E505" s="83">
        <v>0</v>
      </c>
    </row>
    <row r="506" spans="1:5" x14ac:dyDescent="0.25">
      <c r="A506" s="45" t="s">
        <v>53</v>
      </c>
      <c r="B506" s="6" t="s">
        <v>158</v>
      </c>
      <c r="C506" s="79">
        <v>0</v>
      </c>
      <c r="D506" s="79">
        <v>0</v>
      </c>
      <c r="E506" s="83">
        <v>0</v>
      </c>
    </row>
    <row r="507" spans="1:5" x14ac:dyDescent="0.25">
      <c r="A507" s="45" t="s">
        <v>53</v>
      </c>
      <c r="B507" s="6" t="s">
        <v>159</v>
      </c>
      <c r="C507" s="79">
        <v>0</v>
      </c>
      <c r="D507" s="79">
        <v>0</v>
      </c>
      <c r="E507" s="83">
        <v>0</v>
      </c>
    </row>
    <row r="508" spans="1:5" x14ac:dyDescent="0.25">
      <c r="A508" s="45" t="s">
        <v>53</v>
      </c>
      <c r="B508" s="6" t="s">
        <v>160</v>
      </c>
      <c r="C508" s="79">
        <v>0</v>
      </c>
      <c r="D508" s="79">
        <v>0</v>
      </c>
      <c r="E508" s="83">
        <v>0</v>
      </c>
    </row>
    <row r="509" spans="1:5" x14ac:dyDescent="0.25">
      <c r="A509" s="45" t="s">
        <v>53</v>
      </c>
      <c r="B509" s="6" t="s">
        <v>161</v>
      </c>
      <c r="C509" s="79">
        <v>0</v>
      </c>
      <c r="D509" s="79">
        <v>2</v>
      </c>
      <c r="E509" s="83">
        <v>0</v>
      </c>
    </row>
    <row r="510" spans="1:5" x14ac:dyDescent="0.25">
      <c r="A510" s="45" t="s">
        <v>53</v>
      </c>
      <c r="B510" s="6" t="s">
        <v>162</v>
      </c>
      <c r="C510" s="79">
        <v>0</v>
      </c>
      <c r="D510" s="79">
        <v>0</v>
      </c>
      <c r="E510" s="83">
        <v>0</v>
      </c>
    </row>
    <row r="511" spans="1:5" x14ac:dyDescent="0.25">
      <c r="A511" s="45" t="s">
        <v>53</v>
      </c>
      <c r="B511" s="6" t="s">
        <v>163</v>
      </c>
      <c r="C511" s="79">
        <v>0</v>
      </c>
      <c r="D511" s="79">
        <v>0</v>
      </c>
      <c r="E511" s="83">
        <v>2</v>
      </c>
    </row>
    <row r="512" spans="1:5" x14ac:dyDescent="0.25">
      <c r="A512" s="45" t="s">
        <v>53</v>
      </c>
      <c r="B512" s="6" t="s">
        <v>164</v>
      </c>
      <c r="C512" s="79">
        <v>0</v>
      </c>
      <c r="D512" s="79">
        <v>2</v>
      </c>
      <c r="E512" s="83">
        <v>0</v>
      </c>
    </row>
    <row r="513" spans="1:5" x14ac:dyDescent="0.25">
      <c r="A513" s="45" t="s">
        <v>53</v>
      </c>
      <c r="B513" s="6" t="s">
        <v>165</v>
      </c>
      <c r="C513" s="79">
        <v>0</v>
      </c>
      <c r="D513" s="79">
        <v>0</v>
      </c>
      <c r="E513" s="83">
        <v>0</v>
      </c>
    </row>
    <row r="514" spans="1:5" x14ac:dyDescent="0.25">
      <c r="A514" s="45" t="s">
        <v>53</v>
      </c>
      <c r="B514" s="6" t="s">
        <v>166</v>
      </c>
      <c r="C514" s="79">
        <v>0</v>
      </c>
      <c r="D514" s="79">
        <v>0</v>
      </c>
      <c r="E514" s="83">
        <v>0</v>
      </c>
    </row>
    <row r="515" spans="1:5" x14ac:dyDescent="0.25">
      <c r="A515" s="45" t="s">
        <v>53</v>
      </c>
      <c r="B515" s="6" t="s">
        <v>167</v>
      </c>
      <c r="C515" s="79">
        <v>0</v>
      </c>
      <c r="D515" s="79">
        <v>0</v>
      </c>
      <c r="E515" s="83">
        <v>3</v>
      </c>
    </row>
    <row r="516" spans="1:5" x14ac:dyDescent="0.25">
      <c r="A516" s="45" t="s">
        <v>53</v>
      </c>
      <c r="B516" s="6" t="s">
        <v>168</v>
      </c>
      <c r="C516" s="79">
        <v>0</v>
      </c>
      <c r="D516" s="79">
        <v>0</v>
      </c>
      <c r="E516" s="83">
        <v>2</v>
      </c>
    </row>
    <row r="517" spans="1:5" x14ac:dyDescent="0.25">
      <c r="A517" s="45" t="s">
        <v>53</v>
      </c>
      <c r="B517" s="6" t="s">
        <v>169</v>
      </c>
      <c r="C517" s="79">
        <v>0</v>
      </c>
      <c r="D517" s="79">
        <v>0</v>
      </c>
      <c r="E517" s="83">
        <v>3</v>
      </c>
    </row>
    <row r="518" spans="1:5" x14ac:dyDescent="0.25">
      <c r="A518" s="45" t="s">
        <v>109</v>
      </c>
      <c r="B518" s="6" t="s">
        <v>158</v>
      </c>
      <c r="C518" s="79">
        <v>0</v>
      </c>
      <c r="D518" s="79">
        <v>0</v>
      </c>
      <c r="E518" s="83">
        <v>0</v>
      </c>
    </row>
    <row r="519" spans="1:5" x14ac:dyDescent="0.25">
      <c r="A519" s="45" t="s">
        <v>109</v>
      </c>
      <c r="B519" s="6" t="s">
        <v>159</v>
      </c>
      <c r="C519" s="79">
        <v>0</v>
      </c>
      <c r="D519" s="79">
        <v>2</v>
      </c>
      <c r="E519" s="83">
        <v>0</v>
      </c>
    </row>
    <row r="520" spans="1:5" x14ac:dyDescent="0.25">
      <c r="A520" s="45" t="s">
        <v>109</v>
      </c>
      <c r="B520" s="6" t="s">
        <v>160</v>
      </c>
      <c r="C520" s="79">
        <v>0</v>
      </c>
      <c r="D520" s="79">
        <v>0</v>
      </c>
      <c r="E520" s="83">
        <v>0</v>
      </c>
    </row>
    <row r="521" spans="1:5" x14ac:dyDescent="0.25">
      <c r="A521" s="45" t="s">
        <v>109</v>
      </c>
      <c r="B521" s="6" t="s">
        <v>161</v>
      </c>
      <c r="C521" s="79">
        <v>0</v>
      </c>
      <c r="D521" s="79">
        <v>0</v>
      </c>
      <c r="E521" s="83">
        <v>1</v>
      </c>
    </row>
    <row r="522" spans="1:5" x14ac:dyDescent="0.25">
      <c r="A522" s="45" t="s">
        <v>109</v>
      </c>
      <c r="B522" s="6" t="s">
        <v>162</v>
      </c>
      <c r="C522" s="79">
        <v>0</v>
      </c>
      <c r="D522" s="79">
        <v>0</v>
      </c>
      <c r="E522" s="83">
        <v>1</v>
      </c>
    </row>
    <row r="523" spans="1:5" x14ac:dyDescent="0.25">
      <c r="A523" s="45" t="s">
        <v>109</v>
      </c>
      <c r="B523" s="6" t="s">
        <v>163</v>
      </c>
      <c r="C523" s="79">
        <v>0</v>
      </c>
      <c r="D523" s="79">
        <v>1</v>
      </c>
      <c r="E523" s="83">
        <v>0</v>
      </c>
    </row>
    <row r="524" spans="1:5" x14ac:dyDescent="0.25">
      <c r="A524" s="45" t="s">
        <v>109</v>
      </c>
      <c r="B524" s="6" t="s">
        <v>164</v>
      </c>
      <c r="C524" s="79">
        <v>0</v>
      </c>
      <c r="D524" s="79">
        <v>0</v>
      </c>
      <c r="E524" s="83">
        <v>0</v>
      </c>
    </row>
    <row r="525" spans="1:5" x14ac:dyDescent="0.25">
      <c r="A525" s="45" t="s">
        <v>109</v>
      </c>
      <c r="B525" s="6" t="s">
        <v>165</v>
      </c>
      <c r="C525" s="79">
        <v>0</v>
      </c>
      <c r="D525" s="79">
        <v>0</v>
      </c>
      <c r="E525" s="83">
        <v>0</v>
      </c>
    </row>
    <row r="526" spans="1:5" x14ac:dyDescent="0.25">
      <c r="A526" s="45" t="s">
        <v>109</v>
      </c>
      <c r="B526" s="6" t="s">
        <v>166</v>
      </c>
      <c r="C526" s="79">
        <v>0</v>
      </c>
      <c r="D526" s="79">
        <v>0</v>
      </c>
      <c r="E526" s="83">
        <v>0</v>
      </c>
    </row>
    <row r="527" spans="1:5" x14ac:dyDescent="0.25">
      <c r="A527" s="45" t="s">
        <v>109</v>
      </c>
      <c r="B527" s="6" t="s">
        <v>167</v>
      </c>
      <c r="C527" s="79">
        <v>0</v>
      </c>
      <c r="D527" s="79">
        <v>0</v>
      </c>
      <c r="E527" s="83">
        <v>0</v>
      </c>
    </row>
    <row r="528" spans="1:5" x14ac:dyDescent="0.25">
      <c r="A528" s="45" t="s">
        <v>109</v>
      </c>
      <c r="B528" s="6" t="s">
        <v>168</v>
      </c>
      <c r="C528" s="79">
        <v>0</v>
      </c>
      <c r="D528" s="79">
        <v>0</v>
      </c>
      <c r="E528" s="83">
        <v>0</v>
      </c>
    </row>
    <row r="529" spans="1:5" x14ac:dyDescent="0.25">
      <c r="A529" s="45" t="s">
        <v>109</v>
      </c>
      <c r="B529" s="6" t="s">
        <v>169</v>
      </c>
      <c r="C529" s="79">
        <v>0</v>
      </c>
      <c r="D529" s="79">
        <v>0</v>
      </c>
      <c r="E529" s="83">
        <v>0</v>
      </c>
    </row>
    <row r="530" spans="1:5" x14ac:dyDescent="0.25">
      <c r="A530" s="45" t="s">
        <v>102</v>
      </c>
      <c r="B530" s="6" t="s">
        <v>158</v>
      </c>
      <c r="C530" s="79">
        <v>1</v>
      </c>
      <c r="D530" s="79">
        <v>0</v>
      </c>
      <c r="E530" s="83">
        <v>4</v>
      </c>
    </row>
    <row r="531" spans="1:5" x14ac:dyDescent="0.25">
      <c r="A531" s="45" t="s">
        <v>102</v>
      </c>
      <c r="B531" s="6" t="s">
        <v>159</v>
      </c>
      <c r="C531" s="79">
        <v>0</v>
      </c>
      <c r="D531" s="79">
        <v>0</v>
      </c>
      <c r="E531" s="83">
        <v>1</v>
      </c>
    </row>
    <row r="532" spans="1:5" x14ac:dyDescent="0.25">
      <c r="A532" s="45" t="s">
        <v>102</v>
      </c>
      <c r="B532" s="6" t="s">
        <v>160</v>
      </c>
      <c r="C532" s="79">
        <v>2</v>
      </c>
      <c r="D532" s="79">
        <v>1</v>
      </c>
      <c r="E532" s="83">
        <v>1</v>
      </c>
    </row>
    <row r="533" spans="1:5" x14ac:dyDescent="0.25">
      <c r="A533" s="45" t="s">
        <v>102</v>
      </c>
      <c r="B533" s="6" t="s">
        <v>161</v>
      </c>
      <c r="C533" s="79">
        <v>0</v>
      </c>
      <c r="D533" s="79">
        <v>0</v>
      </c>
      <c r="E533" s="83">
        <v>0</v>
      </c>
    </row>
    <row r="534" spans="1:5" x14ac:dyDescent="0.25">
      <c r="A534" s="45" t="s">
        <v>102</v>
      </c>
      <c r="B534" s="6" t="s">
        <v>162</v>
      </c>
      <c r="C534" s="79">
        <v>0</v>
      </c>
      <c r="D534" s="79">
        <v>0</v>
      </c>
      <c r="E534" s="83">
        <v>4</v>
      </c>
    </row>
    <row r="535" spans="1:5" x14ac:dyDescent="0.25">
      <c r="A535" s="45" t="s">
        <v>102</v>
      </c>
      <c r="B535" s="6" t="s">
        <v>163</v>
      </c>
      <c r="C535" s="79">
        <v>0</v>
      </c>
      <c r="D535" s="79">
        <v>0</v>
      </c>
      <c r="E535" s="83">
        <v>1</v>
      </c>
    </row>
    <row r="536" spans="1:5" x14ac:dyDescent="0.25">
      <c r="A536" s="45" t="s">
        <v>102</v>
      </c>
      <c r="B536" s="6" t="s">
        <v>164</v>
      </c>
      <c r="C536" s="79">
        <v>0</v>
      </c>
      <c r="D536" s="79">
        <v>0</v>
      </c>
      <c r="E536" s="83">
        <v>2</v>
      </c>
    </row>
    <row r="537" spans="1:5" x14ac:dyDescent="0.25">
      <c r="A537" s="45" t="s">
        <v>102</v>
      </c>
      <c r="B537" s="6" t="s">
        <v>165</v>
      </c>
      <c r="C537" s="79">
        <v>0</v>
      </c>
      <c r="D537" s="79">
        <v>1</v>
      </c>
      <c r="E537" s="83">
        <v>5</v>
      </c>
    </row>
    <row r="538" spans="1:5" x14ac:dyDescent="0.25">
      <c r="A538" s="45" t="s">
        <v>102</v>
      </c>
      <c r="B538" s="6" t="s">
        <v>166</v>
      </c>
      <c r="C538" s="79">
        <v>0</v>
      </c>
      <c r="D538" s="79">
        <v>0</v>
      </c>
      <c r="E538" s="83">
        <v>2</v>
      </c>
    </row>
    <row r="539" spans="1:5" x14ac:dyDescent="0.25">
      <c r="A539" s="45" t="s">
        <v>102</v>
      </c>
      <c r="B539" s="6" t="s">
        <v>167</v>
      </c>
      <c r="C539" s="79">
        <v>0</v>
      </c>
      <c r="D539" s="79">
        <v>1</v>
      </c>
      <c r="E539" s="83">
        <v>3</v>
      </c>
    </row>
    <row r="540" spans="1:5" x14ac:dyDescent="0.25">
      <c r="A540" s="45" t="s">
        <v>102</v>
      </c>
      <c r="B540" s="6" t="s">
        <v>168</v>
      </c>
      <c r="C540" s="79">
        <v>0</v>
      </c>
      <c r="D540" s="79">
        <v>0</v>
      </c>
      <c r="E540" s="83">
        <v>1</v>
      </c>
    </row>
    <row r="541" spans="1:5" x14ac:dyDescent="0.25">
      <c r="A541" s="45" t="s">
        <v>102</v>
      </c>
      <c r="B541" s="6" t="s">
        <v>169</v>
      </c>
      <c r="C541" s="79">
        <v>0</v>
      </c>
      <c r="D541" s="79">
        <v>0</v>
      </c>
      <c r="E541" s="83">
        <v>0</v>
      </c>
    </row>
    <row r="542" spans="1:5" x14ac:dyDescent="0.25">
      <c r="A542" s="45" t="s">
        <v>113</v>
      </c>
      <c r="B542" s="6" t="s">
        <v>158</v>
      </c>
      <c r="C542" s="79">
        <v>0</v>
      </c>
      <c r="D542" s="79">
        <v>0</v>
      </c>
      <c r="E542" s="83">
        <v>0</v>
      </c>
    </row>
    <row r="543" spans="1:5" x14ac:dyDescent="0.25">
      <c r="A543" s="45" t="s">
        <v>113</v>
      </c>
      <c r="B543" s="6" t="s">
        <v>159</v>
      </c>
      <c r="C543" s="79">
        <v>0</v>
      </c>
      <c r="D543" s="79">
        <v>0</v>
      </c>
      <c r="E543" s="83">
        <v>0</v>
      </c>
    </row>
    <row r="544" spans="1:5" x14ac:dyDescent="0.25">
      <c r="A544" s="45" t="s">
        <v>113</v>
      </c>
      <c r="B544" s="6" t="s">
        <v>160</v>
      </c>
      <c r="C544" s="79">
        <v>0</v>
      </c>
      <c r="D544" s="79">
        <v>1</v>
      </c>
      <c r="E544" s="83">
        <v>0</v>
      </c>
    </row>
    <row r="545" spans="1:5" x14ac:dyDescent="0.25">
      <c r="A545" s="45" t="s">
        <v>113</v>
      </c>
      <c r="B545" s="6" t="s">
        <v>161</v>
      </c>
      <c r="C545" s="79">
        <v>0</v>
      </c>
      <c r="D545" s="79">
        <v>0</v>
      </c>
      <c r="E545" s="83">
        <v>1</v>
      </c>
    </row>
    <row r="546" spans="1:5" x14ac:dyDescent="0.25">
      <c r="A546" s="45" t="s">
        <v>113</v>
      </c>
      <c r="B546" s="6" t="s">
        <v>162</v>
      </c>
      <c r="C546" s="79">
        <v>0</v>
      </c>
      <c r="D546" s="79">
        <v>0</v>
      </c>
      <c r="E546" s="83">
        <v>1</v>
      </c>
    </row>
    <row r="547" spans="1:5" x14ac:dyDescent="0.25">
      <c r="A547" s="45" t="s">
        <v>113</v>
      </c>
      <c r="B547" s="6" t="s">
        <v>163</v>
      </c>
      <c r="C547" s="79">
        <v>0</v>
      </c>
      <c r="D547" s="79">
        <v>0</v>
      </c>
      <c r="E547" s="83">
        <v>0</v>
      </c>
    </row>
    <row r="548" spans="1:5" x14ac:dyDescent="0.25">
      <c r="A548" s="45" t="s">
        <v>113</v>
      </c>
      <c r="B548" s="6" t="s">
        <v>164</v>
      </c>
      <c r="C548" s="79">
        <v>0</v>
      </c>
      <c r="D548" s="79">
        <v>0</v>
      </c>
      <c r="E548" s="83">
        <v>0</v>
      </c>
    </row>
    <row r="549" spans="1:5" x14ac:dyDescent="0.25">
      <c r="A549" s="45" t="s">
        <v>113</v>
      </c>
      <c r="B549" s="6" t="s">
        <v>165</v>
      </c>
      <c r="C549" s="79">
        <v>1</v>
      </c>
      <c r="D549" s="79">
        <v>0</v>
      </c>
      <c r="E549" s="83">
        <v>1</v>
      </c>
    </row>
    <row r="550" spans="1:5" x14ac:dyDescent="0.25">
      <c r="A550" s="45" t="s">
        <v>113</v>
      </c>
      <c r="B550" s="6" t="s">
        <v>166</v>
      </c>
      <c r="C550" s="79">
        <v>0</v>
      </c>
      <c r="D550" s="79">
        <v>0</v>
      </c>
      <c r="E550" s="83">
        <v>0</v>
      </c>
    </row>
    <row r="551" spans="1:5" x14ac:dyDescent="0.25">
      <c r="A551" s="45" t="s">
        <v>113</v>
      </c>
      <c r="B551" s="6" t="s">
        <v>167</v>
      </c>
      <c r="C551" s="79">
        <v>0</v>
      </c>
      <c r="D551" s="79">
        <v>0</v>
      </c>
      <c r="E551" s="83">
        <v>0</v>
      </c>
    </row>
    <row r="552" spans="1:5" x14ac:dyDescent="0.25">
      <c r="A552" s="45" t="s">
        <v>113</v>
      </c>
      <c r="B552" s="6" t="s">
        <v>168</v>
      </c>
      <c r="C552" s="79">
        <v>0</v>
      </c>
      <c r="D552" s="79">
        <v>0</v>
      </c>
      <c r="E552" s="83">
        <v>0</v>
      </c>
    </row>
    <row r="553" spans="1:5" x14ac:dyDescent="0.25">
      <c r="A553" s="45" t="s">
        <v>113</v>
      </c>
      <c r="B553" s="6" t="s">
        <v>169</v>
      </c>
      <c r="C553" s="79">
        <v>0</v>
      </c>
      <c r="D553" s="79">
        <v>0</v>
      </c>
      <c r="E553" s="83">
        <v>0</v>
      </c>
    </row>
    <row r="554" spans="1:5" x14ac:dyDescent="0.25">
      <c r="A554" s="45" t="s">
        <v>100</v>
      </c>
      <c r="B554" s="6" t="s">
        <v>158</v>
      </c>
      <c r="C554" s="79">
        <v>0</v>
      </c>
      <c r="D554" s="79">
        <v>0</v>
      </c>
      <c r="E554" s="83">
        <v>0</v>
      </c>
    </row>
    <row r="555" spans="1:5" x14ac:dyDescent="0.25">
      <c r="A555" s="45" t="s">
        <v>100</v>
      </c>
      <c r="B555" s="6" t="s">
        <v>159</v>
      </c>
      <c r="C555" s="79">
        <v>0</v>
      </c>
      <c r="D555" s="79">
        <v>0</v>
      </c>
      <c r="E555" s="83">
        <v>1</v>
      </c>
    </row>
    <row r="556" spans="1:5" x14ac:dyDescent="0.25">
      <c r="A556" s="45" t="s">
        <v>100</v>
      </c>
      <c r="B556" s="6" t="s">
        <v>160</v>
      </c>
      <c r="C556" s="79">
        <v>0</v>
      </c>
      <c r="D556" s="79">
        <v>0</v>
      </c>
      <c r="E556" s="83">
        <v>0</v>
      </c>
    </row>
    <row r="557" spans="1:5" x14ac:dyDescent="0.25">
      <c r="A557" s="45" t="s">
        <v>100</v>
      </c>
      <c r="B557" s="6" t="s">
        <v>161</v>
      </c>
      <c r="C557" s="79">
        <v>0</v>
      </c>
      <c r="D557" s="79">
        <v>0</v>
      </c>
      <c r="E557" s="83">
        <v>0</v>
      </c>
    </row>
    <row r="558" spans="1:5" x14ac:dyDescent="0.25">
      <c r="A558" s="45" t="s">
        <v>100</v>
      </c>
      <c r="B558" s="6" t="s">
        <v>162</v>
      </c>
      <c r="C558" s="79">
        <v>0</v>
      </c>
      <c r="D558" s="79">
        <v>0</v>
      </c>
      <c r="E558" s="83">
        <v>0</v>
      </c>
    </row>
    <row r="559" spans="1:5" x14ac:dyDescent="0.25">
      <c r="A559" s="45" t="s">
        <v>100</v>
      </c>
      <c r="B559" s="6" t="s">
        <v>163</v>
      </c>
      <c r="C559" s="79">
        <v>0</v>
      </c>
      <c r="D559" s="79">
        <v>0</v>
      </c>
      <c r="E559" s="83">
        <v>0</v>
      </c>
    </row>
    <row r="560" spans="1:5" x14ac:dyDescent="0.25">
      <c r="A560" s="45" t="s">
        <v>100</v>
      </c>
      <c r="B560" s="6" t="s">
        <v>164</v>
      </c>
      <c r="C560" s="79">
        <v>0</v>
      </c>
      <c r="D560" s="79">
        <v>0</v>
      </c>
      <c r="E560" s="83">
        <v>0</v>
      </c>
    </row>
    <row r="561" spans="1:5" x14ac:dyDescent="0.25">
      <c r="A561" s="45" t="s">
        <v>100</v>
      </c>
      <c r="B561" s="6" t="s">
        <v>165</v>
      </c>
      <c r="C561" s="79">
        <v>0</v>
      </c>
      <c r="D561" s="79">
        <v>0</v>
      </c>
      <c r="E561" s="83">
        <v>1</v>
      </c>
    </row>
    <row r="562" spans="1:5" x14ac:dyDescent="0.25">
      <c r="A562" s="45" t="s">
        <v>100</v>
      </c>
      <c r="B562" s="6" t="s">
        <v>166</v>
      </c>
      <c r="C562" s="79">
        <v>0</v>
      </c>
      <c r="D562" s="79">
        <v>0</v>
      </c>
      <c r="E562" s="83">
        <v>0</v>
      </c>
    </row>
    <row r="563" spans="1:5" x14ac:dyDescent="0.25">
      <c r="A563" s="45" t="s">
        <v>100</v>
      </c>
      <c r="B563" s="6" t="s">
        <v>167</v>
      </c>
      <c r="C563" s="79">
        <v>0</v>
      </c>
      <c r="D563" s="79">
        <v>0</v>
      </c>
      <c r="E563" s="83">
        <v>0</v>
      </c>
    </row>
    <row r="564" spans="1:5" x14ac:dyDescent="0.25">
      <c r="A564" s="45" t="s">
        <v>100</v>
      </c>
      <c r="B564" s="6" t="s">
        <v>168</v>
      </c>
      <c r="C564" s="79">
        <v>0</v>
      </c>
      <c r="D564" s="79">
        <v>0</v>
      </c>
      <c r="E564" s="83">
        <v>2</v>
      </c>
    </row>
    <row r="565" spans="1:5" x14ac:dyDescent="0.25">
      <c r="A565" s="45" t="s">
        <v>100</v>
      </c>
      <c r="B565" s="6" t="s">
        <v>169</v>
      </c>
      <c r="C565" s="79">
        <v>0</v>
      </c>
      <c r="D565" s="79">
        <v>0</v>
      </c>
      <c r="E565" s="83">
        <v>0</v>
      </c>
    </row>
    <row r="566" spans="1:5" x14ac:dyDescent="0.25">
      <c r="A566" s="45" t="s">
        <v>67</v>
      </c>
      <c r="B566" s="6" t="s">
        <v>158</v>
      </c>
      <c r="C566" s="79">
        <v>0</v>
      </c>
      <c r="D566" s="79">
        <v>0</v>
      </c>
      <c r="E566" s="83">
        <v>0</v>
      </c>
    </row>
    <row r="567" spans="1:5" x14ac:dyDescent="0.25">
      <c r="A567" s="45" t="s">
        <v>67</v>
      </c>
      <c r="B567" s="6" t="s">
        <v>159</v>
      </c>
      <c r="C567" s="79">
        <v>0</v>
      </c>
      <c r="D567" s="79">
        <v>0</v>
      </c>
      <c r="E567" s="83">
        <v>0</v>
      </c>
    </row>
    <row r="568" spans="1:5" x14ac:dyDescent="0.25">
      <c r="A568" s="45" t="s">
        <v>67</v>
      </c>
      <c r="B568" s="6" t="s">
        <v>160</v>
      </c>
      <c r="C568" s="79">
        <v>0</v>
      </c>
      <c r="D568" s="79">
        <v>0</v>
      </c>
      <c r="E568" s="83">
        <v>0</v>
      </c>
    </row>
    <row r="569" spans="1:5" x14ac:dyDescent="0.25">
      <c r="A569" s="45" t="s">
        <v>67</v>
      </c>
      <c r="B569" s="6" t="s">
        <v>161</v>
      </c>
      <c r="C569" s="79">
        <v>0</v>
      </c>
      <c r="D569" s="79">
        <v>0</v>
      </c>
      <c r="E569" s="83">
        <v>0</v>
      </c>
    </row>
    <row r="570" spans="1:5" x14ac:dyDescent="0.25">
      <c r="A570" s="45" t="s">
        <v>67</v>
      </c>
      <c r="B570" s="6" t="s">
        <v>162</v>
      </c>
      <c r="C570" s="79">
        <v>0</v>
      </c>
      <c r="D570" s="79">
        <v>0</v>
      </c>
      <c r="E570" s="83">
        <v>0</v>
      </c>
    </row>
    <row r="571" spans="1:5" x14ac:dyDescent="0.25">
      <c r="A571" s="45" t="s">
        <v>67</v>
      </c>
      <c r="B571" s="6" t="s">
        <v>163</v>
      </c>
      <c r="C571" s="79">
        <v>0</v>
      </c>
      <c r="D571" s="79">
        <v>0</v>
      </c>
      <c r="E571" s="83">
        <v>0</v>
      </c>
    </row>
    <row r="572" spans="1:5" x14ac:dyDescent="0.25">
      <c r="A572" s="45" t="s">
        <v>67</v>
      </c>
      <c r="B572" s="6" t="s">
        <v>164</v>
      </c>
      <c r="C572" s="79">
        <v>0</v>
      </c>
      <c r="D572" s="79">
        <v>0</v>
      </c>
      <c r="E572" s="83">
        <v>0</v>
      </c>
    </row>
    <row r="573" spans="1:5" x14ac:dyDescent="0.25">
      <c r="A573" s="45" t="s">
        <v>67</v>
      </c>
      <c r="B573" s="6" t="s">
        <v>165</v>
      </c>
      <c r="C573" s="79">
        <v>0</v>
      </c>
      <c r="D573" s="79">
        <v>0</v>
      </c>
      <c r="E573" s="83">
        <v>0</v>
      </c>
    </row>
    <row r="574" spans="1:5" x14ac:dyDescent="0.25">
      <c r="A574" s="45" t="s">
        <v>67</v>
      </c>
      <c r="B574" s="6" t="s">
        <v>166</v>
      </c>
      <c r="C574" s="79">
        <v>0</v>
      </c>
      <c r="D574" s="79">
        <v>0</v>
      </c>
      <c r="E574" s="83">
        <v>0</v>
      </c>
    </row>
    <row r="575" spans="1:5" x14ac:dyDescent="0.25">
      <c r="A575" s="45" t="s">
        <v>67</v>
      </c>
      <c r="B575" s="6" t="s">
        <v>167</v>
      </c>
      <c r="C575" s="79">
        <v>0</v>
      </c>
      <c r="D575" s="79">
        <v>0</v>
      </c>
      <c r="E575" s="83">
        <v>0</v>
      </c>
    </row>
    <row r="576" spans="1:5" x14ac:dyDescent="0.25">
      <c r="A576" s="45" t="s">
        <v>67</v>
      </c>
      <c r="B576" s="6" t="s">
        <v>168</v>
      </c>
      <c r="C576" s="79">
        <v>0</v>
      </c>
      <c r="D576" s="79">
        <v>0</v>
      </c>
      <c r="E576" s="83">
        <v>0</v>
      </c>
    </row>
    <row r="577" spans="1:5" x14ac:dyDescent="0.25">
      <c r="A577" s="45" t="s">
        <v>67</v>
      </c>
      <c r="B577" s="6" t="s">
        <v>169</v>
      </c>
      <c r="C577" s="79">
        <v>0</v>
      </c>
      <c r="D577" s="79">
        <v>0</v>
      </c>
      <c r="E577" s="83">
        <v>0</v>
      </c>
    </row>
    <row r="578" spans="1:5" x14ac:dyDescent="0.25">
      <c r="A578" s="45" t="s">
        <v>153</v>
      </c>
      <c r="B578" s="6" t="s">
        <v>158</v>
      </c>
      <c r="C578" s="79">
        <v>0</v>
      </c>
      <c r="D578" s="79">
        <v>0</v>
      </c>
      <c r="E578" s="83">
        <v>0</v>
      </c>
    </row>
    <row r="579" spans="1:5" x14ac:dyDescent="0.25">
      <c r="A579" s="45" t="s">
        <v>153</v>
      </c>
      <c r="B579" s="6" t="s">
        <v>159</v>
      </c>
      <c r="C579" s="79">
        <v>0</v>
      </c>
      <c r="D579" s="79">
        <v>0</v>
      </c>
      <c r="E579" s="83">
        <v>0</v>
      </c>
    </row>
    <row r="580" spans="1:5" x14ac:dyDescent="0.25">
      <c r="A580" s="45" t="s">
        <v>153</v>
      </c>
      <c r="B580" s="6" t="s">
        <v>160</v>
      </c>
      <c r="C580" s="79">
        <v>0</v>
      </c>
      <c r="D580" s="79">
        <v>0</v>
      </c>
      <c r="E580" s="83">
        <v>3</v>
      </c>
    </row>
    <row r="581" spans="1:5" x14ac:dyDescent="0.25">
      <c r="A581" s="45" t="s">
        <v>153</v>
      </c>
      <c r="B581" s="6" t="s">
        <v>161</v>
      </c>
      <c r="C581" s="79">
        <v>0</v>
      </c>
      <c r="D581" s="79">
        <v>0</v>
      </c>
      <c r="E581" s="83">
        <v>0</v>
      </c>
    </row>
    <row r="582" spans="1:5" x14ac:dyDescent="0.25">
      <c r="A582" s="45" t="s">
        <v>153</v>
      </c>
      <c r="B582" s="6" t="s">
        <v>162</v>
      </c>
      <c r="C582" s="79">
        <v>0</v>
      </c>
      <c r="D582" s="79">
        <v>0</v>
      </c>
      <c r="E582" s="83">
        <v>4</v>
      </c>
    </row>
    <row r="583" spans="1:5" x14ac:dyDescent="0.25">
      <c r="A583" s="45" t="s">
        <v>153</v>
      </c>
      <c r="B583" s="6" t="s">
        <v>163</v>
      </c>
      <c r="C583" s="79">
        <v>0</v>
      </c>
      <c r="D583" s="79">
        <v>0</v>
      </c>
      <c r="E583" s="83">
        <v>1</v>
      </c>
    </row>
    <row r="584" spans="1:5" x14ac:dyDescent="0.25">
      <c r="A584" s="45" t="s">
        <v>153</v>
      </c>
      <c r="B584" s="6" t="s">
        <v>164</v>
      </c>
      <c r="C584" s="79">
        <v>0</v>
      </c>
      <c r="D584" s="79">
        <v>0</v>
      </c>
      <c r="E584" s="83">
        <v>0</v>
      </c>
    </row>
    <row r="585" spans="1:5" x14ac:dyDescent="0.25">
      <c r="A585" s="45" t="s">
        <v>153</v>
      </c>
      <c r="B585" s="6" t="s">
        <v>165</v>
      </c>
      <c r="C585" s="79">
        <v>0</v>
      </c>
      <c r="D585" s="79">
        <v>0</v>
      </c>
      <c r="E585" s="83">
        <v>0</v>
      </c>
    </row>
    <row r="586" spans="1:5" x14ac:dyDescent="0.25">
      <c r="A586" s="45" t="s">
        <v>153</v>
      </c>
      <c r="B586" s="6" t="s">
        <v>166</v>
      </c>
      <c r="C586" s="79">
        <v>0</v>
      </c>
      <c r="D586" s="79">
        <v>0</v>
      </c>
      <c r="E586" s="83">
        <v>0</v>
      </c>
    </row>
    <row r="587" spans="1:5" x14ac:dyDescent="0.25">
      <c r="A587" s="45" t="s">
        <v>153</v>
      </c>
      <c r="B587" s="6" t="s">
        <v>167</v>
      </c>
      <c r="C587" s="79">
        <v>0</v>
      </c>
      <c r="D587" s="79">
        <v>0</v>
      </c>
      <c r="E587" s="83">
        <v>0</v>
      </c>
    </row>
    <row r="588" spans="1:5" x14ac:dyDescent="0.25">
      <c r="A588" s="45" t="s">
        <v>153</v>
      </c>
      <c r="B588" s="6" t="s">
        <v>168</v>
      </c>
      <c r="C588" s="79">
        <v>0</v>
      </c>
      <c r="D588" s="79">
        <v>0</v>
      </c>
      <c r="E588" s="83">
        <v>0</v>
      </c>
    </row>
    <row r="589" spans="1:5" x14ac:dyDescent="0.25">
      <c r="A589" s="45" t="s">
        <v>153</v>
      </c>
      <c r="B589" s="6" t="s">
        <v>169</v>
      </c>
      <c r="C589" s="79">
        <v>0</v>
      </c>
      <c r="D589" s="79">
        <v>0</v>
      </c>
      <c r="E589" s="83">
        <v>0</v>
      </c>
    </row>
    <row r="590" spans="1:5" x14ac:dyDescent="0.25">
      <c r="A590" s="45" t="s">
        <v>137</v>
      </c>
      <c r="B590" s="6" t="s">
        <v>158</v>
      </c>
      <c r="C590" s="79">
        <v>0</v>
      </c>
      <c r="D590" s="79">
        <v>0</v>
      </c>
      <c r="E590" s="83">
        <v>2</v>
      </c>
    </row>
    <row r="591" spans="1:5" x14ac:dyDescent="0.25">
      <c r="A591" s="45" t="s">
        <v>137</v>
      </c>
      <c r="B591" s="6" t="s">
        <v>159</v>
      </c>
      <c r="C591" s="79">
        <v>0</v>
      </c>
      <c r="D591" s="79">
        <v>0</v>
      </c>
      <c r="E591" s="83">
        <v>0</v>
      </c>
    </row>
    <row r="592" spans="1:5" x14ac:dyDescent="0.25">
      <c r="A592" s="45" t="s">
        <v>137</v>
      </c>
      <c r="B592" s="6" t="s">
        <v>160</v>
      </c>
      <c r="C592" s="79">
        <v>0</v>
      </c>
      <c r="D592" s="79">
        <v>0</v>
      </c>
      <c r="E592" s="83">
        <v>0</v>
      </c>
    </row>
    <row r="593" spans="1:5" x14ac:dyDescent="0.25">
      <c r="A593" s="45" t="s">
        <v>137</v>
      </c>
      <c r="B593" s="6" t="s">
        <v>161</v>
      </c>
      <c r="C593" s="79">
        <v>0</v>
      </c>
      <c r="D593" s="79">
        <v>0</v>
      </c>
      <c r="E593" s="83">
        <v>0</v>
      </c>
    </row>
    <row r="594" spans="1:5" x14ac:dyDescent="0.25">
      <c r="A594" s="45" t="s">
        <v>137</v>
      </c>
      <c r="B594" s="6" t="s">
        <v>162</v>
      </c>
      <c r="C594" s="79">
        <v>0</v>
      </c>
      <c r="D594" s="79">
        <v>0</v>
      </c>
      <c r="E594" s="83">
        <v>0</v>
      </c>
    </row>
    <row r="595" spans="1:5" x14ac:dyDescent="0.25">
      <c r="A595" s="45" t="s">
        <v>137</v>
      </c>
      <c r="B595" s="6" t="s">
        <v>163</v>
      </c>
      <c r="C595" s="79">
        <v>0</v>
      </c>
      <c r="D595" s="79">
        <v>0</v>
      </c>
      <c r="E595" s="83">
        <v>0</v>
      </c>
    </row>
    <row r="596" spans="1:5" x14ac:dyDescent="0.25">
      <c r="A596" s="45" t="s">
        <v>137</v>
      </c>
      <c r="B596" s="6" t="s">
        <v>164</v>
      </c>
      <c r="C596" s="79">
        <v>0</v>
      </c>
      <c r="D596" s="79">
        <v>0</v>
      </c>
      <c r="E596" s="83">
        <v>0</v>
      </c>
    </row>
    <row r="597" spans="1:5" x14ac:dyDescent="0.25">
      <c r="A597" s="45" t="s">
        <v>137</v>
      </c>
      <c r="B597" s="6" t="s">
        <v>165</v>
      </c>
      <c r="C597" s="79">
        <v>0</v>
      </c>
      <c r="D597" s="79">
        <v>0</v>
      </c>
      <c r="E597" s="83">
        <v>0</v>
      </c>
    </row>
    <row r="598" spans="1:5" x14ac:dyDescent="0.25">
      <c r="A598" s="45" t="s">
        <v>137</v>
      </c>
      <c r="B598" s="6" t="s">
        <v>166</v>
      </c>
      <c r="C598" s="79">
        <v>0</v>
      </c>
      <c r="D598" s="79">
        <v>0</v>
      </c>
      <c r="E598" s="83">
        <v>0</v>
      </c>
    </row>
    <row r="599" spans="1:5" x14ac:dyDescent="0.25">
      <c r="A599" s="45" t="s">
        <v>137</v>
      </c>
      <c r="B599" s="6" t="s">
        <v>167</v>
      </c>
      <c r="C599" s="79">
        <v>0</v>
      </c>
      <c r="D599" s="79">
        <v>0</v>
      </c>
      <c r="E599" s="83">
        <v>0</v>
      </c>
    </row>
    <row r="600" spans="1:5" x14ac:dyDescent="0.25">
      <c r="A600" s="45" t="s">
        <v>137</v>
      </c>
      <c r="B600" s="6" t="s">
        <v>168</v>
      </c>
      <c r="C600" s="79">
        <v>0</v>
      </c>
      <c r="D600" s="79">
        <v>0</v>
      </c>
      <c r="E600" s="83">
        <v>0</v>
      </c>
    </row>
    <row r="601" spans="1:5" x14ac:dyDescent="0.25">
      <c r="A601" s="45" t="s">
        <v>137</v>
      </c>
      <c r="B601" s="6" t="s">
        <v>169</v>
      </c>
      <c r="C601" s="79">
        <v>0</v>
      </c>
      <c r="D601" s="79">
        <v>0</v>
      </c>
      <c r="E601" s="83">
        <v>0</v>
      </c>
    </row>
    <row r="602" spans="1:5" x14ac:dyDescent="0.25">
      <c r="A602" s="45" t="s">
        <v>43</v>
      </c>
      <c r="B602" s="6" t="s">
        <v>158</v>
      </c>
      <c r="C602" s="79">
        <v>0</v>
      </c>
      <c r="D602" s="79">
        <v>0</v>
      </c>
      <c r="E602" s="83">
        <v>0</v>
      </c>
    </row>
    <row r="603" spans="1:5" x14ac:dyDescent="0.25">
      <c r="A603" s="45" t="s">
        <v>43</v>
      </c>
      <c r="B603" s="6" t="s">
        <v>159</v>
      </c>
      <c r="C603" s="79">
        <v>0</v>
      </c>
      <c r="D603" s="79">
        <v>0</v>
      </c>
      <c r="E603" s="83">
        <v>0</v>
      </c>
    </row>
    <row r="604" spans="1:5" x14ac:dyDescent="0.25">
      <c r="A604" s="45" t="s">
        <v>43</v>
      </c>
      <c r="B604" s="6" t="s">
        <v>160</v>
      </c>
      <c r="C604" s="79">
        <v>0</v>
      </c>
      <c r="D604" s="79">
        <v>0</v>
      </c>
      <c r="E604" s="83">
        <v>1</v>
      </c>
    </row>
    <row r="605" spans="1:5" x14ac:dyDescent="0.25">
      <c r="A605" s="45" t="s">
        <v>43</v>
      </c>
      <c r="B605" s="6" t="s">
        <v>161</v>
      </c>
      <c r="C605" s="79">
        <v>0</v>
      </c>
      <c r="D605" s="79">
        <v>0</v>
      </c>
      <c r="E605" s="83">
        <v>0</v>
      </c>
    </row>
    <row r="606" spans="1:5" x14ac:dyDescent="0.25">
      <c r="A606" s="45" t="s">
        <v>43</v>
      </c>
      <c r="B606" s="6" t="s">
        <v>162</v>
      </c>
      <c r="C606" s="79">
        <v>0</v>
      </c>
      <c r="D606" s="79">
        <v>1</v>
      </c>
      <c r="E606" s="83">
        <v>1</v>
      </c>
    </row>
    <row r="607" spans="1:5" x14ac:dyDescent="0.25">
      <c r="A607" s="45" t="s">
        <v>43</v>
      </c>
      <c r="B607" s="6" t="s">
        <v>163</v>
      </c>
      <c r="C607" s="79">
        <v>0</v>
      </c>
      <c r="D607" s="79">
        <v>0</v>
      </c>
      <c r="E607" s="83">
        <v>0</v>
      </c>
    </row>
    <row r="608" spans="1:5" x14ac:dyDescent="0.25">
      <c r="A608" s="45" t="s">
        <v>43</v>
      </c>
      <c r="B608" s="6" t="s">
        <v>164</v>
      </c>
      <c r="C608" s="79">
        <v>0</v>
      </c>
      <c r="D608" s="79">
        <v>0</v>
      </c>
      <c r="E608" s="83">
        <v>0</v>
      </c>
    </row>
    <row r="609" spans="1:5" x14ac:dyDescent="0.25">
      <c r="A609" s="45" t="s">
        <v>43</v>
      </c>
      <c r="B609" s="6" t="s">
        <v>165</v>
      </c>
      <c r="C609" s="79">
        <v>0</v>
      </c>
      <c r="D609" s="79">
        <v>0</v>
      </c>
      <c r="E609" s="83">
        <v>0</v>
      </c>
    </row>
    <row r="610" spans="1:5" x14ac:dyDescent="0.25">
      <c r="A610" s="45" t="s">
        <v>43</v>
      </c>
      <c r="B610" s="6" t="s">
        <v>166</v>
      </c>
      <c r="C610" s="79">
        <v>0</v>
      </c>
      <c r="D610" s="79">
        <v>0</v>
      </c>
      <c r="E610" s="83">
        <v>0</v>
      </c>
    </row>
    <row r="611" spans="1:5" x14ac:dyDescent="0.25">
      <c r="A611" s="45" t="s">
        <v>43</v>
      </c>
      <c r="B611" s="6" t="s">
        <v>167</v>
      </c>
      <c r="C611" s="79">
        <v>0</v>
      </c>
      <c r="D611" s="79">
        <v>0</v>
      </c>
      <c r="E611" s="83">
        <v>0</v>
      </c>
    </row>
    <row r="612" spans="1:5" x14ac:dyDescent="0.25">
      <c r="A612" s="45" t="s">
        <v>43</v>
      </c>
      <c r="B612" s="6" t="s">
        <v>168</v>
      </c>
      <c r="C612" s="79">
        <v>0</v>
      </c>
      <c r="D612" s="79">
        <v>0</v>
      </c>
      <c r="E612" s="83">
        <v>0</v>
      </c>
    </row>
    <row r="613" spans="1:5" x14ac:dyDescent="0.25">
      <c r="A613" s="45" t="s">
        <v>43</v>
      </c>
      <c r="B613" s="6" t="s">
        <v>169</v>
      </c>
      <c r="C613" s="79">
        <v>0</v>
      </c>
      <c r="D613" s="79">
        <v>0</v>
      </c>
      <c r="E613" s="83">
        <v>0</v>
      </c>
    </row>
    <row r="614" spans="1:5" x14ac:dyDescent="0.25">
      <c r="A614" s="45" t="s">
        <v>112</v>
      </c>
      <c r="B614" s="6" t="s">
        <v>158</v>
      </c>
      <c r="C614" s="79">
        <v>0</v>
      </c>
      <c r="D614" s="79">
        <v>0</v>
      </c>
      <c r="E614" s="83">
        <v>0</v>
      </c>
    </row>
    <row r="615" spans="1:5" x14ac:dyDescent="0.25">
      <c r="A615" s="45" t="s">
        <v>112</v>
      </c>
      <c r="B615" s="6" t="s">
        <v>159</v>
      </c>
      <c r="C615" s="79">
        <v>0</v>
      </c>
      <c r="D615" s="79">
        <v>0</v>
      </c>
      <c r="E615" s="83">
        <v>0</v>
      </c>
    </row>
    <row r="616" spans="1:5" x14ac:dyDescent="0.25">
      <c r="A616" s="45" t="s">
        <v>112</v>
      </c>
      <c r="B616" s="6" t="s">
        <v>160</v>
      </c>
      <c r="C616" s="79">
        <v>0</v>
      </c>
      <c r="D616" s="79">
        <v>0</v>
      </c>
      <c r="E616" s="83">
        <v>0</v>
      </c>
    </row>
    <row r="617" spans="1:5" x14ac:dyDescent="0.25">
      <c r="A617" s="45" t="s">
        <v>112</v>
      </c>
      <c r="B617" s="6" t="s">
        <v>161</v>
      </c>
      <c r="C617" s="79">
        <v>0</v>
      </c>
      <c r="D617" s="79">
        <v>0</v>
      </c>
      <c r="E617" s="83">
        <v>0</v>
      </c>
    </row>
    <row r="618" spans="1:5" x14ac:dyDescent="0.25">
      <c r="A618" s="45" t="s">
        <v>112</v>
      </c>
      <c r="B618" s="6" t="s">
        <v>162</v>
      </c>
      <c r="C618" s="79">
        <v>0</v>
      </c>
      <c r="D618" s="79">
        <v>0</v>
      </c>
      <c r="E618" s="83">
        <v>0</v>
      </c>
    </row>
    <row r="619" spans="1:5" x14ac:dyDescent="0.25">
      <c r="A619" s="45" t="s">
        <v>112</v>
      </c>
      <c r="B619" s="6" t="s">
        <v>163</v>
      </c>
      <c r="C619" s="79">
        <v>0</v>
      </c>
      <c r="D619" s="79">
        <v>0</v>
      </c>
      <c r="E619" s="83">
        <v>0</v>
      </c>
    </row>
    <row r="620" spans="1:5" x14ac:dyDescent="0.25">
      <c r="A620" s="45" t="s">
        <v>112</v>
      </c>
      <c r="B620" s="6" t="s">
        <v>164</v>
      </c>
      <c r="C620" s="79">
        <v>0</v>
      </c>
      <c r="D620" s="79">
        <v>0</v>
      </c>
      <c r="E620" s="83">
        <v>0</v>
      </c>
    </row>
    <row r="621" spans="1:5" x14ac:dyDescent="0.25">
      <c r="A621" s="45" t="s">
        <v>112</v>
      </c>
      <c r="B621" s="6" t="s">
        <v>165</v>
      </c>
      <c r="C621" s="79">
        <v>0</v>
      </c>
      <c r="D621" s="79">
        <v>0</v>
      </c>
      <c r="E621" s="83">
        <v>0</v>
      </c>
    </row>
    <row r="622" spans="1:5" x14ac:dyDescent="0.25">
      <c r="A622" s="45" t="s">
        <v>112</v>
      </c>
      <c r="B622" s="6" t="s">
        <v>166</v>
      </c>
      <c r="C622" s="79">
        <v>0</v>
      </c>
      <c r="D622" s="79">
        <v>0</v>
      </c>
      <c r="E622" s="83">
        <v>0</v>
      </c>
    </row>
    <row r="623" spans="1:5" x14ac:dyDescent="0.25">
      <c r="A623" s="45" t="s">
        <v>112</v>
      </c>
      <c r="B623" s="6" t="s">
        <v>167</v>
      </c>
      <c r="C623" s="79">
        <v>0</v>
      </c>
      <c r="D623" s="79">
        <v>0</v>
      </c>
      <c r="E623" s="83">
        <v>0</v>
      </c>
    </row>
    <row r="624" spans="1:5" x14ac:dyDescent="0.25">
      <c r="A624" s="45" t="s">
        <v>112</v>
      </c>
      <c r="B624" s="6" t="s">
        <v>168</v>
      </c>
      <c r="C624" s="79">
        <v>0</v>
      </c>
      <c r="D624" s="79">
        <v>0</v>
      </c>
      <c r="E624" s="83">
        <v>0</v>
      </c>
    </row>
    <row r="625" spans="1:5" x14ac:dyDescent="0.25">
      <c r="A625" s="45" t="s">
        <v>112</v>
      </c>
      <c r="B625" s="6" t="s">
        <v>169</v>
      </c>
      <c r="C625" s="79">
        <v>0</v>
      </c>
      <c r="D625" s="79">
        <v>0</v>
      </c>
      <c r="E625" s="83">
        <v>0</v>
      </c>
    </row>
    <row r="626" spans="1:5" x14ac:dyDescent="0.25">
      <c r="A626" s="45" t="s">
        <v>135</v>
      </c>
      <c r="B626" s="6" t="s">
        <v>158</v>
      </c>
      <c r="C626" s="79">
        <v>0</v>
      </c>
      <c r="D626" s="79">
        <v>0</v>
      </c>
      <c r="E626" s="83">
        <v>0</v>
      </c>
    </row>
    <row r="627" spans="1:5" x14ac:dyDescent="0.25">
      <c r="A627" s="45" t="s">
        <v>135</v>
      </c>
      <c r="B627" s="6" t="s">
        <v>159</v>
      </c>
      <c r="C627" s="79">
        <v>0</v>
      </c>
      <c r="D627" s="79">
        <v>0</v>
      </c>
      <c r="E627" s="83">
        <v>0</v>
      </c>
    </row>
    <row r="628" spans="1:5" x14ac:dyDescent="0.25">
      <c r="A628" s="45" t="s">
        <v>135</v>
      </c>
      <c r="B628" s="6" t="s">
        <v>160</v>
      </c>
      <c r="C628" s="79">
        <v>0</v>
      </c>
      <c r="D628" s="79">
        <v>0</v>
      </c>
      <c r="E628" s="83">
        <v>0</v>
      </c>
    </row>
    <row r="629" spans="1:5" x14ac:dyDescent="0.25">
      <c r="A629" s="45" t="s">
        <v>135</v>
      </c>
      <c r="B629" s="6" t="s">
        <v>161</v>
      </c>
      <c r="C629" s="79">
        <v>0</v>
      </c>
      <c r="D629" s="79">
        <v>0</v>
      </c>
      <c r="E629" s="83">
        <v>0</v>
      </c>
    </row>
    <row r="630" spans="1:5" x14ac:dyDescent="0.25">
      <c r="A630" s="45" t="s">
        <v>135</v>
      </c>
      <c r="B630" s="6" t="s">
        <v>162</v>
      </c>
      <c r="C630" s="79">
        <v>0</v>
      </c>
      <c r="D630" s="79">
        <v>0</v>
      </c>
      <c r="E630" s="83">
        <v>0</v>
      </c>
    </row>
    <row r="631" spans="1:5" x14ac:dyDescent="0.25">
      <c r="A631" s="45" t="s">
        <v>135</v>
      </c>
      <c r="B631" s="6" t="s">
        <v>163</v>
      </c>
      <c r="C631" s="79">
        <v>0</v>
      </c>
      <c r="D631" s="79">
        <v>0</v>
      </c>
      <c r="E631" s="83">
        <v>0</v>
      </c>
    </row>
    <row r="632" spans="1:5" x14ac:dyDescent="0.25">
      <c r="A632" s="45" t="s">
        <v>135</v>
      </c>
      <c r="B632" s="6" t="s">
        <v>164</v>
      </c>
      <c r="C632" s="79">
        <v>0</v>
      </c>
      <c r="D632" s="79">
        <v>0</v>
      </c>
      <c r="E632" s="83">
        <v>0</v>
      </c>
    </row>
    <row r="633" spans="1:5" x14ac:dyDescent="0.25">
      <c r="A633" s="45" t="s">
        <v>135</v>
      </c>
      <c r="B633" s="6" t="s">
        <v>165</v>
      </c>
      <c r="C633" s="79">
        <v>0</v>
      </c>
      <c r="D633" s="79">
        <v>0</v>
      </c>
      <c r="E633" s="83">
        <v>0</v>
      </c>
    </row>
    <row r="634" spans="1:5" x14ac:dyDescent="0.25">
      <c r="A634" s="45" t="s">
        <v>135</v>
      </c>
      <c r="B634" s="6" t="s">
        <v>166</v>
      </c>
      <c r="C634" s="79">
        <v>0</v>
      </c>
      <c r="D634" s="79">
        <v>0</v>
      </c>
      <c r="E634" s="83">
        <v>0</v>
      </c>
    </row>
    <row r="635" spans="1:5" x14ac:dyDescent="0.25">
      <c r="A635" s="45" t="s">
        <v>135</v>
      </c>
      <c r="B635" s="6" t="s">
        <v>167</v>
      </c>
      <c r="C635" s="79">
        <v>0</v>
      </c>
      <c r="D635" s="79">
        <v>0</v>
      </c>
      <c r="E635" s="83">
        <v>0</v>
      </c>
    </row>
    <row r="636" spans="1:5" x14ac:dyDescent="0.25">
      <c r="A636" s="45" t="s">
        <v>135</v>
      </c>
      <c r="B636" s="6" t="s">
        <v>168</v>
      </c>
      <c r="C636" s="79">
        <v>0</v>
      </c>
      <c r="D636" s="79">
        <v>0</v>
      </c>
      <c r="E636" s="83">
        <v>0</v>
      </c>
    </row>
    <row r="637" spans="1:5" x14ac:dyDescent="0.25">
      <c r="A637" s="45" t="s">
        <v>135</v>
      </c>
      <c r="B637" s="6" t="s">
        <v>169</v>
      </c>
      <c r="C637" s="79">
        <v>0</v>
      </c>
      <c r="D637" s="79">
        <v>0</v>
      </c>
      <c r="E637" s="83">
        <v>0</v>
      </c>
    </row>
    <row r="638" spans="1:5" x14ac:dyDescent="0.25">
      <c r="A638" s="45" t="s">
        <v>131</v>
      </c>
      <c r="B638" s="6" t="s">
        <v>158</v>
      </c>
      <c r="C638" s="79">
        <v>0</v>
      </c>
      <c r="D638" s="79">
        <v>0</v>
      </c>
      <c r="E638" s="83">
        <v>0</v>
      </c>
    </row>
    <row r="639" spans="1:5" x14ac:dyDescent="0.25">
      <c r="A639" s="45" t="s">
        <v>131</v>
      </c>
      <c r="B639" s="6" t="s">
        <v>159</v>
      </c>
      <c r="C639" s="79">
        <v>0</v>
      </c>
      <c r="D639" s="79">
        <v>0</v>
      </c>
      <c r="E639" s="83">
        <v>10</v>
      </c>
    </row>
    <row r="640" spans="1:5" x14ac:dyDescent="0.25">
      <c r="A640" s="45" t="s">
        <v>131</v>
      </c>
      <c r="B640" s="6" t="s">
        <v>160</v>
      </c>
      <c r="C640" s="79">
        <v>0</v>
      </c>
      <c r="D640" s="79">
        <v>0</v>
      </c>
      <c r="E640" s="83">
        <v>0</v>
      </c>
    </row>
    <row r="641" spans="1:5" x14ac:dyDescent="0.25">
      <c r="A641" s="45" t="s">
        <v>131</v>
      </c>
      <c r="B641" s="6" t="s">
        <v>161</v>
      </c>
      <c r="C641" s="79">
        <v>0</v>
      </c>
      <c r="D641" s="79">
        <v>0</v>
      </c>
      <c r="E641" s="83">
        <v>0</v>
      </c>
    </row>
    <row r="642" spans="1:5" x14ac:dyDescent="0.25">
      <c r="A642" s="45" t="s">
        <v>131</v>
      </c>
      <c r="B642" s="6" t="s">
        <v>162</v>
      </c>
      <c r="C642" s="79">
        <v>0</v>
      </c>
      <c r="D642" s="79">
        <v>0</v>
      </c>
      <c r="E642" s="83">
        <v>0</v>
      </c>
    </row>
    <row r="643" spans="1:5" x14ac:dyDescent="0.25">
      <c r="A643" s="45" t="s">
        <v>131</v>
      </c>
      <c r="B643" s="6" t="s">
        <v>163</v>
      </c>
      <c r="C643" s="79">
        <v>0</v>
      </c>
      <c r="D643" s="79">
        <v>0</v>
      </c>
      <c r="E643" s="83">
        <v>3</v>
      </c>
    </row>
    <row r="644" spans="1:5" x14ac:dyDescent="0.25">
      <c r="A644" s="45" t="s">
        <v>131</v>
      </c>
      <c r="B644" s="6" t="s">
        <v>164</v>
      </c>
      <c r="C644" s="79">
        <v>0</v>
      </c>
      <c r="D644" s="79">
        <v>0</v>
      </c>
      <c r="E644" s="83">
        <v>1</v>
      </c>
    </row>
    <row r="645" spans="1:5" x14ac:dyDescent="0.25">
      <c r="A645" s="45" t="s">
        <v>131</v>
      </c>
      <c r="B645" s="6" t="s">
        <v>165</v>
      </c>
      <c r="C645" s="79">
        <v>0</v>
      </c>
      <c r="D645" s="79">
        <v>0</v>
      </c>
      <c r="E645" s="83">
        <v>0</v>
      </c>
    </row>
    <row r="646" spans="1:5" x14ac:dyDescent="0.25">
      <c r="A646" s="45" t="s">
        <v>131</v>
      </c>
      <c r="B646" s="6" t="s">
        <v>166</v>
      </c>
      <c r="C646" s="79">
        <v>0</v>
      </c>
      <c r="D646" s="79">
        <v>1</v>
      </c>
      <c r="E646" s="83">
        <v>0</v>
      </c>
    </row>
    <row r="647" spans="1:5" x14ac:dyDescent="0.25">
      <c r="A647" s="45" t="s">
        <v>131</v>
      </c>
      <c r="B647" s="6" t="s">
        <v>167</v>
      </c>
      <c r="C647" s="79">
        <v>0</v>
      </c>
      <c r="D647" s="79">
        <v>0</v>
      </c>
      <c r="E647" s="83">
        <v>0</v>
      </c>
    </row>
    <row r="648" spans="1:5" x14ac:dyDescent="0.25">
      <c r="A648" s="45" t="s">
        <v>131</v>
      </c>
      <c r="B648" s="6" t="s">
        <v>168</v>
      </c>
      <c r="C648" s="79">
        <v>0</v>
      </c>
      <c r="D648" s="79">
        <v>0</v>
      </c>
      <c r="E648" s="83">
        <v>0</v>
      </c>
    </row>
    <row r="649" spans="1:5" x14ac:dyDescent="0.25">
      <c r="A649" s="45" t="s">
        <v>131</v>
      </c>
      <c r="B649" s="6" t="s">
        <v>169</v>
      </c>
      <c r="C649" s="79">
        <v>0</v>
      </c>
      <c r="D649" s="79">
        <v>0</v>
      </c>
      <c r="E649" s="83">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04B1-1579-400F-99FE-5635C5A0392C}">
  <dimension ref="A1:J891"/>
  <sheetViews>
    <sheetView tabSelected="1" workbookViewId="0">
      <selection activeCell="B10" sqref="B10"/>
    </sheetView>
  </sheetViews>
  <sheetFormatPr defaultRowHeight="13.8" x14ac:dyDescent="0.25"/>
  <cols>
    <col min="1" max="1" width="87.296875" bestFit="1" customWidth="1"/>
    <col min="2" max="2" width="19.69921875" bestFit="1" customWidth="1"/>
  </cols>
  <sheetData>
    <row r="1" spans="1:10" ht="15.6" x14ac:dyDescent="0.25">
      <c r="A1" s="53" t="s">
        <v>0</v>
      </c>
      <c r="B1" s="54" t="s">
        <v>4</v>
      </c>
      <c r="C1" s="53" t="s">
        <v>14</v>
      </c>
      <c r="D1" s="53" t="s">
        <v>242</v>
      </c>
      <c r="E1" s="53" t="s">
        <v>243</v>
      </c>
      <c r="F1" s="53" t="s">
        <v>244</v>
      </c>
      <c r="G1" s="53" t="s">
        <v>245</v>
      </c>
      <c r="I1" t="s">
        <v>260</v>
      </c>
      <c r="J1" t="s">
        <v>265</v>
      </c>
    </row>
    <row r="2" spans="1:10" ht="15.6" x14ac:dyDescent="0.25">
      <c r="A2" s="41" t="s">
        <v>87</v>
      </c>
      <c r="B2" s="84">
        <v>400</v>
      </c>
      <c r="C2" s="79">
        <v>10</v>
      </c>
      <c r="D2" s="3">
        <f>IF(AND(B2&gt;0,B2&lt;1000),C2,"")</f>
        <v>10</v>
      </c>
      <c r="E2" s="3" t="str">
        <f>IF(AND(B2&gt;1000,B2&lt;2500),C2,"")</f>
        <v/>
      </c>
      <c r="F2" s="3" t="str">
        <f>IF(AND(B2&gt;2500,B2&lt;5000),C2,"")</f>
        <v/>
      </c>
      <c r="G2" s="3" t="str">
        <f>IF(B2&gt;=5000,C2,"")</f>
        <v/>
      </c>
      <c r="I2" s="43" t="s">
        <v>261</v>
      </c>
      <c r="J2" s="2">
        <f>D891</f>
        <v>9.4693140794223822</v>
      </c>
    </row>
    <row r="3" spans="1:10" ht="15.6" x14ac:dyDescent="0.25">
      <c r="A3" s="41" t="s">
        <v>87</v>
      </c>
      <c r="B3" s="84">
        <v>1560</v>
      </c>
      <c r="C3" s="79" t="s">
        <v>27</v>
      </c>
      <c r="D3" s="3" t="str">
        <f t="shared" ref="D3:D66" si="0">IF(AND(B3&gt;0,B3&lt;1000),C3,"")</f>
        <v/>
      </c>
      <c r="E3" s="3" t="str">
        <f t="shared" ref="E3:E66" si="1">IF(AND(B3&gt;1000,B3&lt;2500),C3,"")</f>
        <v/>
      </c>
      <c r="F3" s="3" t="str">
        <f t="shared" ref="F3:F66" si="2">IF(AND(B3&gt;2500,B3&lt;5000),C3,"")</f>
        <v/>
      </c>
      <c r="G3" s="3" t="str">
        <f t="shared" ref="G3:G66" si="3">IF(B3&gt;=5000,C3,"")</f>
        <v/>
      </c>
      <c r="I3" s="43" t="s">
        <v>262</v>
      </c>
      <c r="J3" s="2">
        <f>E891</f>
        <v>9.1269841269841265</v>
      </c>
    </row>
    <row r="4" spans="1:10" ht="15.6" x14ac:dyDescent="0.25">
      <c r="A4" s="41" t="s">
        <v>87</v>
      </c>
      <c r="B4" s="84">
        <v>180</v>
      </c>
      <c r="C4" s="79">
        <v>10</v>
      </c>
      <c r="D4" s="3">
        <f t="shared" si="0"/>
        <v>10</v>
      </c>
      <c r="E4" s="3" t="str">
        <f t="shared" si="1"/>
        <v/>
      </c>
      <c r="F4" s="3" t="str">
        <f t="shared" si="2"/>
        <v/>
      </c>
      <c r="G4" s="3" t="str">
        <f t="shared" si="3"/>
        <v/>
      </c>
      <c r="I4" s="43" t="s">
        <v>263</v>
      </c>
      <c r="J4" s="2">
        <f>F891</f>
        <v>9.4583333333333339</v>
      </c>
    </row>
    <row r="5" spans="1:10" ht="15.6" x14ac:dyDescent="0.25">
      <c r="A5" s="41" t="s">
        <v>87</v>
      </c>
      <c r="B5" s="84">
        <v>530</v>
      </c>
      <c r="C5" s="79" t="s">
        <v>27</v>
      </c>
      <c r="D5" s="3" t="str">
        <f t="shared" si="0"/>
        <v/>
      </c>
      <c r="E5" s="3" t="str">
        <f t="shared" si="1"/>
        <v/>
      </c>
      <c r="F5" s="3" t="str">
        <f t="shared" si="2"/>
        <v/>
      </c>
      <c r="G5" s="3" t="str">
        <f t="shared" si="3"/>
        <v/>
      </c>
      <c r="I5" s="44" t="s">
        <v>264</v>
      </c>
      <c r="J5">
        <f>G891</f>
        <v>8.84</v>
      </c>
    </row>
    <row r="6" spans="1:10" x14ac:dyDescent="0.25">
      <c r="A6" s="41" t="s">
        <v>87</v>
      </c>
      <c r="B6" s="84">
        <v>650</v>
      </c>
      <c r="C6" s="79" t="s">
        <v>27</v>
      </c>
      <c r="D6" s="3" t="str">
        <f t="shared" si="0"/>
        <v/>
      </c>
      <c r="E6" s="3" t="str">
        <f t="shared" si="1"/>
        <v/>
      </c>
      <c r="F6" s="3" t="str">
        <f t="shared" si="2"/>
        <v/>
      </c>
      <c r="G6" s="3" t="str">
        <f t="shared" si="3"/>
        <v/>
      </c>
    </row>
    <row r="7" spans="1:10" x14ac:dyDescent="0.25">
      <c r="A7" s="41" t="s">
        <v>87</v>
      </c>
      <c r="B7" s="84">
        <v>310</v>
      </c>
      <c r="C7" s="79">
        <v>10</v>
      </c>
      <c r="D7" s="3">
        <f t="shared" si="0"/>
        <v>10</v>
      </c>
      <c r="E7" s="3" t="str">
        <f t="shared" si="1"/>
        <v/>
      </c>
      <c r="F7" s="3" t="str">
        <f t="shared" si="2"/>
        <v/>
      </c>
      <c r="G7" s="3" t="str">
        <f t="shared" si="3"/>
        <v/>
      </c>
    </row>
    <row r="8" spans="1:10" x14ac:dyDescent="0.25">
      <c r="A8" s="41" t="s">
        <v>87</v>
      </c>
      <c r="B8" s="84">
        <v>290</v>
      </c>
      <c r="C8" s="79" t="s">
        <v>27</v>
      </c>
      <c r="D8" s="3" t="str">
        <f t="shared" si="0"/>
        <v/>
      </c>
      <c r="E8" s="3" t="str">
        <f t="shared" si="1"/>
        <v/>
      </c>
      <c r="F8" s="3" t="str">
        <f t="shared" si="2"/>
        <v/>
      </c>
      <c r="G8" s="3" t="str">
        <f t="shared" si="3"/>
        <v/>
      </c>
    </row>
    <row r="9" spans="1:10" x14ac:dyDescent="0.25">
      <c r="A9" s="41" t="s">
        <v>87</v>
      </c>
      <c r="B9" s="84">
        <v>2100</v>
      </c>
      <c r="C9" s="79" t="s">
        <v>27</v>
      </c>
      <c r="D9" s="3" t="str">
        <f t="shared" si="0"/>
        <v/>
      </c>
      <c r="E9" s="3" t="str">
        <f t="shared" si="1"/>
        <v/>
      </c>
      <c r="F9" s="3" t="str">
        <f t="shared" si="2"/>
        <v/>
      </c>
      <c r="G9" s="3" t="str">
        <f t="shared" si="3"/>
        <v/>
      </c>
    </row>
    <row r="10" spans="1:10" x14ac:dyDescent="0.25">
      <c r="A10" s="41" t="s">
        <v>87</v>
      </c>
      <c r="B10" s="84">
        <v>350</v>
      </c>
      <c r="C10" s="79" t="s">
        <v>27</v>
      </c>
      <c r="D10" s="3" t="str">
        <f t="shared" si="0"/>
        <v/>
      </c>
      <c r="E10" s="3" t="str">
        <f t="shared" si="1"/>
        <v/>
      </c>
      <c r="F10" s="3" t="str">
        <f t="shared" si="2"/>
        <v/>
      </c>
      <c r="G10" s="3" t="str">
        <f t="shared" si="3"/>
        <v/>
      </c>
    </row>
    <row r="11" spans="1:10" x14ac:dyDescent="0.25">
      <c r="A11" s="41" t="s">
        <v>87</v>
      </c>
      <c r="B11" s="84">
        <v>1190</v>
      </c>
      <c r="C11" s="79" t="s">
        <v>27</v>
      </c>
      <c r="D11" s="3" t="str">
        <f t="shared" si="0"/>
        <v/>
      </c>
      <c r="E11" s="3" t="str">
        <f t="shared" si="1"/>
        <v/>
      </c>
      <c r="F11" s="3" t="str">
        <f t="shared" si="2"/>
        <v/>
      </c>
      <c r="G11" s="3" t="str">
        <f t="shared" si="3"/>
        <v/>
      </c>
    </row>
    <row r="12" spans="1:10" x14ac:dyDescent="0.25">
      <c r="A12" s="41" t="s">
        <v>87</v>
      </c>
      <c r="B12" s="84">
        <v>1550</v>
      </c>
      <c r="C12" s="79">
        <v>10</v>
      </c>
      <c r="D12" s="3" t="str">
        <f t="shared" si="0"/>
        <v/>
      </c>
      <c r="E12" s="3">
        <f t="shared" si="1"/>
        <v>10</v>
      </c>
      <c r="F12" s="3" t="str">
        <f t="shared" si="2"/>
        <v/>
      </c>
      <c r="G12" s="3" t="str">
        <f t="shared" si="3"/>
        <v/>
      </c>
    </row>
    <row r="13" spans="1:10" x14ac:dyDescent="0.25">
      <c r="A13" s="41" t="s">
        <v>87</v>
      </c>
      <c r="B13" s="84">
        <v>330</v>
      </c>
      <c r="C13" s="79">
        <v>10</v>
      </c>
      <c r="D13" s="3">
        <f t="shared" si="0"/>
        <v>10</v>
      </c>
      <c r="E13" s="3" t="str">
        <f t="shared" si="1"/>
        <v/>
      </c>
      <c r="F13" s="3" t="str">
        <f t="shared" si="2"/>
        <v/>
      </c>
      <c r="G13" s="3" t="str">
        <f t="shared" si="3"/>
        <v/>
      </c>
    </row>
    <row r="14" spans="1:10" x14ac:dyDescent="0.25">
      <c r="A14" s="41" t="s">
        <v>87</v>
      </c>
      <c r="B14" s="84">
        <v>990</v>
      </c>
      <c r="C14" s="79">
        <v>10</v>
      </c>
      <c r="D14" s="3">
        <f t="shared" si="0"/>
        <v>10</v>
      </c>
      <c r="E14" s="3" t="str">
        <f t="shared" si="1"/>
        <v/>
      </c>
      <c r="F14" s="3" t="str">
        <f t="shared" si="2"/>
        <v/>
      </c>
      <c r="G14" s="3" t="str">
        <f t="shared" si="3"/>
        <v/>
      </c>
    </row>
    <row r="15" spans="1:10" x14ac:dyDescent="0.25">
      <c r="A15" s="41" t="s">
        <v>87</v>
      </c>
      <c r="B15" s="84">
        <v>500</v>
      </c>
      <c r="C15" s="79">
        <v>10</v>
      </c>
      <c r="D15" s="3">
        <f t="shared" si="0"/>
        <v>10</v>
      </c>
      <c r="E15" s="3" t="str">
        <f t="shared" si="1"/>
        <v/>
      </c>
      <c r="F15" s="3" t="str">
        <f t="shared" si="2"/>
        <v/>
      </c>
      <c r="G15" s="3" t="str">
        <f t="shared" si="3"/>
        <v/>
      </c>
    </row>
    <row r="16" spans="1:10" x14ac:dyDescent="0.25">
      <c r="A16" s="41" t="s">
        <v>87</v>
      </c>
      <c r="B16" s="84">
        <v>1500</v>
      </c>
      <c r="C16" s="79" t="s">
        <v>27</v>
      </c>
      <c r="D16" s="3" t="str">
        <f t="shared" si="0"/>
        <v/>
      </c>
      <c r="E16" s="3" t="str">
        <f t="shared" si="1"/>
        <v/>
      </c>
      <c r="F16" s="3" t="str">
        <f t="shared" si="2"/>
        <v/>
      </c>
      <c r="G16" s="3" t="str">
        <f t="shared" si="3"/>
        <v/>
      </c>
    </row>
    <row r="17" spans="1:7" x14ac:dyDescent="0.25">
      <c r="A17" s="41" t="s">
        <v>87</v>
      </c>
      <c r="B17" s="84">
        <v>2500</v>
      </c>
      <c r="C17" s="79">
        <v>10</v>
      </c>
      <c r="D17" s="3" t="str">
        <f t="shared" si="0"/>
        <v/>
      </c>
      <c r="E17" s="3" t="str">
        <f t="shared" si="1"/>
        <v/>
      </c>
      <c r="F17" s="3" t="str">
        <f t="shared" si="2"/>
        <v/>
      </c>
      <c r="G17" s="3" t="str">
        <f t="shared" si="3"/>
        <v/>
      </c>
    </row>
    <row r="18" spans="1:7" x14ac:dyDescent="0.25">
      <c r="A18" s="41" t="s">
        <v>87</v>
      </c>
      <c r="B18" s="84">
        <v>466</v>
      </c>
      <c r="C18" s="79">
        <v>10</v>
      </c>
      <c r="D18" s="3">
        <f t="shared" si="0"/>
        <v>10</v>
      </c>
      <c r="E18" s="3" t="str">
        <f t="shared" si="1"/>
        <v/>
      </c>
      <c r="F18" s="3" t="str">
        <f t="shared" si="2"/>
        <v/>
      </c>
      <c r="G18" s="3" t="str">
        <f t="shared" si="3"/>
        <v/>
      </c>
    </row>
    <row r="19" spans="1:7" x14ac:dyDescent="0.25">
      <c r="A19" s="41" t="s">
        <v>98</v>
      </c>
      <c r="B19" s="84">
        <v>950</v>
      </c>
      <c r="C19" s="79" t="s">
        <v>27</v>
      </c>
      <c r="D19" s="3" t="str">
        <f t="shared" si="0"/>
        <v/>
      </c>
      <c r="E19" s="3" t="str">
        <f t="shared" si="1"/>
        <v/>
      </c>
      <c r="F19" s="3" t="str">
        <f t="shared" si="2"/>
        <v/>
      </c>
      <c r="G19" s="3" t="str">
        <f t="shared" si="3"/>
        <v/>
      </c>
    </row>
    <row r="20" spans="1:7" x14ac:dyDescent="0.25">
      <c r="A20" s="41" t="s">
        <v>98</v>
      </c>
      <c r="B20" s="84">
        <v>540</v>
      </c>
      <c r="C20" s="79" t="s">
        <v>27</v>
      </c>
      <c r="D20" s="3" t="str">
        <f t="shared" si="0"/>
        <v/>
      </c>
      <c r="E20" s="3" t="str">
        <f t="shared" si="1"/>
        <v/>
      </c>
      <c r="F20" s="3" t="str">
        <f t="shared" si="2"/>
        <v/>
      </c>
      <c r="G20" s="3" t="str">
        <f t="shared" si="3"/>
        <v/>
      </c>
    </row>
    <row r="21" spans="1:7" x14ac:dyDescent="0.25">
      <c r="A21" s="41" t="s">
        <v>56</v>
      </c>
      <c r="B21" s="84">
        <v>600</v>
      </c>
      <c r="C21" s="79">
        <v>10</v>
      </c>
      <c r="D21" s="3">
        <f t="shared" si="0"/>
        <v>10</v>
      </c>
      <c r="E21" s="3" t="str">
        <f t="shared" si="1"/>
        <v/>
      </c>
      <c r="F21" s="3" t="str">
        <f t="shared" si="2"/>
        <v/>
      </c>
      <c r="G21" s="3" t="str">
        <f t="shared" si="3"/>
        <v/>
      </c>
    </row>
    <row r="22" spans="1:7" x14ac:dyDescent="0.25">
      <c r="A22" s="41" t="s">
        <v>56</v>
      </c>
      <c r="B22" s="84">
        <v>195</v>
      </c>
      <c r="C22" s="79">
        <v>10</v>
      </c>
      <c r="D22" s="3">
        <f t="shared" si="0"/>
        <v>10</v>
      </c>
      <c r="E22" s="3" t="str">
        <f t="shared" si="1"/>
        <v/>
      </c>
      <c r="F22" s="3" t="str">
        <f t="shared" si="2"/>
        <v/>
      </c>
      <c r="G22" s="3" t="str">
        <f t="shared" si="3"/>
        <v/>
      </c>
    </row>
    <row r="23" spans="1:7" x14ac:dyDescent="0.25">
      <c r="A23" s="41" t="s">
        <v>56</v>
      </c>
      <c r="B23" s="84">
        <v>3500</v>
      </c>
      <c r="C23" s="79" t="s">
        <v>27</v>
      </c>
      <c r="D23" s="3" t="str">
        <f t="shared" si="0"/>
        <v/>
      </c>
      <c r="E23" s="3" t="str">
        <f t="shared" si="1"/>
        <v/>
      </c>
      <c r="F23" s="3" t="str">
        <f t="shared" si="2"/>
        <v/>
      </c>
      <c r="G23" s="3" t="str">
        <f t="shared" si="3"/>
        <v/>
      </c>
    </row>
    <row r="24" spans="1:7" x14ac:dyDescent="0.25">
      <c r="A24" s="41" t="s">
        <v>56</v>
      </c>
      <c r="B24" s="84">
        <v>6859.82</v>
      </c>
      <c r="C24" s="79" t="s">
        <v>27</v>
      </c>
      <c r="D24" s="3" t="str">
        <f t="shared" si="0"/>
        <v/>
      </c>
      <c r="E24" s="3" t="str">
        <f t="shared" si="1"/>
        <v/>
      </c>
      <c r="F24" s="3" t="str">
        <f t="shared" si="2"/>
        <v/>
      </c>
      <c r="G24" s="3" t="str">
        <f t="shared" si="3"/>
        <v/>
      </c>
    </row>
    <row r="25" spans="1:7" x14ac:dyDescent="0.25">
      <c r="A25" s="41" t="s">
        <v>56</v>
      </c>
      <c r="B25" s="84">
        <v>346.4</v>
      </c>
      <c r="C25" s="79">
        <v>10</v>
      </c>
      <c r="D25" s="3">
        <f t="shared" si="0"/>
        <v>10</v>
      </c>
      <c r="E25" s="3" t="str">
        <f t="shared" si="1"/>
        <v/>
      </c>
      <c r="F25" s="3" t="str">
        <f t="shared" si="2"/>
        <v/>
      </c>
      <c r="G25" s="3" t="str">
        <f t="shared" si="3"/>
        <v/>
      </c>
    </row>
    <row r="26" spans="1:7" x14ac:dyDescent="0.25">
      <c r="A26" s="41" t="s">
        <v>56</v>
      </c>
      <c r="B26" s="84">
        <v>2130</v>
      </c>
      <c r="C26" s="79" t="s">
        <v>27</v>
      </c>
      <c r="D26" s="3" t="str">
        <f t="shared" si="0"/>
        <v/>
      </c>
      <c r="E26" s="3" t="str">
        <f t="shared" si="1"/>
        <v/>
      </c>
      <c r="F26" s="3" t="str">
        <f t="shared" si="2"/>
        <v/>
      </c>
      <c r="G26" s="3" t="str">
        <f t="shared" si="3"/>
        <v/>
      </c>
    </row>
    <row r="27" spans="1:7" x14ac:dyDescent="0.25">
      <c r="A27" s="41" t="s">
        <v>56</v>
      </c>
      <c r="B27" s="84">
        <v>688</v>
      </c>
      <c r="C27" s="79" t="s">
        <v>27</v>
      </c>
      <c r="D27" s="3" t="str">
        <f t="shared" si="0"/>
        <v/>
      </c>
      <c r="E27" s="3" t="str">
        <f t="shared" si="1"/>
        <v/>
      </c>
      <c r="F27" s="3" t="str">
        <f t="shared" si="2"/>
        <v/>
      </c>
      <c r="G27" s="3" t="str">
        <f t="shared" si="3"/>
        <v/>
      </c>
    </row>
    <row r="28" spans="1:7" x14ac:dyDescent="0.25">
      <c r="A28" s="41" t="s">
        <v>56</v>
      </c>
      <c r="B28" s="84">
        <v>1200</v>
      </c>
      <c r="C28" s="79" t="s">
        <v>27</v>
      </c>
      <c r="D28" s="3" t="str">
        <f t="shared" si="0"/>
        <v/>
      </c>
      <c r="E28" s="3" t="str">
        <f t="shared" si="1"/>
        <v/>
      </c>
      <c r="F28" s="3" t="str">
        <f t="shared" si="2"/>
        <v/>
      </c>
      <c r="G28" s="3" t="str">
        <f t="shared" si="3"/>
        <v/>
      </c>
    </row>
    <row r="29" spans="1:7" x14ac:dyDescent="0.25">
      <c r="A29" s="41" t="s">
        <v>56</v>
      </c>
      <c r="B29" s="84">
        <v>510</v>
      </c>
      <c r="C29" s="79">
        <v>10</v>
      </c>
      <c r="D29" s="3">
        <f t="shared" si="0"/>
        <v>10</v>
      </c>
      <c r="E29" s="3" t="str">
        <f t="shared" si="1"/>
        <v/>
      </c>
      <c r="F29" s="3" t="str">
        <f t="shared" si="2"/>
        <v/>
      </c>
      <c r="G29" s="3" t="str">
        <f t="shared" si="3"/>
        <v/>
      </c>
    </row>
    <row r="30" spans="1:7" x14ac:dyDescent="0.25">
      <c r="A30" s="41" t="s">
        <v>56</v>
      </c>
      <c r="B30" s="84">
        <v>2100</v>
      </c>
      <c r="C30" s="79" t="s">
        <v>27</v>
      </c>
      <c r="D30" s="3" t="str">
        <f t="shared" si="0"/>
        <v/>
      </c>
      <c r="E30" s="3" t="str">
        <f t="shared" si="1"/>
        <v/>
      </c>
      <c r="F30" s="3" t="str">
        <f t="shared" si="2"/>
        <v/>
      </c>
      <c r="G30" s="3" t="str">
        <f t="shared" si="3"/>
        <v/>
      </c>
    </row>
    <row r="31" spans="1:7" x14ac:dyDescent="0.25">
      <c r="A31" s="41" t="s">
        <v>56</v>
      </c>
      <c r="B31" s="84">
        <v>181</v>
      </c>
      <c r="C31" s="79">
        <v>10</v>
      </c>
      <c r="D31" s="3">
        <f t="shared" si="0"/>
        <v>10</v>
      </c>
      <c r="E31" s="3" t="str">
        <f t="shared" si="1"/>
        <v/>
      </c>
      <c r="F31" s="3" t="str">
        <f t="shared" si="2"/>
        <v/>
      </c>
      <c r="G31" s="3" t="str">
        <f t="shared" si="3"/>
        <v/>
      </c>
    </row>
    <row r="32" spans="1:7" x14ac:dyDescent="0.25">
      <c r="A32" s="41" t="s">
        <v>56</v>
      </c>
      <c r="B32" s="84">
        <v>6184.07</v>
      </c>
      <c r="C32" s="79" t="s">
        <v>27</v>
      </c>
      <c r="D32" s="3" t="str">
        <f t="shared" si="0"/>
        <v/>
      </c>
      <c r="E32" s="3" t="str">
        <f t="shared" si="1"/>
        <v/>
      </c>
      <c r="F32" s="3" t="str">
        <f t="shared" si="2"/>
        <v/>
      </c>
      <c r="G32" s="3" t="str">
        <f t="shared" si="3"/>
        <v/>
      </c>
    </row>
    <row r="33" spans="1:7" x14ac:dyDescent="0.25">
      <c r="A33" s="41" t="s">
        <v>56</v>
      </c>
      <c r="B33" s="84">
        <v>634</v>
      </c>
      <c r="C33" s="79" t="s">
        <v>27</v>
      </c>
      <c r="D33" s="3" t="str">
        <f t="shared" si="0"/>
        <v/>
      </c>
      <c r="E33" s="3" t="str">
        <f t="shared" si="1"/>
        <v/>
      </c>
      <c r="F33" s="3" t="str">
        <f t="shared" si="2"/>
        <v/>
      </c>
      <c r="G33" s="3" t="str">
        <f t="shared" si="3"/>
        <v/>
      </c>
    </row>
    <row r="34" spans="1:7" x14ac:dyDescent="0.25">
      <c r="A34" s="41" t="s">
        <v>56</v>
      </c>
      <c r="B34" s="84">
        <v>318</v>
      </c>
      <c r="C34" s="79">
        <v>10</v>
      </c>
      <c r="D34" s="3">
        <f t="shared" si="0"/>
        <v>10</v>
      </c>
      <c r="E34" s="3" t="str">
        <f t="shared" si="1"/>
        <v/>
      </c>
      <c r="F34" s="3" t="str">
        <f t="shared" si="2"/>
        <v/>
      </c>
      <c r="G34" s="3" t="str">
        <f t="shared" si="3"/>
        <v/>
      </c>
    </row>
    <row r="35" spans="1:7" x14ac:dyDescent="0.25">
      <c r="A35" s="41" t="s">
        <v>56</v>
      </c>
      <c r="B35" s="84">
        <v>2752</v>
      </c>
      <c r="C35" s="79" t="s">
        <v>27</v>
      </c>
      <c r="D35" s="3" t="str">
        <f t="shared" si="0"/>
        <v/>
      </c>
      <c r="E35" s="3" t="str">
        <f t="shared" si="1"/>
        <v/>
      </c>
      <c r="F35" s="3" t="str">
        <f t="shared" si="2"/>
        <v/>
      </c>
      <c r="G35" s="3" t="str">
        <f t="shared" si="3"/>
        <v/>
      </c>
    </row>
    <row r="36" spans="1:7" x14ac:dyDescent="0.25">
      <c r="A36" s="41" t="s">
        <v>56</v>
      </c>
      <c r="B36" s="84">
        <v>1160.5999999999999</v>
      </c>
      <c r="C36" s="79" t="s">
        <v>27</v>
      </c>
      <c r="D36" s="3" t="str">
        <f t="shared" si="0"/>
        <v/>
      </c>
      <c r="E36" s="3" t="str">
        <f t="shared" si="1"/>
        <v/>
      </c>
      <c r="F36" s="3" t="str">
        <f t="shared" si="2"/>
        <v/>
      </c>
      <c r="G36" s="3" t="str">
        <f t="shared" si="3"/>
        <v/>
      </c>
    </row>
    <row r="37" spans="1:7" x14ac:dyDescent="0.25">
      <c r="A37" s="41" t="s">
        <v>149</v>
      </c>
      <c r="B37" s="84">
        <v>1300</v>
      </c>
      <c r="C37" s="79">
        <v>10</v>
      </c>
      <c r="D37" s="3" t="str">
        <f t="shared" si="0"/>
        <v/>
      </c>
      <c r="E37" s="3">
        <f t="shared" si="1"/>
        <v>10</v>
      </c>
      <c r="F37" s="3" t="str">
        <f t="shared" si="2"/>
        <v/>
      </c>
      <c r="G37" s="3" t="str">
        <f t="shared" si="3"/>
        <v/>
      </c>
    </row>
    <row r="38" spans="1:7" x14ac:dyDescent="0.25">
      <c r="A38" s="41" t="s">
        <v>149</v>
      </c>
      <c r="B38" s="84">
        <v>3550</v>
      </c>
      <c r="C38" s="79">
        <v>10</v>
      </c>
      <c r="D38" s="3" t="str">
        <f t="shared" si="0"/>
        <v/>
      </c>
      <c r="E38" s="3" t="str">
        <f t="shared" si="1"/>
        <v/>
      </c>
      <c r="F38" s="3">
        <f t="shared" si="2"/>
        <v>10</v>
      </c>
      <c r="G38" s="3" t="str">
        <f t="shared" si="3"/>
        <v/>
      </c>
    </row>
    <row r="39" spans="1:7" x14ac:dyDescent="0.25">
      <c r="A39" s="41" t="s">
        <v>149</v>
      </c>
      <c r="B39" s="84">
        <v>400</v>
      </c>
      <c r="C39" s="79">
        <v>9</v>
      </c>
      <c r="D39" s="3">
        <f t="shared" si="0"/>
        <v>9</v>
      </c>
      <c r="E39" s="3" t="str">
        <f t="shared" si="1"/>
        <v/>
      </c>
      <c r="F39" s="3" t="str">
        <f t="shared" si="2"/>
        <v/>
      </c>
      <c r="G39" s="3" t="str">
        <f t="shared" si="3"/>
        <v/>
      </c>
    </row>
    <row r="40" spans="1:7" x14ac:dyDescent="0.25">
      <c r="A40" s="41" t="s">
        <v>149</v>
      </c>
      <c r="B40" s="84">
        <v>1296</v>
      </c>
      <c r="C40" s="79">
        <v>10</v>
      </c>
      <c r="D40" s="3" t="str">
        <f t="shared" si="0"/>
        <v/>
      </c>
      <c r="E40" s="3">
        <f t="shared" si="1"/>
        <v>10</v>
      </c>
      <c r="F40" s="3" t="str">
        <f t="shared" si="2"/>
        <v/>
      </c>
      <c r="G40" s="3" t="str">
        <f t="shared" si="3"/>
        <v/>
      </c>
    </row>
    <row r="41" spans="1:7" x14ac:dyDescent="0.25">
      <c r="A41" s="41" t="s">
        <v>149</v>
      </c>
      <c r="B41" s="84">
        <v>900</v>
      </c>
      <c r="C41" s="79">
        <v>10</v>
      </c>
      <c r="D41" s="3">
        <f t="shared" si="0"/>
        <v>10</v>
      </c>
      <c r="E41" s="3" t="str">
        <f t="shared" si="1"/>
        <v/>
      </c>
      <c r="F41" s="3" t="str">
        <f t="shared" si="2"/>
        <v/>
      </c>
      <c r="G41" s="3" t="str">
        <f t="shared" si="3"/>
        <v/>
      </c>
    </row>
    <row r="42" spans="1:7" x14ac:dyDescent="0.25">
      <c r="A42" s="41" t="s">
        <v>149</v>
      </c>
      <c r="B42" s="84">
        <v>1540</v>
      </c>
      <c r="C42" s="79">
        <v>7</v>
      </c>
      <c r="D42" s="3" t="str">
        <f t="shared" si="0"/>
        <v/>
      </c>
      <c r="E42" s="3">
        <f t="shared" si="1"/>
        <v>7</v>
      </c>
      <c r="F42" s="3" t="str">
        <f t="shared" si="2"/>
        <v/>
      </c>
      <c r="G42" s="3" t="str">
        <f t="shared" si="3"/>
        <v/>
      </c>
    </row>
    <row r="43" spans="1:7" x14ac:dyDescent="0.25">
      <c r="A43" s="41" t="s">
        <v>149</v>
      </c>
      <c r="B43" s="84">
        <v>1900</v>
      </c>
      <c r="C43" s="79">
        <v>8</v>
      </c>
      <c r="D43" s="3" t="str">
        <f t="shared" si="0"/>
        <v/>
      </c>
      <c r="E43" s="3">
        <f t="shared" si="1"/>
        <v>8</v>
      </c>
      <c r="F43" s="3" t="str">
        <f t="shared" si="2"/>
        <v/>
      </c>
      <c r="G43" s="3" t="str">
        <f t="shared" si="3"/>
        <v/>
      </c>
    </row>
    <row r="44" spans="1:7" x14ac:dyDescent="0.25">
      <c r="A44" s="41" t="s">
        <v>149</v>
      </c>
      <c r="B44" s="84">
        <v>3300</v>
      </c>
      <c r="C44" s="79" t="s">
        <v>27</v>
      </c>
      <c r="D44" s="3" t="str">
        <f t="shared" si="0"/>
        <v/>
      </c>
      <c r="E44" s="3" t="str">
        <f t="shared" si="1"/>
        <v/>
      </c>
      <c r="F44" s="3" t="str">
        <f t="shared" si="2"/>
        <v/>
      </c>
      <c r="G44" s="3" t="str">
        <f t="shared" si="3"/>
        <v/>
      </c>
    </row>
    <row r="45" spans="1:7" x14ac:dyDescent="0.25">
      <c r="A45" s="41" t="s">
        <v>149</v>
      </c>
      <c r="B45" s="84">
        <v>6510</v>
      </c>
      <c r="C45" s="79" t="s">
        <v>27</v>
      </c>
      <c r="D45" s="3" t="str">
        <f t="shared" si="0"/>
        <v/>
      </c>
      <c r="E45" s="3" t="str">
        <f t="shared" si="1"/>
        <v/>
      </c>
      <c r="F45" s="3" t="str">
        <f t="shared" si="2"/>
        <v/>
      </c>
      <c r="G45" s="3" t="str">
        <f t="shared" si="3"/>
        <v/>
      </c>
    </row>
    <row r="46" spans="1:7" x14ac:dyDescent="0.25">
      <c r="A46" s="41" t="s">
        <v>149</v>
      </c>
      <c r="B46" s="84">
        <v>2400</v>
      </c>
      <c r="C46" s="79" t="s">
        <v>27</v>
      </c>
      <c r="D46" s="3" t="str">
        <f t="shared" si="0"/>
        <v/>
      </c>
      <c r="E46" s="3" t="str">
        <f t="shared" si="1"/>
        <v/>
      </c>
      <c r="F46" s="3" t="str">
        <f t="shared" si="2"/>
        <v/>
      </c>
      <c r="G46" s="3" t="str">
        <f t="shared" si="3"/>
        <v/>
      </c>
    </row>
    <row r="47" spans="1:7" x14ac:dyDescent="0.25">
      <c r="A47" s="41" t="s">
        <v>149</v>
      </c>
      <c r="B47" s="84">
        <v>2700</v>
      </c>
      <c r="C47" s="79" t="s">
        <v>27</v>
      </c>
      <c r="D47" s="3" t="str">
        <f t="shared" si="0"/>
        <v/>
      </c>
      <c r="E47" s="3" t="str">
        <f t="shared" si="1"/>
        <v/>
      </c>
      <c r="F47" s="3" t="str">
        <f t="shared" si="2"/>
        <v/>
      </c>
      <c r="G47" s="3" t="str">
        <f t="shared" si="3"/>
        <v/>
      </c>
    </row>
    <row r="48" spans="1:7" x14ac:dyDescent="0.25">
      <c r="A48" s="41" t="s">
        <v>149</v>
      </c>
      <c r="B48" s="84">
        <v>2700</v>
      </c>
      <c r="C48" s="79" t="s">
        <v>27</v>
      </c>
      <c r="D48" s="3" t="str">
        <f t="shared" si="0"/>
        <v/>
      </c>
      <c r="E48" s="3" t="str">
        <f t="shared" si="1"/>
        <v/>
      </c>
      <c r="F48" s="3" t="str">
        <f t="shared" si="2"/>
        <v/>
      </c>
      <c r="G48" s="3" t="str">
        <f t="shared" si="3"/>
        <v/>
      </c>
    </row>
    <row r="49" spans="1:7" x14ac:dyDescent="0.25">
      <c r="A49" s="41" t="s">
        <v>149</v>
      </c>
      <c r="B49" s="84">
        <v>1700</v>
      </c>
      <c r="C49" s="79" t="s">
        <v>27</v>
      </c>
      <c r="D49" s="3" t="str">
        <f t="shared" si="0"/>
        <v/>
      </c>
      <c r="E49" s="3" t="str">
        <f t="shared" si="1"/>
        <v/>
      </c>
      <c r="F49" s="3" t="str">
        <f t="shared" si="2"/>
        <v/>
      </c>
      <c r="G49" s="3" t="str">
        <f t="shared" si="3"/>
        <v/>
      </c>
    </row>
    <row r="50" spans="1:7" x14ac:dyDescent="0.25">
      <c r="A50" s="41" t="s">
        <v>149</v>
      </c>
      <c r="B50" s="84">
        <v>3260</v>
      </c>
      <c r="C50" s="79" t="s">
        <v>27</v>
      </c>
      <c r="D50" s="3" t="str">
        <f t="shared" si="0"/>
        <v/>
      </c>
      <c r="E50" s="3" t="str">
        <f t="shared" si="1"/>
        <v/>
      </c>
      <c r="F50" s="3" t="str">
        <f t="shared" si="2"/>
        <v/>
      </c>
      <c r="G50" s="3" t="str">
        <f t="shared" si="3"/>
        <v/>
      </c>
    </row>
    <row r="51" spans="1:7" x14ac:dyDescent="0.25">
      <c r="A51" s="41" t="s">
        <v>149</v>
      </c>
      <c r="B51" s="84">
        <v>1600</v>
      </c>
      <c r="C51" s="79" t="s">
        <v>27</v>
      </c>
      <c r="D51" s="3" t="str">
        <f t="shared" si="0"/>
        <v/>
      </c>
      <c r="E51" s="3" t="str">
        <f t="shared" si="1"/>
        <v/>
      </c>
      <c r="F51" s="3" t="str">
        <f t="shared" si="2"/>
        <v/>
      </c>
      <c r="G51" s="3" t="str">
        <f t="shared" si="3"/>
        <v/>
      </c>
    </row>
    <row r="52" spans="1:7" x14ac:dyDescent="0.25">
      <c r="A52" s="41" t="s">
        <v>149</v>
      </c>
      <c r="B52" s="84">
        <v>3500</v>
      </c>
      <c r="C52" s="79" t="s">
        <v>27</v>
      </c>
      <c r="D52" s="3" t="str">
        <f t="shared" si="0"/>
        <v/>
      </c>
      <c r="E52" s="3" t="str">
        <f t="shared" si="1"/>
        <v/>
      </c>
      <c r="F52" s="3" t="str">
        <f t="shared" si="2"/>
        <v/>
      </c>
      <c r="G52" s="3" t="str">
        <f t="shared" si="3"/>
        <v/>
      </c>
    </row>
    <row r="53" spans="1:7" x14ac:dyDescent="0.25">
      <c r="A53" s="41" t="s">
        <v>149</v>
      </c>
      <c r="B53" s="84">
        <v>2200</v>
      </c>
      <c r="C53" s="79" t="s">
        <v>27</v>
      </c>
      <c r="D53" s="3" t="str">
        <f t="shared" si="0"/>
        <v/>
      </c>
      <c r="E53" s="3" t="str">
        <f t="shared" si="1"/>
        <v/>
      </c>
      <c r="F53" s="3" t="str">
        <f t="shared" si="2"/>
        <v/>
      </c>
      <c r="G53" s="3" t="str">
        <f t="shared" si="3"/>
        <v/>
      </c>
    </row>
    <row r="54" spans="1:7" x14ac:dyDescent="0.25">
      <c r="A54" s="41" t="s">
        <v>149</v>
      </c>
      <c r="B54" s="84">
        <v>950</v>
      </c>
      <c r="C54" s="79">
        <v>9</v>
      </c>
      <c r="D54" s="3">
        <f t="shared" si="0"/>
        <v>9</v>
      </c>
      <c r="E54" s="3" t="str">
        <f t="shared" si="1"/>
        <v/>
      </c>
      <c r="F54" s="3" t="str">
        <f t="shared" si="2"/>
        <v/>
      </c>
      <c r="G54" s="3" t="str">
        <f t="shared" si="3"/>
        <v/>
      </c>
    </row>
    <row r="55" spans="1:7" x14ac:dyDescent="0.25">
      <c r="A55" s="41" t="s">
        <v>149</v>
      </c>
      <c r="B55" s="84">
        <v>1100</v>
      </c>
      <c r="C55" s="79" t="s">
        <v>27</v>
      </c>
      <c r="D55" s="3" t="str">
        <f t="shared" si="0"/>
        <v/>
      </c>
      <c r="E55" s="3" t="str">
        <f t="shared" si="1"/>
        <v/>
      </c>
      <c r="F55" s="3" t="str">
        <f t="shared" si="2"/>
        <v/>
      </c>
      <c r="G55" s="3" t="str">
        <f t="shared" si="3"/>
        <v/>
      </c>
    </row>
    <row r="56" spans="1:7" x14ac:dyDescent="0.25">
      <c r="A56" s="41" t="s">
        <v>149</v>
      </c>
      <c r="B56" s="84">
        <v>2300</v>
      </c>
      <c r="C56" s="79" t="s">
        <v>27</v>
      </c>
      <c r="D56" s="3" t="str">
        <f t="shared" si="0"/>
        <v/>
      </c>
      <c r="E56" s="3" t="str">
        <f t="shared" si="1"/>
        <v/>
      </c>
      <c r="F56" s="3" t="str">
        <f t="shared" si="2"/>
        <v/>
      </c>
      <c r="G56" s="3" t="str">
        <f t="shared" si="3"/>
        <v/>
      </c>
    </row>
    <row r="57" spans="1:7" x14ac:dyDescent="0.25">
      <c r="A57" s="41" t="s">
        <v>149</v>
      </c>
      <c r="B57" s="84">
        <v>3500</v>
      </c>
      <c r="C57" s="79" t="s">
        <v>27</v>
      </c>
      <c r="D57" s="3" t="str">
        <f t="shared" si="0"/>
        <v/>
      </c>
      <c r="E57" s="3" t="str">
        <f t="shared" si="1"/>
        <v/>
      </c>
      <c r="F57" s="3" t="str">
        <f t="shared" si="2"/>
        <v/>
      </c>
      <c r="G57" s="3" t="str">
        <f t="shared" si="3"/>
        <v/>
      </c>
    </row>
    <row r="58" spans="1:7" x14ac:dyDescent="0.25">
      <c r="A58" s="41" t="s">
        <v>149</v>
      </c>
      <c r="B58" s="84">
        <v>3400</v>
      </c>
      <c r="C58" s="79" t="s">
        <v>27</v>
      </c>
      <c r="D58" s="3" t="str">
        <f t="shared" si="0"/>
        <v/>
      </c>
      <c r="E58" s="3" t="str">
        <f t="shared" si="1"/>
        <v/>
      </c>
      <c r="F58" s="3" t="str">
        <f t="shared" si="2"/>
        <v/>
      </c>
      <c r="G58" s="3" t="str">
        <f t="shared" si="3"/>
        <v/>
      </c>
    </row>
    <row r="59" spans="1:7" x14ac:dyDescent="0.25">
      <c r="A59" s="41" t="s">
        <v>149</v>
      </c>
      <c r="B59" s="84">
        <v>3000</v>
      </c>
      <c r="C59" s="79" t="s">
        <v>27</v>
      </c>
      <c r="D59" s="3" t="str">
        <f t="shared" si="0"/>
        <v/>
      </c>
      <c r="E59" s="3" t="str">
        <f t="shared" si="1"/>
        <v/>
      </c>
      <c r="F59" s="3" t="str">
        <f t="shared" si="2"/>
        <v/>
      </c>
      <c r="G59" s="3" t="str">
        <f t="shared" si="3"/>
        <v/>
      </c>
    </row>
    <row r="60" spans="1:7" x14ac:dyDescent="0.25">
      <c r="A60" s="41" t="s">
        <v>149</v>
      </c>
      <c r="B60" s="84">
        <v>2890</v>
      </c>
      <c r="C60" s="79" t="s">
        <v>27</v>
      </c>
      <c r="D60" s="3" t="str">
        <f t="shared" si="0"/>
        <v/>
      </c>
      <c r="E60" s="3" t="str">
        <f t="shared" si="1"/>
        <v/>
      </c>
      <c r="F60" s="3" t="str">
        <f t="shared" si="2"/>
        <v/>
      </c>
      <c r="G60" s="3" t="str">
        <f t="shared" si="3"/>
        <v/>
      </c>
    </row>
    <row r="61" spans="1:7" x14ac:dyDescent="0.25">
      <c r="A61" s="41" t="s">
        <v>149</v>
      </c>
      <c r="B61" s="84">
        <v>2450</v>
      </c>
      <c r="C61" s="79">
        <v>5</v>
      </c>
      <c r="D61" s="3" t="str">
        <f t="shared" si="0"/>
        <v/>
      </c>
      <c r="E61" s="3">
        <f t="shared" si="1"/>
        <v>5</v>
      </c>
      <c r="F61" s="3" t="str">
        <f t="shared" si="2"/>
        <v/>
      </c>
      <c r="G61" s="3" t="str">
        <f t="shared" si="3"/>
        <v/>
      </c>
    </row>
    <row r="62" spans="1:7" x14ac:dyDescent="0.25">
      <c r="A62" s="41" t="s">
        <v>149</v>
      </c>
      <c r="B62" s="84">
        <v>2500</v>
      </c>
      <c r="C62" s="79" t="s">
        <v>27</v>
      </c>
      <c r="D62" s="3" t="str">
        <f t="shared" si="0"/>
        <v/>
      </c>
      <c r="E62" s="3" t="str">
        <f t="shared" si="1"/>
        <v/>
      </c>
      <c r="F62" s="3" t="str">
        <f t="shared" si="2"/>
        <v/>
      </c>
      <c r="G62" s="3" t="str">
        <f t="shared" si="3"/>
        <v/>
      </c>
    </row>
    <row r="63" spans="1:7" x14ac:dyDescent="0.25">
      <c r="A63" s="41" t="s">
        <v>149</v>
      </c>
      <c r="B63" s="84">
        <v>2050</v>
      </c>
      <c r="C63" s="79" t="s">
        <v>27</v>
      </c>
      <c r="D63" s="3" t="str">
        <f t="shared" si="0"/>
        <v/>
      </c>
      <c r="E63" s="3" t="str">
        <f t="shared" si="1"/>
        <v/>
      </c>
      <c r="F63" s="3" t="str">
        <f t="shared" si="2"/>
        <v/>
      </c>
      <c r="G63" s="3" t="str">
        <f t="shared" si="3"/>
        <v/>
      </c>
    </row>
    <row r="64" spans="1:7" x14ac:dyDescent="0.25">
      <c r="A64" s="41" t="s">
        <v>149</v>
      </c>
      <c r="B64" s="84">
        <v>2000</v>
      </c>
      <c r="C64" s="79" t="s">
        <v>27</v>
      </c>
      <c r="D64" s="3" t="str">
        <f t="shared" si="0"/>
        <v/>
      </c>
      <c r="E64" s="3" t="str">
        <f t="shared" si="1"/>
        <v/>
      </c>
      <c r="F64" s="3" t="str">
        <f t="shared" si="2"/>
        <v/>
      </c>
      <c r="G64" s="3" t="str">
        <f t="shared" si="3"/>
        <v/>
      </c>
    </row>
    <row r="65" spans="1:7" x14ac:dyDescent="0.25">
      <c r="A65" s="41" t="s">
        <v>66</v>
      </c>
      <c r="B65" s="84">
        <v>680</v>
      </c>
      <c r="C65" s="79">
        <v>8</v>
      </c>
      <c r="D65" s="3">
        <f t="shared" si="0"/>
        <v>8</v>
      </c>
      <c r="E65" s="3" t="str">
        <f t="shared" si="1"/>
        <v/>
      </c>
      <c r="F65" s="3" t="str">
        <f t="shared" si="2"/>
        <v/>
      </c>
      <c r="G65" s="3" t="str">
        <f t="shared" si="3"/>
        <v/>
      </c>
    </row>
    <row r="66" spans="1:7" x14ac:dyDescent="0.25">
      <c r="A66" s="41" t="s">
        <v>66</v>
      </c>
      <c r="B66" s="84">
        <v>1000</v>
      </c>
      <c r="C66" s="79">
        <v>10</v>
      </c>
      <c r="D66" s="3" t="str">
        <f t="shared" si="0"/>
        <v/>
      </c>
      <c r="E66" s="3" t="str">
        <f t="shared" si="1"/>
        <v/>
      </c>
      <c r="F66" s="3" t="str">
        <f t="shared" si="2"/>
        <v/>
      </c>
      <c r="G66" s="3" t="str">
        <f t="shared" si="3"/>
        <v/>
      </c>
    </row>
    <row r="67" spans="1:7" x14ac:dyDescent="0.25">
      <c r="A67" s="41" t="s">
        <v>66</v>
      </c>
      <c r="B67" s="84">
        <v>300</v>
      </c>
      <c r="C67" s="79">
        <v>10</v>
      </c>
      <c r="D67" s="3">
        <f t="shared" ref="D67:D130" si="4">IF(AND(B67&gt;0,B67&lt;1000),C67,"")</f>
        <v>10</v>
      </c>
      <c r="E67" s="3" t="str">
        <f t="shared" ref="E67:E130" si="5">IF(AND(B67&gt;1000,B67&lt;2500),C67,"")</f>
        <v/>
      </c>
      <c r="F67" s="3" t="str">
        <f t="shared" ref="F67:F130" si="6">IF(AND(B67&gt;2500,B67&lt;5000),C67,"")</f>
        <v/>
      </c>
      <c r="G67" s="3" t="str">
        <f t="shared" ref="G67:G130" si="7">IF(B67&gt;=5000,C67,"")</f>
        <v/>
      </c>
    </row>
    <row r="68" spans="1:7" x14ac:dyDescent="0.25">
      <c r="A68" s="41" t="s">
        <v>66</v>
      </c>
      <c r="B68" s="84">
        <v>700</v>
      </c>
      <c r="C68" s="79" t="s">
        <v>27</v>
      </c>
      <c r="D68" s="3" t="str">
        <f t="shared" si="4"/>
        <v/>
      </c>
      <c r="E68" s="3" t="str">
        <f t="shared" si="5"/>
        <v/>
      </c>
      <c r="F68" s="3" t="str">
        <f t="shared" si="6"/>
        <v/>
      </c>
      <c r="G68" s="3" t="str">
        <f t="shared" si="7"/>
        <v/>
      </c>
    </row>
    <row r="69" spans="1:7" x14ac:dyDescent="0.25">
      <c r="A69" s="41" t="s">
        <v>66</v>
      </c>
      <c r="B69" s="84">
        <v>2400</v>
      </c>
      <c r="C69" s="79" t="s">
        <v>27</v>
      </c>
      <c r="D69" s="3" t="str">
        <f t="shared" si="4"/>
        <v/>
      </c>
      <c r="E69" s="3" t="str">
        <f t="shared" si="5"/>
        <v/>
      </c>
      <c r="F69" s="3" t="str">
        <f t="shared" si="6"/>
        <v/>
      </c>
      <c r="G69" s="3" t="str">
        <f t="shared" si="7"/>
        <v/>
      </c>
    </row>
    <row r="70" spans="1:7" x14ac:dyDescent="0.25">
      <c r="A70" s="41" t="s">
        <v>66</v>
      </c>
      <c r="B70" s="84">
        <v>1500</v>
      </c>
      <c r="C70" s="79" t="s">
        <v>27</v>
      </c>
      <c r="D70" s="3" t="str">
        <f t="shared" si="4"/>
        <v/>
      </c>
      <c r="E70" s="3" t="str">
        <f t="shared" si="5"/>
        <v/>
      </c>
      <c r="F70" s="3" t="str">
        <f t="shared" si="6"/>
        <v/>
      </c>
      <c r="G70" s="3" t="str">
        <f t="shared" si="7"/>
        <v/>
      </c>
    </row>
    <row r="71" spans="1:7" x14ac:dyDescent="0.25">
      <c r="A71" s="41" t="s">
        <v>66</v>
      </c>
      <c r="B71" s="84">
        <v>3900</v>
      </c>
      <c r="C71" s="79" t="s">
        <v>27</v>
      </c>
      <c r="D71" s="3" t="str">
        <f t="shared" si="4"/>
        <v/>
      </c>
      <c r="E71" s="3" t="str">
        <f t="shared" si="5"/>
        <v/>
      </c>
      <c r="F71" s="3" t="str">
        <f t="shared" si="6"/>
        <v/>
      </c>
      <c r="G71" s="3" t="str">
        <f t="shared" si="7"/>
        <v/>
      </c>
    </row>
    <row r="72" spans="1:7" x14ac:dyDescent="0.25">
      <c r="A72" s="41" t="s">
        <v>42</v>
      </c>
      <c r="B72" s="84">
        <v>120</v>
      </c>
      <c r="C72" s="79" t="s">
        <v>27</v>
      </c>
      <c r="D72" s="3" t="str">
        <f t="shared" si="4"/>
        <v/>
      </c>
      <c r="E72" s="3" t="str">
        <f t="shared" si="5"/>
        <v/>
      </c>
      <c r="F72" s="3" t="str">
        <f t="shared" si="6"/>
        <v/>
      </c>
      <c r="G72" s="3" t="str">
        <f t="shared" si="7"/>
        <v/>
      </c>
    </row>
    <row r="73" spans="1:7" x14ac:dyDescent="0.25">
      <c r="A73" s="41" t="s">
        <v>42</v>
      </c>
      <c r="B73" s="84">
        <v>1050</v>
      </c>
      <c r="C73" s="79">
        <v>10</v>
      </c>
      <c r="D73" s="3" t="str">
        <f t="shared" si="4"/>
        <v/>
      </c>
      <c r="E73" s="3">
        <f t="shared" si="5"/>
        <v>10</v>
      </c>
      <c r="F73" s="3" t="str">
        <f t="shared" si="6"/>
        <v/>
      </c>
      <c r="G73" s="3" t="str">
        <f t="shared" si="7"/>
        <v/>
      </c>
    </row>
    <row r="74" spans="1:7" x14ac:dyDescent="0.25">
      <c r="A74" s="41" t="s">
        <v>42</v>
      </c>
      <c r="B74" s="84">
        <v>410</v>
      </c>
      <c r="C74" s="79">
        <v>10</v>
      </c>
      <c r="D74" s="3">
        <f t="shared" si="4"/>
        <v>10</v>
      </c>
      <c r="E74" s="3" t="str">
        <f t="shared" si="5"/>
        <v/>
      </c>
      <c r="F74" s="3" t="str">
        <f t="shared" si="6"/>
        <v/>
      </c>
      <c r="G74" s="3" t="str">
        <f t="shared" si="7"/>
        <v/>
      </c>
    </row>
    <row r="75" spans="1:7" x14ac:dyDescent="0.25">
      <c r="A75" s="41" t="s">
        <v>42</v>
      </c>
      <c r="B75" s="84">
        <v>200</v>
      </c>
      <c r="C75" s="79">
        <v>10</v>
      </c>
      <c r="D75" s="3">
        <f t="shared" si="4"/>
        <v>10</v>
      </c>
      <c r="E75" s="3" t="str">
        <f t="shared" si="5"/>
        <v/>
      </c>
      <c r="F75" s="3" t="str">
        <f t="shared" si="6"/>
        <v/>
      </c>
      <c r="G75" s="3" t="str">
        <f t="shared" si="7"/>
        <v/>
      </c>
    </row>
    <row r="76" spans="1:7" x14ac:dyDescent="0.25">
      <c r="A76" s="41" t="s">
        <v>42</v>
      </c>
      <c r="B76" s="84">
        <v>2500</v>
      </c>
      <c r="C76" s="79" t="s">
        <v>27</v>
      </c>
      <c r="D76" s="3" t="str">
        <f t="shared" si="4"/>
        <v/>
      </c>
      <c r="E76" s="3" t="str">
        <f t="shared" si="5"/>
        <v/>
      </c>
      <c r="F76" s="3" t="str">
        <f t="shared" si="6"/>
        <v/>
      </c>
      <c r="G76" s="3" t="str">
        <f t="shared" si="7"/>
        <v/>
      </c>
    </row>
    <row r="77" spans="1:7" x14ac:dyDescent="0.25">
      <c r="A77" s="41" t="s">
        <v>42</v>
      </c>
      <c r="B77" s="84">
        <v>960</v>
      </c>
      <c r="C77" s="79">
        <v>10</v>
      </c>
      <c r="D77" s="3">
        <f t="shared" si="4"/>
        <v>10</v>
      </c>
      <c r="E77" s="3" t="str">
        <f t="shared" si="5"/>
        <v/>
      </c>
      <c r="F77" s="3" t="str">
        <f t="shared" si="6"/>
        <v/>
      </c>
      <c r="G77" s="3" t="str">
        <f t="shared" si="7"/>
        <v/>
      </c>
    </row>
    <row r="78" spans="1:7" x14ac:dyDescent="0.25">
      <c r="A78" s="41" t="s">
        <v>42</v>
      </c>
      <c r="B78" s="84">
        <v>200</v>
      </c>
      <c r="C78" s="79">
        <v>10</v>
      </c>
      <c r="D78" s="3">
        <f t="shared" si="4"/>
        <v>10</v>
      </c>
      <c r="E78" s="3" t="str">
        <f t="shared" si="5"/>
        <v/>
      </c>
      <c r="F78" s="3" t="str">
        <f t="shared" si="6"/>
        <v/>
      </c>
      <c r="G78" s="3" t="str">
        <f t="shared" si="7"/>
        <v/>
      </c>
    </row>
    <row r="79" spans="1:7" x14ac:dyDescent="0.25">
      <c r="A79" s="41" t="s">
        <v>42</v>
      </c>
      <c r="B79" s="84">
        <v>1400</v>
      </c>
      <c r="C79" s="79">
        <v>10</v>
      </c>
      <c r="D79" s="3" t="str">
        <f t="shared" si="4"/>
        <v/>
      </c>
      <c r="E79" s="3">
        <f t="shared" si="5"/>
        <v>10</v>
      </c>
      <c r="F79" s="3" t="str">
        <f t="shared" si="6"/>
        <v/>
      </c>
      <c r="G79" s="3" t="str">
        <f t="shared" si="7"/>
        <v/>
      </c>
    </row>
    <row r="80" spans="1:7" x14ac:dyDescent="0.25">
      <c r="A80" s="41" t="s">
        <v>42</v>
      </c>
      <c r="B80" s="84">
        <v>300</v>
      </c>
      <c r="C80" s="79">
        <v>10</v>
      </c>
      <c r="D80" s="3">
        <f t="shared" si="4"/>
        <v>10</v>
      </c>
      <c r="E80" s="3" t="str">
        <f t="shared" si="5"/>
        <v/>
      </c>
      <c r="F80" s="3" t="str">
        <f t="shared" si="6"/>
        <v/>
      </c>
      <c r="G80" s="3" t="str">
        <f t="shared" si="7"/>
        <v/>
      </c>
    </row>
    <row r="81" spans="1:7" x14ac:dyDescent="0.25">
      <c r="A81" s="41" t="s">
        <v>42</v>
      </c>
      <c r="B81" s="84">
        <v>200</v>
      </c>
      <c r="C81" s="79">
        <v>10</v>
      </c>
      <c r="D81" s="3">
        <f t="shared" si="4"/>
        <v>10</v>
      </c>
      <c r="E81" s="3" t="str">
        <f t="shared" si="5"/>
        <v/>
      </c>
      <c r="F81" s="3" t="str">
        <f t="shared" si="6"/>
        <v/>
      </c>
      <c r="G81" s="3" t="str">
        <f t="shared" si="7"/>
        <v/>
      </c>
    </row>
    <row r="82" spans="1:7" x14ac:dyDescent="0.25">
      <c r="A82" s="41" t="s">
        <v>42</v>
      </c>
      <c r="B82" s="84">
        <v>1585</v>
      </c>
      <c r="C82" s="79">
        <v>10</v>
      </c>
      <c r="D82" s="3" t="str">
        <f t="shared" si="4"/>
        <v/>
      </c>
      <c r="E82" s="3">
        <f t="shared" si="5"/>
        <v>10</v>
      </c>
      <c r="F82" s="3" t="str">
        <f t="shared" si="6"/>
        <v/>
      </c>
      <c r="G82" s="3" t="str">
        <f t="shared" si="7"/>
        <v/>
      </c>
    </row>
    <row r="83" spans="1:7" x14ac:dyDescent="0.25">
      <c r="A83" s="41" t="s">
        <v>42</v>
      </c>
      <c r="B83" s="84">
        <v>805</v>
      </c>
      <c r="C83" s="79">
        <v>10</v>
      </c>
      <c r="D83" s="3">
        <f t="shared" si="4"/>
        <v>10</v>
      </c>
      <c r="E83" s="3" t="str">
        <f t="shared" si="5"/>
        <v/>
      </c>
      <c r="F83" s="3" t="str">
        <f t="shared" si="6"/>
        <v/>
      </c>
      <c r="G83" s="3" t="str">
        <f t="shared" si="7"/>
        <v/>
      </c>
    </row>
    <row r="84" spans="1:7" x14ac:dyDescent="0.25">
      <c r="A84" s="41" t="s">
        <v>42</v>
      </c>
      <c r="B84" s="84">
        <v>1135</v>
      </c>
      <c r="C84" s="79">
        <v>10</v>
      </c>
      <c r="D84" s="3" t="str">
        <f t="shared" si="4"/>
        <v/>
      </c>
      <c r="E84" s="3">
        <f t="shared" si="5"/>
        <v>10</v>
      </c>
      <c r="F84" s="3" t="str">
        <f t="shared" si="6"/>
        <v/>
      </c>
      <c r="G84" s="3" t="str">
        <f t="shared" si="7"/>
        <v/>
      </c>
    </row>
    <row r="85" spans="1:7" x14ac:dyDescent="0.25">
      <c r="A85" s="41" t="s">
        <v>42</v>
      </c>
      <c r="B85" s="84">
        <v>1400</v>
      </c>
      <c r="C85" s="79">
        <v>10</v>
      </c>
      <c r="D85" s="3" t="str">
        <f t="shared" si="4"/>
        <v/>
      </c>
      <c r="E85" s="3">
        <f t="shared" si="5"/>
        <v>10</v>
      </c>
      <c r="F85" s="3" t="str">
        <f t="shared" si="6"/>
        <v/>
      </c>
      <c r="G85" s="3" t="str">
        <f t="shared" si="7"/>
        <v/>
      </c>
    </row>
    <row r="86" spans="1:7" x14ac:dyDescent="0.25">
      <c r="A86" s="41" t="s">
        <v>42</v>
      </c>
      <c r="B86" s="84">
        <v>1305</v>
      </c>
      <c r="C86" s="79">
        <v>10</v>
      </c>
      <c r="D86" s="3" t="str">
        <f t="shared" si="4"/>
        <v/>
      </c>
      <c r="E86" s="3">
        <f t="shared" si="5"/>
        <v>10</v>
      </c>
      <c r="F86" s="3" t="str">
        <f t="shared" si="6"/>
        <v/>
      </c>
      <c r="G86" s="3" t="str">
        <f t="shared" si="7"/>
        <v/>
      </c>
    </row>
    <row r="87" spans="1:7" x14ac:dyDescent="0.25">
      <c r="A87" s="41" t="s">
        <v>42</v>
      </c>
      <c r="B87" s="84">
        <v>1395</v>
      </c>
      <c r="C87" s="79">
        <v>10</v>
      </c>
      <c r="D87" s="3" t="str">
        <f t="shared" si="4"/>
        <v/>
      </c>
      <c r="E87" s="3">
        <f t="shared" si="5"/>
        <v>10</v>
      </c>
      <c r="F87" s="3" t="str">
        <f t="shared" si="6"/>
        <v/>
      </c>
      <c r="G87" s="3" t="str">
        <f t="shared" si="7"/>
        <v/>
      </c>
    </row>
    <row r="88" spans="1:7" x14ac:dyDescent="0.25">
      <c r="A88" s="41" t="s">
        <v>42</v>
      </c>
      <c r="B88" s="84">
        <v>120</v>
      </c>
      <c r="C88" s="79">
        <v>10</v>
      </c>
      <c r="D88" s="3">
        <f t="shared" si="4"/>
        <v>10</v>
      </c>
      <c r="E88" s="3" t="str">
        <f t="shared" si="5"/>
        <v/>
      </c>
      <c r="F88" s="3" t="str">
        <f t="shared" si="6"/>
        <v/>
      </c>
      <c r="G88" s="3" t="str">
        <f t="shared" si="7"/>
        <v/>
      </c>
    </row>
    <row r="89" spans="1:7" x14ac:dyDescent="0.25">
      <c r="A89" s="41" t="s">
        <v>42</v>
      </c>
      <c r="B89" s="84">
        <v>1200</v>
      </c>
      <c r="C89" s="79">
        <v>9</v>
      </c>
      <c r="D89" s="3" t="str">
        <f t="shared" si="4"/>
        <v/>
      </c>
      <c r="E89" s="3">
        <f t="shared" si="5"/>
        <v>9</v>
      </c>
      <c r="F89" s="3" t="str">
        <f t="shared" si="6"/>
        <v/>
      </c>
      <c r="G89" s="3" t="str">
        <f t="shared" si="7"/>
        <v/>
      </c>
    </row>
    <row r="90" spans="1:7" x14ac:dyDescent="0.25">
      <c r="A90" s="41" t="s">
        <v>42</v>
      </c>
      <c r="B90" s="84">
        <v>480</v>
      </c>
      <c r="C90" s="79">
        <v>10</v>
      </c>
      <c r="D90" s="3">
        <f t="shared" si="4"/>
        <v>10</v>
      </c>
      <c r="E90" s="3" t="str">
        <f t="shared" si="5"/>
        <v/>
      </c>
      <c r="F90" s="3" t="str">
        <f t="shared" si="6"/>
        <v/>
      </c>
      <c r="G90" s="3" t="str">
        <f t="shared" si="7"/>
        <v/>
      </c>
    </row>
    <row r="91" spans="1:7" x14ac:dyDescent="0.25">
      <c r="A91" s="41" t="s">
        <v>42</v>
      </c>
      <c r="B91" s="84">
        <v>80</v>
      </c>
      <c r="C91" s="79">
        <v>8</v>
      </c>
      <c r="D91" s="3">
        <f t="shared" si="4"/>
        <v>8</v>
      </c>
      <c r="E91" s="3" t="str">
        <f t="shared" si="5"/>
        <v/>
      </c>
      <c r="F91" s="3" t="str">
        <f t="shared" si="6"/>
        <v/>
      </c>
      <c r="G91" s="3" t="str">
        <f t="shared" si="7"/>
        <v/>
      </c>
    </row>
    <row r="92" spans="1:7" x14ac:dyDescent="0.25">
      <c r="A92" s="41" t="s">
        <v>42</v>
      </c>
      <c r="B92" s="84">
        <v>1200</v>
      </c>
      <c r="C92" s="79">
        <v>10</v>
      </c>
      <c r="D92" s="3" t="str">
        <f t="shared" si="4"/>
        <v/>
      </c>
      <c r="E92" s="3">
        <f t="shared" si="5"/>
        <v>10</v>
      </c>
      <c r="F92" s="3" t="str">
        <f t="shared" si="6"/>
        <v/>
      </c>
      <c r="G92" s="3" t="str">
        <f t="shared" si="7"/>
        <v/>
      </c>
    </row>
    <row r="93" spans="1:7" x14ac:dyDescent="0.25">
      <c r="A93" s="41" t="s">
        <v>42</v>
      </c>
      <c r="B93" s="84">
        <v>480</v>
      </c>
      <c r="C93" s="79">
        <v>9</v>
      </c>
      <c r="D93" s="3">
        <f t="shared" si="4"/>
        <v>9</v>
      </c>
      <c r="E93" s="3" t="str">
        <f t="shared" si="5"/>
        <v/>
      </c>
      <c r="F93" s="3" t="str">
        <f t="shared" si="6"/>
        <v/>
      </c>
      <c r="G93" s="3" t="str">
        <f t="shared" si="7"/>
        <v/>
      </c>
    </row>
    <row r="94" spans="1:7" x14ac:dyDescent="0.25">
      <c r="A94" s="41" t="s">
        <v>42</v>
      </c>
      <c r="B94" s="84">
        <v>200</v>
      </c>
      <c r="C94" s="79">
        <v>8</v>
      </c>
      <c r="D94" s="3">
        <f t="shared" si="4"/>
        <v>8</v>
      </c>
      <c r="E94" s="3" t="str">
        <f t="shared" si="5"/>
        <v/>
      </c>
      <c r="F94" s="3" t="str">
        <f t="shared" si="6"/>
        <v/>
      </c>
      <c r="G94" s="3" t="str">
        <f t="shared" si="7"/>
        <v/>
      </c>
    </row>
    <row r="95" spans="1:7" x14ac:dyDescent="0.25">
      <c r="A95" s="41" t="s">
        <v>42</v>
      </c>
      <c r="B95" s="84">
        <v>1590</v>
      </c>
      <c r="C95" s="79">
        <v>10</v>
      </c>
      <c r="D95" s="3" t="str">
        <f t="shared" si="4"/>
        <v/>
      </c>
      <c r="E95" s="3">
        <f t="shared" si="5"/>
        <v>10</v>
      </c>
      <c r="F95" s="3" t="str">
        <f t="shared" si="6"/>
        <v/>
      </c>
      <c r="G95" s="3" t="str">
        <f t="shared" si="7"/>
        <v/>
      </c>
    </row>
    <row r="96" spans="1:7" x14ac:dyDescent="0.25">
      <c r="A96" s="41" t="s">
        <v>42</v>
      </c>
      <c r="B96" s="84">
        <v>80</v>
      </c>
      <c r="C96" s="79">
        <v>10</v>
      </c>
      <c r="D96" s="3">
        <f t="shared" si="4"/>
        <v>10</v>
      </c>
      <c r="E96" s="3" t="str">
        <f t="shared" si="5"/>
        <v/>
      </c>
      <c r="F96" s="3" t="str">
        <f t="shared" si="6"/>
        <v/>
      </c>
      <c r="G96" s="3" t="str">
        <f t="shared" si="7"/>
        <v/>
      </c>
    </row>
    <row r="97" spans="1:7" x14ac:dyDescent="0.25">
      <c r="A97" s="41" t="s">
        <v>42</v>
      </c>
      <c r="B97" s="84">
        <v>80</v>
      </c>
      <c r="C97" s="79">
        <v>10</v>
      </c>
      <c r="D97" s="3">
        <f t="shared" si="4"/>
        <v>10</v>
      </c>
      <c r="E97" s="3" t="str">
        <f t="shared" si="5"/>
        <v/>
      </c>
      <c r="F97" s="3" t="str">
        <f t="shared" si="6"/>
        <v/>
      </c>
      <c r="G97" s="3" t="str">
        <f t="shared" si="7"/>
        <v/>
      </c>
    </row>
    <row r="98" spans="1:7" x14ac:dyDescent="0.25">
      <c r="A98" s="41" t="s">
        <v>42</v>
      </c>
      <c r="B98" s="84">
        <v>120</v>
      </c>
      <c r="C98" s="79">
        <v>9</v>
      </c>
      <c r="D98" s="3">
        <f t="shared" si="4"/>
        <v>9</v>
      </c>
      <c r="E98" s="3" t="str">
        <f t="shared" si="5"/>
        <v/>
      </c>
      <c r="F98" s="3" t="str">
        <f t="shared" si="6"/>
        <v/>
      </c>
      <c r="G98" s="3" t="str">
        <f t="shared" si="7"/>
        <v/>
      </c>
    </row>
    <row r="99" spans="1:7" x14ac:dyDescent="0.25">
      <c r="A99" s="41" t="s">
        <v>42</v>
      </c>
      <c r="B99" s="84">
        <v>885</v>
      </c>
      <c r="C99" s="79">
        <v>10</v>
      </c>
      <c r="D99" s="3">
        <f t="shared" si="4"/>
        <v>10</v>
      </c>
      <c r="E99" s="3" t="str">
        <f t="shared" si="5"/>
        <v/>
      </c>
      <c r="F99" s="3" t="str">
        <f t="shared" si="6"/>
        <v/>
      </c>
      <c r="G99" s="3" t="str">
        <f t="shared" si="7"/>
        <v/>
      </c>
    </row>
    <row r="100" spans="1:7" x14ac:dyDescent="0.25">
      <c r="A100" s="41" t="s">
        <v>42</v>
      </c>
      <c r="B100" s="84">
        <v>80</v>
      </c>
      <c r="C100" s="79">
        <v>10</v>
      </c>
      <c r="D100" s="3">
        <f t="shared" si="4"/>
        <v>10</v>
      </c>
      <c r="E100" s="3" t="str">
        <f t="shared" si="5"/>
        <v/>
      </c>
      <c r="F100" s="3" t="str">
        <f t="shared" si="6"/>
        <v/>
      </c>
      <c r="G100" s="3" t="str">
        <f t="shared" si="7"/>
        <v/>
      </c>
    </row>
    <row r="101" spans="1:7" x14ac:dyDescent="0.25">
      <c r="A101" s="41" t="s">
        <v>42</v>
      </c>
      <c r="B101" s="84">
        <v>60</v>
      </c>
      <c r="C101" s="79">
        <v>10</v>
      </c>
      <c r="D101" s="3">
        <f t="shared" si="4"/>
        <v>10</v>
      </c>
      <c r="E101" s="3" t="str">
        <f t="shared" si="5"/>
        <v/>
      </c>
      <c r="F101" s="3" t="str">
        <f t="shared" si="6"/>
        <v/>
      </c>
      <c r="G101" s="3" t="str">
        <f t="shared" si="7"/>
        <v/>
      </c>
    </row>
    <row r="102" spans="1:7" x14ac:dyDescent="0.25">
      <c r="A102" s="41" t="s">
        <v>42</v>
      </c>
      <c r="B102" s="84">
        <v>80</v>
      </c>
      <c r="C102" s="79">
        <v>9</v>
      </c>
      <c r="D102" s="3">
        <f t="shared" si="4"/>
        <v>9</v>
      </c>
      <c r="E102" s="3" t="str">
        <f t="shared" si="5"/>
        <v/>
      </c>
      <c r="F102" s="3" t="str">
        <f t="shared" si="6"/>
        <v/>
      </c>
      <c r="G102" s="3" t="str">
        <f t="shared" si="7"/>
        <v/>
      </c>
    </row>
    <row r="103" spans="1:7" x14ac:dyDescent="0.25">
      <c r="A103" s="41" t="s">
        <v>42</v>
      </c>
      <c r="B103" s="84">
        <v>80</v>
      </c>
      <c r="C103" s="79">
        <v>8</v>
      </c>
      <c r="D103" s="3">
        <f t="shared" si="4"/>
        <v>8</v>
      </c>
      <c r="E103" s="3" t="str">
        <f t="shared" si="5"/>
        <v/>
      </c>
      <c r="F103" s="3" t="str">
        <f t="shared" si="6"/>
        <v/>
      </c>
      <c r="G103" s="3" t="str">
        <f t="shared" si="7"/>
        <v/>
      </c>
    </row>
    <row r="104" spans="1:7" x14ac:dyDescent="0.25">
      <c r="A104" s="41" t="s">
        <v>42</v>
      </c>
      <c r="B104" s="84">
        <v>80</v>
      </c>
      <c r="C104" s="79">
        <v>10</v>
      </c>
      <c r="D104" s="3">
        <f t="shared" si="4"/>
        <v>10</v>
      </c>
      <c r="E104" s="3" t="str">
        <f t="shared" si="5"/>
        <v/>
      </c>
      <c r="F104" s="3" t="str">
        <f t="shared" si="6"/>
        <v/>
      </c>
      <c r="G104" s="3" t="str">
        <f t="shared" si="7"/>
        <v/>
      </c>
    </row>
    <row r="105" spans="1:7" x14ac:dyDescent="0.25">
      <c r="A105" s="41" t="s">
        <v>42</v>
      </c>
      <c r="B105" s="84">
        <v>840</v>
      </c>
      <c r="C105" s="79">
        <v>9</v>
      </c>
      <c r="D105" s="3">
        <f t="shared" si="4"/>
        <v>9</v>
      </c>
      <c r="E105" s="3" t="str">
        <f t="shared" si="5"/>
        <v/>
      </c>
      <c r="F105" s="3" t="str">
        <f t="shared" si="6"/>
        <v/>
      </c>
      <c r="G105" s="3" t="str">
        <f t="shared" si="7"/>
        <v/>
      </c>
    </row>
    <row r="106" spans="1:7" x14ac:dyDescent="0.25">
      <c r="A106" s="41" t="s">
        <v>42</v>
      </c>
      <c r="B106" s="84">
        <v>80</v>
      </c>
      <c r="C106" s="79">
        <v>10</v>
      </c>
      <c r="D106" s="3">
        <f t="shared" si="4"/>
        <v>10</v>
      </c>
      <c r="E106" s="3" t="str">
        <f t="shared" si="5"/>
        <v/>
      </c>
      <c r="F106" s="3" t="str">
        <f t="shared" si="6"/>
        <v/>
      </c>
      <c r="G106" s="3" t="str">
        <f t="shared" si="7"/>
        <v/>
      </c>
    </row>
    <row r="107" spans="1:7" x14ac:dyDescent="0.25">
      <c r="A107" s="41" t="s">
        <v>42</v>
      </c>
      <c r="B107" s="84">
        <v>80</v>
      </c>
      <c r="C107" s="79">
        <v>10</v>
      </c>
      <c r="D107" s="3">
        <f t="shared" si="4"/>
        <v>10</v>
      </c>
      <c r="E107" s="3" t="str">
        <f t="shared" si="5"/>
        <v/>
      </c>
      <c r="F107" s="3" t="str">
        <f t="shared" si="6"/>
        <v/>
      </c>
      <c r="G107" s="3" t="str">
        <f t="shared" si="7"/>
        <v/>
      </c>
    </row>
    <row r="108" spans="1:7" x14ac:dyDescent="0.25">
      <c r="A108" s="41" t="s">
        <v>42</v>
      </c>
      <c r="B108" s="84">
        <v>80</v>
      </c>
      <c r="C108" s="79">
        <v>9</v>
      </c>
      <c r="D108" s="3">
        <f t="shared" si="4"/>
        <v>9</v>
      </c>
      <c r="E108" s="3" t="str">
        <f t="shared" si="5"/>
        <v/>
      </c>
      <c r="F108" s="3" t="str">
        <f t="shared" si="6"/>
        <v/>
      </c>
      <c r="G108" s="3" t="str">
        <f t="shared" si="7"/>
        <v/>
      </c>
    </row>
    <row r="109" spans="1:7" x14ac:dyDescent="0.25">
      <c r="A109" s="41" t="s">
        <v>42</v>
      </c>
      <c r="B109" s="84">
        <v>910</v>
      </c>
      <c r="C109" s="79">
        <v>10</v>
      </c>
      <c r="D109" s="3">
        <f t="shared" si="4"/>
        <v>10</v>
      </c>
      <c r="E109" s="3" t="str">
        <f t="shared" si="5"/>
        <v/>
      </c>
      <c r="F109" s="3" t="str">
        <f t="shared" si="6"/>
        <v/>
      </c>
      <c r="G109" s="3" t="str">
        <f t="shared" si="7"/>
        <v/>
      </c>
    </row>
    <row r="110" spans="1:7" x14ac:dyDescent="0.25">
      <c r="A110" s="41" t="s">
        <v>42</v>
      </c>
      <c r="B110" s="84">
        <v>80</v>
      </c>
      <c r="C110" s="79">
        <v>10</v>
      </c>
      <c r="D110" s="3">
        <f t="shared" si="4"/>
        <v>10</v>
      </c>
      <c r="E110" s="3" t="str">
        <f t="shared" si="5"/>
        <v/>
      </c>
      <c r="F110" s="3" t="str">
        <f t="shared" si="6"/>
        <v/>
      </c>
      <c r="G110" s="3" t="str">
        <f t="shared" si="7"/>
        <v/>
      </c>
    </row>
    <row r="111" spans="1:7" x14ac:dyDescent="0.25">
      <c r="A111" s="41" t="s">
        <v>42</v>
      </c>
      <c r="B111" s="84">
        <v>80</v>
      </c>
      <c r="C111" s="79">
        <v>10</v>
      </c>
      <c r="D111" s="3">
        <f t="shared" si="4"/>
        <v>10</v>
      </c>
      <c r="E111" s="3" t="str">
        <f t="shared" si="5"/>
        <v/>
      </c>
      <c r="F111" s="3" t="str">
        <f t="shared" si="6"/>
        <v/>
      </c>
      <c r="G111" s="3" t="str">
        <f t="shared" si="7"/>
        <v/>
      </c>
    </row>
    <row r="112" spans="1:7" x14ac:dyDescent="0.25">
      <c r="A112" s="41" t="s">
        <v>42</v>
      </c>
      <c r="B112" s="84">
        <v>80</v>
      </c>
      <c r="C112" s="79">
        <v>10</v>
      </c>
      <c r="D112" s="3">
        <f t="shared" si="4"/>
        <v>10</v>
      </c>
      <c r="E112" s="3" t="str">
        <f t="shared" si="5"/>
        <v/>
      </c>
      <c r="F112" s="3" t="str">
        <f t="shared" si="6"/>
        <v/>
      </c>
      <c r="G112" s="3" t="str">
        <f t="shared" si="7"/>
        <v/>
      </c>
    </row>
    <row r="113" spans="1:7" x14ac:dyDescent="0.25">
      <c r="A113" s="41" t="s">
        <v>42</v>
      </c>
      <c r="B113" s="84">
        <v>80</v>
      </c>
      <c r="C113" s="79">
        <v>10</v>
      </c>
      <c r="D113" s="3">
        <f t="shared" si="4"/>
        <v>10</v>
      </c>
      <c r="E113" s="3" t="str">
        <f t="shared" si="5"/>
        <v/>
      </c>
      <c r="F113" s="3" t="str">
        <f t="shared" si="6"/>
        <v/>
      </c>
      <c r="G113" s="3" t="str">
        <f t="shared" si="7"/>
        <v/>
      </c>
    </row>
    <row r="114" spans="1:7" x14ac:dyDescent="0.25">
      <c r="A114" s="41" t="s">
        <v>42</v>
      </c>
      <c r="B114" s="84">
        <v>120</v>
      </c>
      <c r="C114" s="79">
        <v>10</v>
      </c>
      <c r="D114" s="3">
        <f t="shared" si="4"/>
        <v>10</v>
      </c>
      <c r="E114" s="3" t="str">
        <f t="shared" si="5"/>
        <v/>
      </c>
      <c r="F114" s="3" t="str">
        <f t="shared" si="6"/>
        <v/>
      </c>
      <c r="G114" s="3" t="str">
        <f t="shared" si="7"/>
        <v/>
      </c>
    </row>
    <row r="115" spans="1:7" x14ac:dyDescent="0.25">
      <c r="A115" s="41" t="s">
        <v>42</v>
      </c>
      <c r="B115" s="84">
        <v>140</v>
      </c>
      <c r="C115" s="79">
        <v>10</v>
      </c>
      <c r="D115" s="3">
        <f t="shared" si="4"/>
        <v>10</v>
      </c>
      <c r="E115" s="3" t="str">
        <f t="shared" si="5"/>
        <v/>
      </c>
      <c r="F115" s="3" t="str">
        <f t="shared" si="6"/>
        <v/>
      </c>
      <c r="G115" s="3" t="str">
        <f t="shared" si="7"/>
        <v/>
      </c>
    </row>
    <row r="116" spans="1:7" x14ac:dyDescent="0.25">
      <c r="A116" s="41" t="s">
        <v>42</v>
      </c>
      <c r="B116" s="84">
        <v>80</v>
      </c>
      <c r="C116" s="79">
        <v>8</v>
      </c>
      <c r="D116" s="3">
        <f t="shared" si="4"/>
        <v>8</v>
      </c>
      <c r="E116" s="3" t="str">
        <f t="shared" si="5"/>
        <v/>
      </c>
      <c r="F116" s="3" t="str">
        <f t="shared" si="6"/>
        <v/>
      </c>
      <c r="G116" s="3" t="str">
        <f t="shared" si="7"/>
        <v/>
      </c>
    </row>
    <row r="117" spans="1:7" x14ac:dyDescent="0.25">
      <c r="A117" s="41" t="s">
        <v>42</v>
      </c>
      <c r="B117" s="84">
        <v>80</v>
      </c>
      <c r="C117" s="79">
        <v>10</v>
      </c>
      <c r="D117" s="3">
        <f t="shared" si="4"/>
        <v>10</v>
      </c>
      <c r="E117" s="3" t="str">
        <f t="shared" si="5"/>
        <v/>
      </c>
      <c r="F117" s="3" t="str">
        <f t="shared" si="6"/>
        <v/>
      </c>
      <c r="G117" s="3" t="str">
        <f t="shared" si="7"/>
        <v/>
      </c>
    </row>
    <row r="118" spans="1:7" x14ac:dyDescent="0.25">
      <c r="A118" s="41" t="s">
        <v>42</v>
      </c>
      <c r="B118" s="84">
        <v>80</v>
      </c>
      <c r="C118" s="79">
        <v>10</v>
      </c>
      <c r="D118" s="3">
        <f t="shared" si="4"/>
        <v>10</v>
      </c>
      <c r="E118" s="3" t="str">
        <f t="shared" si="5"/>
        <v/>
      </c>
      <c r="F118" s="3" t="str">
        <f t="shared" si="6"/>
        <v/>
      </c>
      <c r="G118" s="3" t="str">
        <f t="shared" si="7"/>
        <v/>
      </c>
    </row>
    <row r="119" spans="1:7" x14ac:dyDescent="0.25">
      <c r="A119" s="41" t="s">
        <v>42</v>
      </c>
      <c r="B119" s="84">
        <v>80</v>
      </c>
      <c r="C119" s="79">
        <v>9</v>
      </c>
      <c r="D119" s="3">
        <f t="shared" si="4"/>
        <v>9</v>
      </c>
      <c r="E119" s="3" t="str">
        <f t="shared" si="5"/>
        <v/>
      </c>
      <c r="F119" s="3" t="str">
        <f t="shared" si="6"/>
        <v/>
      </c>
      <c r="G119" s="3" t="str">
        <f t="shared" si="7"/>
        <v/>
      </c>
    </row>
    <row r="120" spans="1:7" x14ac:dyDescent="0.25">
      <c r="A120" s="41" t="s">
        <v>42</v>
      </c>
      <c r="B120" s="84">
        <v>80</v>
      </c>
      <c r="C120" s="79">
        <v>10</v>
      </c>
      <c r="D120" s="3">
        <f t="shared" si="4"/>
        <v>10</v>
      </c>
      <c r="E120" s="3" t="str">
        <f t="shared" si="5"/>
        <v/>
      </c>
      <c r="F120" s="3" t="str">
        <f t="shared" si="6"/>
        <v/>
      </c>
      <c r="G120" s="3" t="str">
        <f t="shared" si="7"/>
        <v/>
      </c>
    </row>
    <row r="121" spans="1:7" x14ac:dyDescent="0.25">
      <c r="A121" s="41" t="s">
        <v>42</v>
      </c>
      <c r="B121" s="84">
        <v>200</v>
      </c>
      <c r="C121" s="79">
        <v>10</v>
      </c>
      <c r="D121" s="3">
        <f t="shared" si="4"/>
        <v>10</v>
      </c>
      <c r="E121" s="3" t="str">
        <f t="shared" si="5"/>
        <v/>
      </c>
      <c r="F121" s="3" t="str">
        <f t="shared" si="6"/>
        <v/>
      </c>
      <c r="G121" s="3" t="str">
        <f t="shared" si="7"/>
        <v/>
      </c>
    </row>
    <row r="122" spans="1:7" x14ac:dyDescent="0.25">
      <c r="A122" s="41" t="s">
        <v>42</v>
      </c>
      <c r="B122" s="84">
        <v>80</v>
      </c>
      <c r="C122" s="79">
        <v>10</v>
      </c>
      <c r="D122" s="3">
        <f t="shared" si="4"/>
        <v>10</v>
      </c>
      <c r="E122" s="3" t="str">
        <f t="shared" si="5"/>
        <v/>
      </c>
      <c r="F122" s="3" t="str">
        <f t="shared" si="6"/>
        <v/>
      </c>
      <c r="G122" s="3" t="str">
        <f t="shared" si="7"/>
        <v/>
      </c>
    </row>
    <row r="123" spans="1:7" x14ac:dyDescent="0.25">
      <c r="A123" s="41" t="s">
        <v>42</v>
      </c>
      <c r="B123" s="84">
        <v>80</v>
      </c>
      <c r="C123" s="79">
        <v>10</v>
      </c>
      <c r="D123" s="3">
        <f t="shared" si="4"/>
        <v>10</v>
      </c>
      <c r="E123" s="3" t="str">
        <f t="shared" si="5"/>
        <v/>
      </c>
      <c r="F123" s="3" t="str">
        <f t="shared" si="6"/>
        <v/>
      </c>
      <c r="G123" s="3" t="str">
        <f t="shared" si="7"/>
        <v/>
      </c>
    </row>
    <row r="124" spans="1:7" x14ac:dyDescent="0.25">
      <c r="A124" s="41" t="s">
        <v>42</v>
      </c>
      <c r="B124" s="84">
        <v>1345</v>
      </c>
      <c r="C124" s="79">
        <v>10</v>
      </c>
      <c r="D124" s="3" t="str">
        <f t="shared" si="4"/>
        <v/>
      </c>
      <c r="E124" s="3">
        <f t="shared" si="5"/>
        <v>10</v>
      </c>
      <c r="F124" s="3" t="str">
        <f t="shared" si="6"/>
        <v/>
      </c>
      <c r="G124" s="3" t="str">
        <f t="shared" si="7"/>
        <v/>
      </c>
    </row>
    <row r="125" spans="1:7" x14ac:dyDescent="0.25">
      <c r="A125" s="41" t="s">
        <v>42</v>
      </c>
      <c r="B125" s="84">
        <v>80</v>
      </c>
      <c r="C125" s="79">
        <v>10</v>
      </c>
      <c r="D125" s="3">
        <f t="shared" si="4"/>
        <v>10</v>
      </c>
      <c r="E125" s="3" t="str">
        <f t="shared" si="5"/>
        <v/>
      </c>
      <c r="F125" s="3" t="str">
        <f t="shared" si="6"/>
        <v/>
      </c>
      <c r="G125" s="3" t="str">
        <f t="shared" si="7"/>
        <v/>
      </c>
    </row>
    <row r="126" spans="1:7" x14ac:dyDescent="0.25">
      <c r="A126" s="41" t="s">
        <v>42</v>
      </c>
      <c r="B126" s="84">
        <v>80</v>
      </c>
      <c r="C126" s="79">
        <v>10</v>
      </c>
      <c r="D126" s="3">
        <f t="shared" si="4"/>
        <v>10</v>
      </c>
      <c r="E126" s="3" t="str">
        <f t="shared" si="5"/>
        <v/>
      </c>
      <c r="F126" s="3" t="str">
        <f t="shared" si="6"/>
        <v/>
      </c>
      <c r="G126" s="3" t="str">
        <f t="shared" si="7"/>
        <v/>
      </c>
    </row>
    <row r="127" spans="1:7" x14ac:dyDescent="0.25">
      <c r="A127" s="41" t="s">
        <v>42</v>
      </c>
      <c r="B127" s="84">
        <v>80</v>
      </c>
      <c r="C127" s="79">
        <v>10</v>
      </c>
      <c r="D127" s="3">
        <f t="shared" si="4"/>
        <v>10</v>
      </c>
      <c r="E127" s="3" t="str">
        <f t="shared" si="5"/>
        <v/>
      </c>
      <c r="F127" s="3" t="str">
        <f t="shared" si="6"/>
        <v/>
      </c>
      <c r="G127" s="3" t="str">
        <f t="shared" si="7"/>
        <v/>
      </c>
    </row>
    <row r="128" spans="1:7" x14ac:dyDescent="0.25">
      <c r="A128" s="41" t="s">
        <v>42</v>
      </c>
      <c r="B128" s="84">
        <v>100</v>
      </c>
      <c r="C128" s="79">
        <v>10</v>
      </c>
      <c r="D128" s="3">
        <f t="shared" si="4"/>
        <v>10</v>
      </c>
      <c r="E128" s="3" t="str">
        <f t="shared" si="5"/>
        <v/>
      </c>
      <c r="F128" s="3" t="str">
        <f t="shared" si="6"/>
        <v/>
      </c>
      <c r="G128" s="3" t="str">
        <f t="shared" si="7"/>
        <v/>
      </c>
    </row>
    <row r="129" spans="1:7" x14ac:dyDescent="0.25">
      <c r="A129" s="41" t="s">
        <v>42</v>
      </c>
      <c r="B129" s="84">
        <v>1305</v>
      </c>
      <c r="C129" s="79">
        <v>10</v>
      </c>
      <c r="D129" s="3" t="str">
        <f t="shared" si="4"/>
        <v/>
      </c>
      <c r="E129" s="3">
        <f t="shared" si="5"/>
        <v>10</v>
      </c>
      <c r="F129" s="3" t="str">
        <f t="shared" si="6"/>
        <v/>
      </c>
      <c r="G129" s="3" t="str">
        <f t="shared" si="7"/>
        <v/>
      </c>
    </row>
    <row r="130" spans="1:7" x14ac:dyDescent="0.25">
      <c r="A130" s="41" t="s">
        <v>42</v>
      </c>
      <c r="B130" s="84">
        <v>720</v>
      </c>
      <c r="C130" s="79">
        <v>10</v>
      </c>
      <c r="D130" s="3">
        <f t="shared" si="4"/>
        <v>10</v>
      </c>
      <c r="E130" s="3" t="str">
        <f t="shared" si="5"/>
        <v/>
      </c>
      <c r="F130" s="3" t="str">
        <f t="shared" si="6"/>
        <v/>
      </c>
      <c r="G130" s="3" t="str">
        <f t="shared" si="7"/>
        <v/>
      </c>
    </row>
    <row r="131" spans="1:7" x14ac:dyDescent="0.25">
      <c r="A131" s="41" t="s">
        <v>42</v>
      </c>
      <c r="B131" s="84">
        <v>520</v>
      </c>
      <c r="C131" s="79" t="s">
        <v>27</v>
      </c>
      <c r="D131" s="3" t="str">
        <f t="shared" ref="D131:D194" si="8">IF(AND(B131&gt;0,B131&lt;1000),C131,"")</f>
        <v/>
      </c>
      <c r="E131" s="3" t="str">
        <f t="shared" ref="E131:E194" si="9">IF(AND(B131&gt;1000,B131&lt;2500),C131,"")</f>
        <v/>
      </c>
      <c r="F131" s="3" t="str">
        <f t="shared" ref="F131:F194" si="10">IF(AND(B131&gt;2500,B131&lt;5000),C131,"")</f>
        <v/>
      </c>
      <c r="G131" s="3" t="str">
        <f t="shared" ref="G131:G194" si="11">IF(B131&gt;=5000,C131,"")</f>
        <v/>
      </c>
    </row>
    <row r="132" spans="1:7" x14ac:dyDescent="0.25">
      <c r="A132" s="41" t="s">
        <v>42</v>
      </c>
      <c r="B132" s="84">
        <v>1185</v>
      </c>
      <c r="C132" s="79" t="s">
        <v>27</v>
      </c>
      <c r="D132" s="3" t="str">
        <f t="shared" si="8"/>
        <v/>
      </c>
      <c r="E132" s="3" t="str">
        <f t="shared" si="9"/>
        <v/>
      </c>
      <c r="F132" s="3" t="str">
        <f t="shared" si="10"/>
        <v/>
      </c>
      <c r="G132" s="3" t="str">
        <f t="shared" si="11"/>
        <v/>
      </c>
    </row>
    <row r="133" spans="1:7" x14ac:dyDescent="0.25">
      <c r="A133" s="41" t="s">
        <v>42</v>
      </c>
      <c r="B133" s="84">
        <v>80</v>
      </c>
      <c r="C133" s="79">
        <v>10</v>
      </c>
      <c r="D133" s="3">
        <f t="shared" si="8"/>
        <v>10</v>
      </c>
      <c r="E133" s="3" t="str">
        <f t="shared" si="9"/>
        <v/>
      </c>
      <c r="F133" s="3" t="str">
        <f t="shared" si="10"/>
        <v/>
      </c>
      <c r="G133" s="3" t="str">
        <f t="shared" si="11"/>
        <v/>
      </c>
    </row>
    <row r="134" spans="1:7" x14ac:dyDescent="0.25">
      <c r="A134" s="41" t="s">
        <v>42</v>
      </c>
      <c r="B134" s="84">
        <v>80</v>
      </c>
      <c r="C134" s="79">
        <v>10</v>
      </c>
      <c r="D134" s="3">
        <f t="shared" si="8"/>
        <v>10</v>
      </c>
      <c r="E134" s="3" t="str">
        <f t="shared" si="9"/>
        <v/>
      </c>
      <c r="F134" s="3" t="str">
        <f t="shared" si="10"/>
        <v/>
      </c>
      <c r="G134" s="3" t="str">
        <f t="shared" si="11"/>
        <v/>
      </c>
    </row>
    <row r="135" spans="1:7" x14ac:dyDescent="0.25">
      <c r="A135" s="41" t="s">
        <v>42</v>
      </c>
      <c r="B135" s="84">
        <v>80</v>
      </c>
      <c r="C135" s="79">
        <v>10</v>
      </c>
      <c r="D135" s="3">
        <f t="shared" si="8"/>
        <v>10</v>
      </c>
      <c r="E135" s="3" t="str">
        <f t="shared" si="9"/>
        <v/>
      </c>
      <c r="F135" s="3" t="str">
        <f t="shared" si="10"/>
        <v/>
      </c>
      <c r="G135" s="3" t="str">
        <f t="shared" si="11"/>
        <v/>
      </c>
    </row>
    <row r="136" spans="1:7" x14ac:dyDescent="0.25">
      <c r="A136" s="41" t="s">
        <v>42</v>
      </c>
      <c r="B136" s="84">
        <v>80</v>
      </c>
      <c r="C136" s="79">
        <v>10</v>
      </c>
      <c r="D136" s="3">
        <f t="shared" si="8"/>
        <v>10</v>
      </c>
      <c r="E136" s="3" t="str">
        <f t="shared" si="9"/>
        <v/>
      </c>
      <c r="F136" s="3" t="str">
        <f t="shared" si="10"/>
        <v/>
      </c>
      <c r="G136" s="3" t="str">
        <f t="shared" si="11"/>
        <v/>
      </c>
    </row>
    <row r="137" spans="1:7" x14ac:dyDescent="0.25">
      <c r="A137" s="41" t="s">
        <v>42</v>
      </c>
      <c r="B137" s="84">
        <v>80</v>
      </c>
      <c r="C137" s="79">
        <v>10</v>
      </c>
      <c r="D137" s="3">
        <f t="shared" si="8"/>
        <v>10</v>
      </c>
      <c r="E137" s="3" t="str">
        <f t="shared" si="9"/>
        <v/>
      </c>
      <c r="F137" s="3" t="str">
        <f t="shared" si="10"/>
        <v/>
      </c>
      <c r="G137" s="3" t="str">
        <f t="shared" si="11"/>
        <v/>
      </c>
    </row>
    <row r="138" spans="1:7" x14ac:dyDescent="0.25">
      <c r="A138" s="41" t="s">
        <v>42</v>
      </c>
      <c r="B138" s="84">
        <v>80</v>
      </c>
      <c r="C138" s="79">
        <v>10</v>
      </c>
      <c r="D138" s="3">
        <f t="shared" si="8"/>
        <v>10</v>
      </c>
      <c r="E138" s="3" t="str">
        <f t="shared" si="9"/>
        <v/>
      </c>
      <c r="F138" s="3" t="str">
        <f t="shared" si="10"/>
        <v/>
      </c>
      <c r="G138" s="3" t="str">
        <f t="shared" si="11"/>
        <v/>
      </c>
    </row>
    <row r="139" spans="1:7" x14ac:dyDescent="0.25">
      <c r="A139" s="41" t="s">
        <v>42</v>
      </c>
      <c r="B139" s="84">
        <v>80</v>
      </c>
      <c r="C139" s="79">
        <v>10</v>
      </c>
      <c r="D139" s="3">
        <f t="shared" si="8"/>
        <v>10</v>
      </c>
      <c r="E139" s="3" t="str">
        <f t="shared" si="9"/>
        <v/>
      </c>
      <c r="F139" s="3" t="str">
        <f t="shared" si="10"/>
        <v/>
      </c>
      <c r="G139" s="3" t="str">
        <f t="shared" si="11"/>
        <v/>
      </c>
    </row>
    <row r="140" spans="1:7" x14ac:dyDescent="0.25">
      <c r="A140" s="41" t="s">
        <v>42</v>
      </c>
      <c r="B140" s="84">
        <v>530</v>
      </c>
      <c r="C140" s="79">
        <v>10</v>
      </c>
      <c r="D140" s="3">
        <f t="shared" si="8"/>
        <v>10</v>
      </c>
      <c r="E140" s="3" t="str">
        <f t="shared" si="9"/>
        <v/>
      </c>
      <c r="F140" s="3" t="str">
        <f t="shared" si="10"/>
        <v/>
      </c>
      <c r="G140" s="3" t="str">
        <f t="shared" si="11"/>
        <v/>
      </c>
    </row>
    <row r="141" spans="1:7" x14ac:dyDescent="0.25">
      <c r="A141" s="41" t="s">
        <v>42</v>
      </c>
      <c r="B141" s="84">
        <v>80</v>
      </c>
      <c r="C141" s="79">
        <v>10</v>
      </c>
      <c r="D141" s="3">
        <f t="shared" si="8"/>
        <v>10</v>
      </c>
      <c r="E141" s="3" t="str">
        <f t="shared" si="9"/>
        <v/>
      </c>
      <c r="F141" s="3" t="str">
        <f t="shared" si="10"/>
        <v/>
      </c>
      <c r="G141" s="3" t="str">
        <f t="shared" si="11"/>
        <v/>
      </c>
    </row>
    <row r="142" spans="1:7" x14ac:dyDescent="0.25">
      <c r="A142" s="41" t="s">
        <v>42</v>
      </c>
      <c r="B142" s="84">
        <v>415</v>
      </c>
      <c r="C142" s="79" t="s">
        <v>27</v>
      </c>
      <c r="D142" s="3" t="str">
        <f t="shared" si="8"/>
        <v/>
      </c>
      <c r="E142" s="3" t="str">
        <f t="shared" si="9"/>
        <v/>
      </c>
      <c r="F142" s="3" t="str">
        <f t="shared" si="10"/>
        <v/>
      </c>
      <c r="G142" s="3" t="str">
        <f t="shared" si="11"/>
        <v/>
      </c>
    </row>
    <row r="143" spans="1:7" x14ac:dyDescent="0.25">
      <c r="A143" s="41" t="s">
        <v>42</v>
      </c>
      <c r="B143" s="84">
        <v>1210</v>
      </c>
      <c r="C143" s="79">
        <v>10</v>
      </c>
      <c r="D143" s="3" t="str">
        <f t="shared" si="8"/>
        <v/>
      </c>
      <c r="E143" s="3">
        <f t="shared" si="9"/>
        <v>10</v>
      </c>
      <c r="F143" s="3" t="str">
        <f t="shared" si="10"/>
        <v/>
      </c>
      <c r="G143" s="3" t="str">
        <f t="shared" si="11"/>
        <v/>
      </c>
    </row>
    <row r="144" spans="1:7" x14ac:dyDescent="0.25">
      <c r="A144" s="41" t="s">
        <v>42</v>
      </c>
      <c r="B144" s="84">
        <v>80</v>
      </c>
      <c r="C144" s="79">
        <v>10</v>
      </c>
      <c r="D144" s="3">
        <f t="shared" si="8"/>
        <v>10</v>
      </c>
      <c r="E144" s="3" t="str">
        <f t="shared" si="9"/>
        <v/>
      </c>
      <c r="F144" s="3" t="str">
        <f t="shared" si="10"/>
        <v/>
      </c>
      <c r="G144" s="3" t="str">
        <f t="shared" si="11"/>
        <v/>
      </c>
    </row>
    <row r="145" spans="1:7" x14ac:dyDescent="0.25">
      <c r="A145" s="41" t="s">
        <v>42</v>
      </c>
      <c r="B145" s="84">
        <v>635</v>
      </c>
      <c r="C145" s="79">
        <v>10</v>
      </c>
      <c r="D145" s="3">
        <f t="shared" si="8"/>
        <v>10</v>
      </c>
      <c r="E145" s="3" t="str">
        <f t="shared" si="9"/>
        <v/>
      </c>
      <c r="F145" s="3" t="str">
        <f t="shared" si="10"/>
        <v/>
      </c>
      <c r="G145" s="3" t="str">
        <f t="shared" si="11"/>
        <v/>
      </c>
    </row>
    <row r="146" spans="1:7" x14ac:dyDescent="0.25">
      <c r="A146" s="41" t="s">
        <v>42</v>
      </c>
      <c r="B146" s="84">
        <v>80</v>
      </c>
      <c r="C146" s="79" t="s">
        <v>27</v>
      </c>
      <c r="D146" s="3" t="str">
        <f t="shared" si="8"/>
        <v/>
      </c>
      <c r="E146" s="3" t="str">
        <f t="shared" si="9"/>
        <v/>
      </c>
      <c r="F146" s="3" t="str">
        <f t="shared" si="10"/>
        <v/>
      </c>
      <c r="G146" s="3" t="str">
        <f t="shared" si="11"/>
        <v/>
      </c>
    </row>
    <row r="147" spans="1:7" x14ac:dyDescent="0.25">
      <c r="A147" s="41" t="s">
        <v>42</v>
      </c>
      <c r="B147" s="84">
        <v>120</v>
      </c>
      <c r="C147" s="79" t="s">
        <v>27</v>
      </c>
      <c r="D147" s="3" t="str">
        <f t="shared" si="8"/>
        <v/>
      </c>
      <c r="E147" s="3" t="str">
        <f t="shared" si="9"/>
        <v/>
      </c>
      <c r="F147" s="3" t="str">
        <f t="shared" si="10"/>
        <v/>
      </c>
      <c r="G147" s="3" t="str">
        <f t="shared" si="11"/>
        <v/>
      </c>
    </row>
    <row r="148" spans="1:7" x14ac:dyDescent="0.25">
      <c r="A148" s="41" t="s">
        <v>42</v>
      </c>
      <c r="B148" s="84">
        <v>600</v>
      </c>
      <c r="C148" s="79" t="s">
        <v>27</v>
      </c>
      <c r="D148" s="3" t="str">
        <f t="shared" si="8"/>
        <v/>
      </c>
      <c r="E148" s="3" t="str">
        <f t="shared" si="9"/>
        <v/>
      </c>
      <c r="F148" s="3" t="str">
        <f t="shared" si="10"/>
        <v/>
      </c>
      <c r="G148" s="3" t="str">
        <f t="shared" si="11"/>
        <v/>
      </c>
    </row>
    <row r="149" spans="1:7" x14ac:dyDescent="0.25">
      <c r="A149" s="41" t="s">
        <v>42</v>
      </c>
      <c r="B149" s="84">
        <v>80</v>
      </c>
      <c r="C149" s="79">
        <v>10</v>
      </c>
      <c r="D149" s="3">
        <f t="shared" si="8"/>
        <v>10</v>
      </c>
      <c r="E149" s="3" t="str">
        <f t="shared" si="9"/>
        <v/>
      </c>
      <c r="F149" s="3" t="str">
        <f t="shared" si="10"/>
        <v/>
      </c>
      <c r="G149" s="3" t="str">
        <f t="shared" si="11"/>
        <v/>
      </c>
    </row>
    <row r="150" spans="1:7" x14ac:dyDescent="0.25">
      <c r="A150" s="41" t="s">
        <v>42</v>
      </c>
      <c r="B150" s="84">
        <v>1085</v>
      </c>
      <c r="C150" s="79">
        <v>9</v>
      </c>
      <c r="D150" s="3" t="str">
        <f t="shared" si="8"/>
        <v/>
      </c>
      <c r="E150" s="3">
        <f t="shared" si="9"/>
        <v>9</v>
      </c>
      <c r="F150" s="3" t="str">
        <f t="shared" si="10"/>
        <v/>
      </c>
      <c r="G150" s="3" t="str">
        <f t="shared" si="11"/>
        <v/>
      </c>
    </row>
    <row r="151" spans="1:7" x14ac:dyDescent="0.25">
      <c r="A151" s="41" t="s">
        <v>42</v>
      </c>
      <c r="B151" s="84">
        <v>1500</v>
      </c>
      <c r="C151" s="79" t="s">
        <v>27</v>
      </c>
      <c r="D151" s="3" t="str">
        <f t="shared" si="8"/>
        <v/>
      </c>
      <c r="E151" s="3" t="str">
        <f t="shared" si="9"/>
        <v/>
      </c>
      <c r="F151" s="3" t="str">
        <f t="shared" si="10"/>
        <v/>
      </c>
      <c r="G151" s="3" t="str">
        <f t="shared" si="11"/>
        <v/>
      </c>
    </row>
    <row r="152" spans="1:7" x14ac:dyDescent="0.25">
      <c r="A152" s="41" t="s">
        <v>42</v>
      </c>
      <c r="B152" s="84">
        <v>1200</v>
      </c>
      <c r="C152" s="79" t="s">
        <v>27</v>
      </c>
      <c r="D152" s="3" t="str">
        <f t="shared" si="8"/>
        <v/>
      </c>
      <c r="E152" s="3" t="str">
        <f t="shared" si="9"/>
        <v/>
      </c>
      <c r="F152" s="3" t="str">
        <f t="shared" si="10"/>
        <v/>
      </c>
      <c r="G152" s="3" t="str">
        <f t="shared" si="11"/>
        <v/>
      </c>
    </row>
    <row r="153" spans="1:7" x14ac:dyDescent="0.25">
      <c r="A153" s="41" t="s">
        <v>42</v>
      </c>
      <c r="B153" s="84">
        <v>2304</v>
      </c>
      <c r="C153" s="79" t="s">
        <v>27</v>
      </c>
      <c r="D153" s="3" t="str">
        <f t="shared" si="8"/>
        <v/>
      </c>
      <c r="E153" s="3" t="str">
        <f t="shared" si="9"/>
        <v/>
      </c>
      <c r="F153" s="3" t="str">
        <f t="shared" si="10"/>
        <v/>
      </c>
      <c r="G153" s="3" t="str">
        <f t="shared" si="11"/>
        <v/>
      </c>
    </row>
    <row r="154" spans="1:7" x14ac:dyDescent="0.25">
      <c r="A154" s="41" t="s">
        <v>42</v>
      </c>
      <c r="B154" s="84">
        <v>80</v>
      </c>
      <c r="C154" s="79">
        <v>10</v>
      </c>
      <c r="D154" s="3">
        <f t="shared" si="8"/>
        <v>10</v>
      </c>
      <c r="E154" s="3" t="str">
        <f t="shared" si="9"/>
        <v/>
      </c>
      <c r="F154" s="3" t="str">
        <f t="shared" si="10"/>
        <v/>
      </c>
      <c r="G154" s="3" t="str">
        <f t="shared" si="11"/>
        <v/>
      </c>
    </row>
    <row r="155" spans="1:7" x14ac:dyDescent="0.25">
      <c r="A155" s="41" t="s">
        <v>42</v>
      </c>
      <c r="B155" s="84">
        <v>100</v>
      </c>
      <c r="C155" s="79">
        <v>10</v>
      </c>
      <c r="D155" s="3">
        <f t="shared" si="8"/>
        <v>10</v>
      </c>
      <c r="E155" s="3" t="str">
        <f t="shared" si="9"/>
        <v/>
      </c>
      <c r="F155" s="3" t="str">
        <f t="shared" si="10"/>
        <v/>
      </c>
      <c r="G155" s="3" t="str">
        <f t="shared" si="11"/>
        <v/>
      </c>
    </row>
    <row r="156" spans="1:7" x14ac:dyDescent="0.25">
      <c r="A156" s="41" t="s">
        <v>42</v>
      </c>
      <c r="B156" s="84">
        <v>2175</v>
      </c>
      <c r="C156" s="79">
        <v>10</v>
      </c>
      <c r="D156" s="3" t="str">
        <f t="shared" si="8"/>
        <v/>
      </c>
      <c r="E156" s="3">
        <f t="shared" si="9"/>
        <v>10</v>
      </c>
      <c r="F156" s="3" t="str">
        <f t="shared" si="10"/>
        <v/>
      </c>
      <c r="G156" s="3" t="str">
        <f t="shared" si="11"/>
        <v/>
      </c>
    </row>
    <row r="157" spans="1:7" x14ac:dyDescent="0.25">
      <c r="A157" s="41" t="s">
        <v>42</v>
      </c>
      <c r="B157" s="84">
        <v>200</v>
      </c>
      <c r="C157" s="79">
        <v>10</v>
      </c>
      <c r="D157" s="3">
        <f t="shared" si="8"/>
        <v>10</v>
      </c>
      <c r="E157" s="3" t="str">
        <f t="shared" si="9"/>
        <v/>
      </c>
      <c r="F157" s="3" t="str">
        <f t="shared" si="10"/>
        <v/>
      </c>
      <c r="G157" s="3" t="str">
        <f t="shared" si="11"/>
        <v/>
      </c>
    </row>
    <row r="158" spans="1:7" x14ac:dyDescent="0.25">
      <c r="A158" s="41" t="s">
        <v>42</v>
      </c>
      <c r="B158" s="84">
        <v>200</v>
      </c>
      <c r="C158" s="79">
        <v>10</v>
      </c>
      <c r="D158" s="3">
        <f t="shared" si="8"/>
        <v>10</v>
      </c>
      <c r="E158" s="3" t="str">
        <f t="shared" si="9"/>
        <v/>
      </c>
      <c r="F158" s="3" t="str">
        <f t="shared" si="10"/>
        <v/>
      </c>
      <c r="G158" s="3" t="str">
        <f t="shared" si="11"/>
        <v/>
      </c>
    </row>
    <row r="159" spans="1:7" x14ac:dyDescent="0.25">
      <c r="A159" s="41" t="s">
        <v>42</v>
      </c>
      <c r="B159" s="84">
        <v>4500</v>
      </c>
      <c r="C159" s="79" t="s">
        <v>27</v>
      </c>
      <c r="D159" s="3" t="str">
        <f t="shared" si="8"/>
        <v/>
      </c>
      <c r="E159" s="3" t="str">
        <f t="shared" si="9"/>
        <v/>
      </c>
      <c r="F159" s="3" t="str">
        <f t="shared" si="10"/>
        <v/>
      </c>
      <c r="G159" s="3" t="str">
        <f t="shared" si="11"/>
        <v/>
      </c>
    </row>
    <row r="160" spans="1:7" x14ac:dyDescent="0.25">
      <c r="A160" s="41" t="s">
        <v>42</v>
      </c>
      <c r="B160" s="84">
        <v>965</v>
      </c>
      <c r="C160" s="79">
        <v>10</v>
      </c>
      <c r="D160" s="3">
        <f t="shared" si="8"/>
        <v>10</v>
      </c>
      <c r="E160" s="3" t="str">
        <f t="shared" si="9"/>
        <v/>
      </c>
      <c r="F160" s="3" t="str">
        <f t="shared" si="10"/>
        <v/>
      </c>
      <c r="G160" s="3" t="str">
        <f t="shared" si="11"/>
        <v/>
      </c>
    </row>
    <row r="161" spans="1:7" x14ac:dyDescent="0.25">
      <c r="A161" s="41" t="s">
        <v>42</v>
      </c>
      <c r="B161" s="84">
        <v>120</v>
      </c>
      <c r="C161" s="79">
        <v>10</v>
      </c>
      <c r="D161" s="3">
        <f t="shared" si="8"/>
        <v>10</v>
      </c>
      <c r="E161" s="3" t="str">
        <f t="shared" si="9"/>
        <v/>
      </c>
      <c r="F161" s="3" t="str">
        <f t="shared" si="10"/>
        <v/>
      </c>
      <c r="G161" s="3" t="str">
        <f t="shared" si="11"/>
        <v/>
      </c>
    </row>
    <row r="162" spans="1:7" x14ac:dyDescent="0.25">
      <c r="A162" s="41" t="s">
        <v>42</v>
      </c>
      <c r="B162" s="84">
        <v>60</v>
      </c>
      <c r="C162" s="79">
        <v>10</v>
      </c>
      <c r="D162" s="3">
        <f t="shared" si="8"/>
        <v>10</v>
      </c>
      <c r="E162" s="3" t="str">
        <f t="shared" si="9"/>
        <v/>
      </c>
      <c r="F162" s="3" t="str">
        <f t="shared" si="10"/>
        <v/>
      </c>
      <c r="G162" s="3" t="str">
        <f t="shared" si="11"/>
        <v/>
      </c>
    </row>
    <row r="163" spans="1:7" x14ac:dyDescent="0.25">
      <c r="A163" s="41" t="s">
        <v>42</v>
      </c>
      <c r="B163" s="84">
        <v>120</v>
      </c>
      <c r="C163" s="79">
        <v>10</v>
      </c>
      <c r="D163" s="3">
        <f t="shared" si="8"/>
        <v>10</v>
      </c>
      <c r="E163" s="3" t="str">
        <f t="shared" si="9"/>
        <v/>
      </c>
      <c r="F163" s="3" t="str">
        <f t="shared" si="10"/>
        <v/>
      </c>
      <c r="G163" s="3" t="str">
        <f t="shared" si="11"/>
        <v/>
      </c>
    </row>
    <row r="164" spans="1:7" x14ac:dyDescent="0.25">
      <c r="A164" s="41" t="s">
        <v>42</v>
      </c>
      <c r="B164" s="84">
        <v>250</v>
      </c>
      <c r="C164" s="79" t="s">
        <v>27</v>
      </c>
      <c r="D164" s="3" t="str">
        <f t="shared" si="8"/>
        <v/>
      </c>
      <c r="E164" s="3" t="str">
        <f t="shared" si="9"/>
        <v/>
      </c>
      <c r="F164" s="3" t="str">
        <f t="shared" si="10"/>
        <v/>
      </c>
      <c r="G164" s="3" t="str">
        <f t="shared" si="11"/>
        <v/>
      </c>
    </row>
    <row r="165" spans="1:7" x14ac:dyDescent="0.25">
      <c r="A165" s="41" t="s">
        <v>42</v>
      </c>
      <c r="B165" s="84">
        <v>1920</v>
      </c>
      <c r="C165" s="79" t="s">
        <v>27</v>
      </c>
      <c r="D165" s="3" t="str">
        <f t="shared" si="8"/>
        <v/>
      </c>
      <c r="E165" s="3" t="str">
        <f t="shared" si="9"/>
        <v/>
      </c>
      <c r="F165" s="3" t="str">
        <f t="shared" si="10"/>
        <v/>
      </c>
      <c r="G165" s="3" t="str">
        <f t="shared" si="11"/>
        <v/>
      </c>
    </row>
    <row r="166" spans="1:7" x14ac:dyDescent="0.25">
      <c r="A166" s="41" t="s">
        <v>42</v>
      </c>
      <c r="B166" s="84">
        <v>80</v>
      </c>
      <c r="C166" s="79" t="s">
        <v>27</v>
      </c>
      <c r="D166" s="3" t="str">
        <f t="shared" si="8"/>
        <v/>
      </c>
      <c r="E166" s="3" t="str">
        <f t="shared" si="9"/>
        <v/>
      </c>
      <c r="F166" s="3" t="str">
        <f t="shared" si="10"/>
        <v/>
      </c>
      <c r="G166" s="3" t="str">
        <f t="shared" si="11"/>
        <v/>
      </c>
    </row>
    <row r="167" spans="1:7" x14ac:dyDescent="0.25">
      <c r="A167" s="41" t="s">
        <v>42</v>
      </c>
      <c r="B167" s="84">
        <v>200</v>
      </c>
      <c r="C167" s="79" t="s">
        <v>27</v>
      </c>
      <c r="D167" s="3" t="str">
        <f t="shared" si="8"/>
        <v/>
      </c>
      <c r="E167" s="3" t="str">
        <f t="shared" si="9"/>
        <v/>
      </c>
      <c r="F167" s="3" t="str">
        <f t="shared" si="10"/>
        <v/>
      </c>
      <c r="G167" s="3" t="str">
        <f t="shared" si="11"/>
        <v/>
      </c>
    </row>
    <row r="168" spans="1:7" x14ac:dyDescent="0.25">
      <c r="A168" s="41" t="s">
        <v>42</v>
      </c>
      <c r="B168" s="84">
        <v>120</v>
      </c>
      <c r="C168" s="79" t="s">
        <v>27</v>
      </c>
      <c r="D168" s="3" t="str">
        <f t="shared" si="8"/>
        <v/>
      </c>
      <c r="E168" s="3" t="str">
        <f t="shared" si="9"/>
        <v/>
      </c>
      <c r="F168" s="3" t="str">
        <f t="shared" si="10"/>
        <v/>
      </c>
      <c r="G168" s="3" t="str">
        <f t="shared" si="11"/>
        <v/>
      </c>
    </row>
    <row r="169" spans="1:7" x14ac:dyDescent="0.25">
      <c r="A169" s="41" t="s">
        <v>42</v>
      </c>
      <c r="B169" s="84">
        <v>100</v>
      </c>
      <c r="C169" s="79" t="s">
        <v>27</v>
      </c>
      <c r="D169" s="3" t="str">
        <f t="shared" si="8"/>
        <v/>
      </c>
      <c r="E169" s="3" t="str">
        <f t="shared" si="9"/>
        <v/>
      </c>
      <c r="F169" s="3" t="str">
        <f t="shared" si="10"/>
        <v/>
      </c>
      <c r="G169" s="3" t="str">
        <f t="shared" si="11"/>
        <v/>
      </c>
    </row>
    <row r="170" spans="1:7" x14ac:dyDescent="0.25">
      <c r="A170" s="41" t="s">
        <v>42</v>
      </c>
      <c r="B170" s="84">
        <v>1500</v>
      </c>
      <c r="C170" s="79" t="s">
        <v>27</v>
      </c>
      <c r="D170" s="3" t="str">
        <f t="shared" si="8"/>
        <v/>
      </c>
      <c r="E170" s="3" t="str">
        <f t="shared" si="9"/>
        <v/>
      </c>
      <c r="F170" s="3" t="str">
        <f t="shared" si="10"/>
        <v/>
      </c>
      <c r="G170" s="3" t="str">
        <f t="shared" si="11"/>
        <v/>
      </c>
    </row>
    <row r="171" spans="1:7" x14ac:dyDescent="0.25">
      <c r="A171" s="41" t="s">
        <v>42</v>
      </c>
      <c r="B171" s="84">
        <v>1920</v>
      </c>
      <c r="C171" s="79" t="s">
        <v>27</v>
      </c>
      <c r="D171" s="3" t="str">
        <f t="shared" si="8"/>
        <v/>
      </c>
      <c r="E171" s="3" t="str">
        <f t="shared" si="9"/>
        <v/>
      </c>
      <c r="F171" s="3" t="str">
        <f t="shared" si="10"/>
        <v/>
      </c>
      <c r="G171" s="3" t="str">
        <f t="shared" si="11"/>
        <v/>
      </c>
    </row>
    <row r="172" spans="1:7" x14ac:dyDescent="0.25">
      <c r="A172" s="41" t="s">
        <v>42</v>
      </c>
      <c r="B172" s="84">
        <v>400</v>
      </c>
      <c r="C172" s="79" t="s">
        <v>27</v>
      </c>
      <c r="D172" s="3" t="str">
        <f t="shared" si="8"/>
        <v/>
      </c>
      <c r="E172" s="3" t="str">
        <f t="shared" si="9"/>
        <v/>
      </c>
      <c r="F172" s="3" t="str">
        <f t="shared" si="10"/>
        <v/>
      </c>
      <c r="G172" s="3" t="str">
        <f t="shared" si="11"/>
        <v/>
      </c>
    </row>
    <row r="173" spans="1:7" x14ac:dyDescent="0.25">
      <c r="A173" s="41" t="s">
        <v>42</v>
      </c>
      <c r="B173" s="84">
        <v>2000</v>
      </c>
      <c r="C173" s="79" t="s">
        <v>27</v>
      </c>
      <c r="D173" s="3" t="str">
        <f t="shared" si="8"/>
        <v/>
      </c>
      <c r="E173" s="3" t="str">
        <f t="shared" si="9"/>
        <v/>
      </c>
      <c r="F173" s="3" t="str">
        <f t="shared" si="10"/>
        <v/>
      </c>
      <c r="G173" s="3" t="str">
        <f t="shared" si="11"/>
        <v/>
      </c>
    </row>
    <row r="174" spans="1:7" x14ac:dyDescent="0.25">
      <c r="A174" s="41" t="s">
        <v>42</v>
      </c>
      <c r="B174" s="84">
        <v>120</v>
      </c>
      <c r="C174" s="79" t="s">
        <v>27</v>
      </c>
      <c r="D174" s="3" t="str">
        <f t="shared" si="8"/>
        <v/>
      </c>
      <c r="E174" s="3" t="str">
        <f t="shared" si="9"/>
        <v/>
      </c>
      <c r="F174" s="3" t="str">
        <f t="shared" si="10"/>
        <v/>
      </c>
      <c r="G174" s="3" t="str">
        <f t="shared" si="11"/>
        <v/>
      </c>
    </row>
    <row r="175" spans="1:7" x14ac:dyDescent="0.25">
      <c r="A175" s="41" t="s">
        <v>42</v>
      </c>
      <c r="B175" s="84">
        <v>530</v>
      </c>
      <c r="C175" s="79" t="s">
        <v>27</v>
      </c>
      <c r="D175" s="3" t="str">
        <f t="shared" si="8"/>
        <v/>
      </c>
      <c r="E175" s="3" t="str">
        <f t="shared" si="9"/>
        <v/>
      </c>
      <c r="F175" s="3" t="str">
        <f t="shared" si="10"/>
        <v/>
      </c>
      <c r="G175" s="3" t="str">
        <f t="shared" si="11"/>
        <v/>
      </c>
    </row>
    <row r="176" spans="1:7" x14ac:dyDescent="0.25">
      <c r="A176" s="41" t="s">
        <v>42</v>
      </c>
      <c r="B176" s="84">
        <v>200</v>
      </c>
      <c r="C176" s="79" t="s">
        <v>27</v>
      </c>
      <c r="D176" s="3" t="str">
        <f t="shared" si="8"/>
        <v/>
      </c>
      <c r="E176" s="3" t="str">
        <f t="shared" si="9"/>
        <v/>
      </c>
      <c r="F176" s="3" t="str">
        <f t="shared" si="10"/>
        <v/>
      </c>
      <c r="G176" s="3" t="str">
        <f t="shared" si="11"/>
        <v/>
      </c>
    </row>
    <row r="177" spans="1:7" x14ac:dyDescent="0.25">
      <c r="A177" s="41" t="s">
        <v>42</v>
      </c>
      <c r="B177" s="84">
        <v>120</v>
      </c>
      <c r="C177" s="79" t="s">
        <v>27</v>
      </c>
      <c r="D177" s="3" t="str">
        <f t="shared" si="8"/>
        <v/>
      </c>
      <c r="E177" s="3" t="str">
        <f t="shared" si="9"/>
        <v/>
      </c>
      <c r="F177" s="3" t="str">
        <f t="shared" si="10"/>
        <v/>
      </c>
      <c r="G177" s="3" t="str">
        <f t="shared" si="11"/>
        <v/>
      </c>
    </row>
    <row r="178" spans="1:7" x14ac:dyDescent="0.25">
      <c r="A178" s="41" t="s">
        <v>42</v>
      </c>
      <c r="B178" s="84">
        <v>1250</v>
      </c>
      <c r="C178" s="79" t="s">
        <v>27</v>
      </c>
      <c r="D178" s="3" t="str">
        <f t="shared" si="8"/>
        <v/>
      </c>
      <c r="E178" s="3" t="str">
        <f t="shared" si="9"/>
        <v/>
      </c>
      <c r="F178" s="3" t="str">
        <f t="shared" si="10"/>
        <v/>
      </c>
      <c r="G178" s="3" t="str">
        <f t="shared" si="11"/>
        <v/>
      </c>
    </row>
    <row r="179" spans="1:7" x14ac:dyDescent="0.25">
      <c r="A179" s="41" t="s">
        <v>42</v>
      </c>
      <c r="B179" s="84">
        <v>3700</v>
      </c>
      <c r="C179" s="79" t="s">
        <v>27</v>
      </c>
      <c r="D179" s="3" t="str">
        <f t="shared" si="8"/>
        <v/>
      </c>
      <c r="E179" s="3" t="str">
        <f t="shared" si="9"/>
        <v/>
      </c>
      <c r="F179" s="3" t="str">
        <f t="shared" si="10"/>
        <v/>
      </c>
      <c r="G179" s="3" t="str">
        <f t="shared" si="11"/>
        <v/>
      </c>
    </row>
    <row r="180" spans="1:7" x14ac:dyDescent="0.25">
      <c r="A180" s="41" t="s">
        <v>42</v>
      </c>
      <c r="B180" s="84">
        <v>425</v>
      </c>
      <c r="C180" s="79" t="s">
        <v>27</v>
      </c>
      <c r="D180" s="3" t="str">
        <f t="shared" si="8"/>
        <v/>
      </c>
      <c r="E180" s="3" t="str">
        <f t="shared" si="9"/>
        <v/>
      </c>
      <c r="F180" s="3" t="str">
        <f t="shared" si="10"/>
        <v/>
      </c>
      <c r="G180" s="3" t="str">
        <f t="shared" si="11"/>
        <v/>
      </c>
    </row>
    <row r="181" spans="1:7" x14ac:dyDescent="0.25">
      <c r="A181" s="41" t="s">
        <v>42</v>
      </c>
      <c r="B181" s="84">
        <v>2400</v>
      </c>
      <c r="C181" s="79" t="s">
        <v>27</v>
      </c>
      <c r="D181" s="3" t="str">
        <f t="shared" si="8"/>
        <v/>
      </c>
      <c r="E181" s="3" t="str">
        <f t="shared" si="9"/>
        <v/>
      </c>
      <c r="F181" s="3" t="str">
        <f t="shared" si="10"/>
        <v/>
      </c>
      <c r="G181" s="3" t="str">
        <f t="shared" si="11"/>
        <v/>
      </c>
    </row>
    <row r="182" spans="1:7" x14ac:dyDescent="0.25">
      <c r="A182" s="41" t="s">
        <v>42</v>
      </c>
      <c r="B182" s="84">
        <v>1650</v>
      </c>
      <c r="C182" s="79" t="s">
        <v>27</v>
      </c>
      <c r="D182" s="3" t="str">
        <f t="shared" si="8"/>
        <v/>
      </c>
      <c r="E182" s="3" t="str">
        <f t="shared" si="9"/>
        <v/>
      </c>
      <c r="F182" s="3" t="str">
        <f t="shared" si="10"/>
        <v/>
      </c>
      <c r="G182" s="3" t="str">
        <f t="shared" si="11"/>
        <v/>
      </c>
    </row>
    <row r="183" spans="1:7" x14ac:dyDescent="0.25">
      <c r="A183" s="41" t="s">
        <v>42</v>
      </c>
      <c r="B183" s="84">
        <v>1650</v>
      </c>
      <c r="C183" s="79" t="s">
        <v>27</v>
      </c>
      <c r="D183" s="3" t="str">
        <f t="shared" si="8"/>
        <v/>
      </c>
      <c r="E183" s="3" t="str">
        <f t="shared" si="9"/>
        <v/>
      </c>
      <c r="F183" s="3" t="str">
        <f t="shared" si="10"/>
        <v/>
      </c>
      <c r="G183" s="3" t="str">
        <f t="shared" si="11"/>
        <v/>
      </c>
    </row>
    <row r="184" spans="1:7" x14ac:dyDescent="0.25">
      <c r="A184" s="41" t="s">
        <v>63</v>
      </c>
      <c r="B184" s="84">
        <v>10000</v>
      </c>
      <c r="C184" s="79" t="s">
        <v>27</v>
      </c>
      <c r="D184" s="3" t="str">
        <f t="shared" si="8"/>
        <v/>
      </c>
      <c r="E184" s="3" t="str">
        <f t="shared" si="9"/>
        <v/>
      </c>
      <c r="F184" s="3" t="str">
        <f t="shared" si="10"/>
        <v/>
      </c>
      <c r="G184" s="3" t="str">
        <f t="shared" si="11"/>
        <v/>
      </c>
    </row>
    <row r="185" spans="1:7" x14ac:dyDescent="0.25">
      <c r="A185" s="41" t="s">
        <v>63</v>
      </c>
      <c r="B185" s="84">
        <v>1578.8</v>
      </c>
      <c r="C185" s="79" t="s">
        <v>27</v>
      </c>
      <c r="D185" s="3" t="str">
        <f t="shared" si="8"/>
        <v/>
      </c>
      <c r="E185" s="3" t="str">
        <f t="shared" si="9"/>
        <v/>
      </c>
      <c r="F185" s="3" t="str">
        <f t="shared" si="10"/>
        <v/>
      </c>
      <c r="G185" s="3" t="str">
        <f t="shared" si="11"/>
        <v/>
      </c>
    </row>
    <row r="186" spans="1:7" x14ac:dyDescent="0.25">
      <c r="A186" s="41" t="s">
        <v>120</v>
      </c>
      <c r="B186" s="84">
        <v>3600</v>
      </c>
      <c r="C186" s="79">
        <v>10</v>
      </c>
      <c r="D186" s="3" t="str">
        <f t="shared" si="8"/>
        <v/>
      </c>
      <c r="E186" s="3" t="str">
        <f t="shared" si="9"/>
        <v/>
      </c>
      <c r="F186" s="3">
        <f t="shared" si="10"/>
        <v>10</v>
      </c>
      <c r="G186" s="3" t="str">
        <f t="shared" si="11"/>
        <v/>
      </c>
    </row>
    <row r="187" spans="1:7" x14ac:dyDescent="0.25">
      <c r="A187" s="41" t="s">
        <v>120</v>
      </c>
      <c r="B187" s="84">
        <v>1151.2</v>
      </c>
      <c r="C187" s="79" t="s">
        <v>27</v>
      </c>
      <c r="D187" s="3" t="str">
        <f t="shared" si="8"/>
        <v/>
      </c>
      <c r="E187" s="3" t="str">
        <f t="shared" si="9"/>
        <v/>
      </c>
      <c r="F187" s="3" t="str">
        <f t="shared" si="10"/>
        <v/>
      </c>
      <c r="G187" s="3" t="str">
        <f t="shared" si="11"/>
        <v/>
      </c>
    </row>
    <row r="188" spans="1:7" x14ac:dyDescent="0.25">
      <c r="A188" s="41" t="s">
        <v>120</v>
      </c>
      <c r="B188" s="84">
        <v>4230</v>
      </c>
      <c r="C188" s="79" t="s">
        <v>27</v>
      </c>
      <c r="D188" s="3" t="str">
        <f t="shared" si="8"/>
        <v/>
      </c>
      <c r="E188" s="3" t="str">
        <f t="shared" si="9"/>
        <v/>
      </c>
      <c r="F188" s="3" t="str">
        <f t="shared" si="10"/>
        <v/>
      </c>
      <c r="G188" s="3" t="str">
        <f t="shared" si="11"/>
        <v/>
      </c>
    </row>
    <row r="189" spans="1:7" x14ac:dyDescent="0.25">
      <c r="A189" s="41" t="s">
        <v>120</v>
      </c>
      <c r="B189" s="84">
        <v>3000</v>
      </c>
      <c r="C189" s="79" t="s">
        <v>27</v>
      </c>
      <c r="D189" s="3" t="str">
        <f t="shared" si="8"/>
        <v/>
      </c>
      <c r="E189" s="3" t="str">
        <f t="shared" si="9"/>
        <v/>
      </c>
      <c r="F189" s="3" t="str">
        <f t="shared" si="10"/>
        <v/>
      </c>
      <c r="G189" s="3" t="str">
        <f t="shared" si="11"/>
        <v/>
      </c>
    </row>
    <row r="190" spans="1:7" x14ac:dyDescent="0.25">
      <c r="A190" s="41" t="s">
        <v>120</v>
      </c>
      <c r="B190" s="84">
        <v>3000</v>
      </c>
      <c r="C190" s="79">
        <v>10</v>
      </c>
      <c r="D190" s="3" t="str">
        <f t="shared" si="8"/>
        <v/>
      </c>
      <c r="E190" s="3" t="str">
        <f t="shared" si="9"/>
        <v/>
      </c>
      <c r="F190" s="3">
        <f t="shared" si="10"/>
        <v>10</v>
      </c>
      <c r="G190" s="3" t="str">
        <f t="shared" si="11"/>
        <v/>
      </c>
    </row>
    <row r="191" spans="1:7" x14ac:dyDescent="0.25">
      <c r="A191" s="41" t="s">
        <v>120</v>
      </c>
      <c r="B191" s="84">
        <v>975</v>
      </c>
      <c r="C191" s="79">
        <v>10</v>
      </c>
      <c r="D191" s="3">
        <f t="shared" si="8"/>
        <v>10</v>
      </c>
      <c r="E191" s="3" t="str">
        <f t="shared" si="9"/>
        <v/>
      </c>
      <c r="F191" s="3" t="str">
        <f t="shared" si="10"/>
        <v/>
      </c>
      <c r="G191" s="3" t="str">
        <f t="shared" si="11"/>
        <v/>
      </c>
    </row>
    <row r="192" spans="1:7" x14ac:dyDescent="0.25">
      <c r="A192" s="41" t="s">
        <v>120</v>
      </c>
      <c r="B192" s="84">
        <v>1811</v>
      </c>
      <c r="C192" s="79" t="s">
        <v>27</v>
      </c>
      <c r="D192" s="3" t="str">
        <f t="shared" si="8"/>
        <v/>
      </c>
      <c r="E192" s="3" t="str">
        <f t="shared" si="9"/>
        <v/>
      </c>
      <c r="F192" s="3" t="str">
        <f t="shared" si="10"/>
        <v/>
      </c>
      <c r="G192" s="3" t="str">
        <f t="shared" si="11"/>
        <v/>
      </c>
    </row>
    <row r="193" spans="1:7" x14ac:dyDescent="0.25">
      <c r="A193" s="41" t="s">
        <v>120</v>
      </c>
      <c r="B193" s="84">
        <v>280</v>
      </c>
      <c r="C193" s="79" t="s">
        <v>27</v>
      </c>
      <c r="D193" s="3" t="str">
        <f t="shared" si="8"/>
        <v/>
      </c>
      <c r="E193" s="3" t="str">
        <f t="shared" si="9"/>
        <v/>
      </c>
      <c r="F193" s="3" t="str">
        <f t="shared" si="10"/>
        <v/>
      </c>
      <c r="G193" s="3" t="str">
        <f t="shared" si="11"/>
        <v/>
      </c>
    </row>
    <row r="194" spans="1:7" x14ac:dyDescent="0.25">
      <c r="A194" s="41" t="s">
        <v>120</v>
      </c>
      <c r="B194" s="84">
        <v>5826</v>
      </c>
      <c r="C194" s="79" t="s">
        <v>27</v>
      </c>
      <c r="D194" s="3" t="str">
        <f t="shared" si="8"/>
        <v/>
      </c>
      <c r="E194" s="3" t="str">
        <f t="shared" si="9"/>
        <v/>
      </c>
      <c r="F194" s="3" t="str">
        <f t="shared" si="10"/>
        <v/>
      </c>
      <c r="G194" s="3" t="str">
        <f t="shared" si="11"/>
        <v/>
      </c>
    </row>
    <row r="195" spans="1:7" x14ac:dyDescent="0.25">
      <c r="A195" s="41" t="s">
        <v>120</v>
      </c>
      <c r="B195" s="84">
        <v>379.84</v>
      </c>
      <c r="C195" s="79">
        <v>10</v>
      </c>
      <c r="D195" s="3">
        <f t="shared" ref="D195:D258" si="12">IF(AND(B195&gt;0,B195&lt;1000),C195,"")</f>
        <v>10</v>
      </c>
      <c r="E195" s="3" t="str">
        <f t="shared" ref="E195:E258" si="13">IF(AND(B195&gt;1000,B195&lt;2500),C195,"")</f>
        <v/>
      </c>
      <c r="F195" s="3" t="str">
        <f t="shared" ref="F195:F258" si="14">IF(AND(B195&gt;2500,B195&lt;5000),C195,"")</f>
        <v/>
      </c>
      <c r="G195" s="3" t="str">
        <f t="shared" ref="G195:G258" si="15">IF(B195&gt;=5000,C195,"")</f>
        <v/>
      </c>
    </row>
    <row r="196" spans="1:7" x14ac:dyDescent="0.25">
      <c r="A196" s="41" t="s">
        <v>120</v>
      </c>
      <c r="B196" s="84">
        <v>3511.48</v>
      </c>
      <c r="C196" s="79">
        <v>10</v>
      </c>
      <c r="D196" s="3" t="str">
        <f t="shared" si="12"/>
        <v/>
      </c>
      <c r="E196" s="3" t="str">
        <f t="shared" si="13"/>
        <v/>
      </c>
      <c r="F196" s="3">
        <f t="shared" si="14"/>
        <v>10</v>
      </c>
      <c r="G196" s="3" t="str">
        <f t="shared" si="15"/>
        <v/>
      </c>
    </row>
    <row r="197" spans="1:7" x14ac:dyDescent="0.25">
      <c r="A197" s="41" t="s">
        <v>120</v>
      </c>
      <c r="B197" s="84">
        <v>1119.9000000000001</v>
      </c>
      <c r="C197" s="79">
        <v>10</v>
      </c>
      <c r="D197" s="3" t="str">
        <f t="shared" si="12"/>
        <v/>
      </c>
      <c r="E197" s="3">
        <f t="shared" si="13"/>
        <v>10</v>
      </c>
      <c r="F197" s="3" t="str">
        <f t="shared" si="14"/>
        <v/>
      </c>
      <c r="G197" s="3" t="str">
        <f t="shared" si="15"/>
        <v/>
      </c>
    </row>
    <row r="198" spans="1:7" x14ac:dyDescent="0.25">
      <c r="A198" s="41" t="s">
        <v>120</v>
      </c>
      <c r="B198" s="84">
        <v>7200</v>
      </c>
      <c r="C198" s="79" t="s">
        <v>27</v>
      </c>
      <c r="D198" s="3" t="str">
        <f t="shared" si="12"/>
        <v/>
      </c>
      <c r="E198" s="3" t="str">
        <f t="shared" si="13"/>
        <v/>
      </c>
      <c r="F198" s="3" t="str">
        <f t="shared" si="14"/>
        <v/>
      </c>
      <c r="G198" s="3" t="str">
        <f t="shared" si="15"/>
        <v/>
      </c>
    </row>
    <row r="199" spans="1:7" x14ac:dyDescent="0.25">
      <c r="A199" s="41" t="s">
        <v>120</v>
      </c>
      <c r="B199" s="84">
        <v>12000</v>
      </c>
      <c r="C199" s="79" t="s">
        <v>27</v>
      </c>
      <c r="D199" s="3" t="str">
        <f t="shared" si="12"/>
        <v/>
      </c>
      <c r="E199" s="3" t="str">
        <f t="shared" si="13"/>
        <v/>
      </c>
      <c r="F199" s="3" t="str">
        <f t="shared" si="14"/>
        <v/>
      </c>
      <c r="G199" s="3" t="str">
        <f t="shared" si="15"/>
        <v/>
      </c>
    </row>
    <row r="200" spans="1:7" x14ac:dyDescent="0.25">
      <c r="A200" s="41" t="s">
        <v>120</v>
      </c>
      <c r="B200" s="84">
        <v>9715</v>
      </c>
      <c r="C200" s="79" t="s">
        <v>27</v>
      </c>
      <c r="D200" s="3" t="str">
        <f t="shared" si="12"/>
        <v/>
      </c>
      <c r="E200" s="3" t="str">
        <f t="shared" si="13"/>
        <v/>
      </c>
      <c r="F200" s="3" t="str">
        <f t="shared" si="14"/>
        <v/>
      </c>
      <c r="G200" s="3" t="str">
        <f t="shared" si="15"/>
        <v/>
      </c>
    </row>
    <row r="201" spans="1:7" x14ac:dyDescent="0.25">
      <c r="A201" s="41" t="s">
        <v>120</v>
      </c>
      <c r="B201" s="84">
        <v>6480</v>
      </c>
      <c r="C201" s="79" t="s">
        <v>27</v>
      </c>
      <c r="D201" s="3" t="str">
        <f t="shared" si="12"/>
        <v/>
      </c>
      <c r="E201" s="3" t="str">
        <f t="shared" si="13"/>
        <v/>
      </c>
      <c r="F201" s="3" t="str">
        <f t="shared" si="14"/>
        <v/>
      </c>
      <c r="G201" s="3" t="str">
        <f t="shared" si="15"/>
        <v/>
      </c>
    </row>
    <row r="202" spans="1:7" x14ac:dyDescent="0.25">
      <c r="A202" s="41" t="s">
        <v>120</v>
      </c>
      <c r="B202" s="84">
        <v>2034.04</v>
      </c>
      <c r="C202" s="79" t="s">
        <v>27</v>
      </c>
      <c r="D202" s="3" t="str">
        <f t="shared" si="12"/>
        <v/>
      </c>
      <c r="E202" s="3" t="str">
        <f t="shared" si="13"/>
        <v/>
      </c>
      <c r="F202" s="3" t="str">
        <f t="shared" si="14"/>
        <v/>
      </c>
      <c r="G202" s="3" t="str">
        <f t="shared" si="15"/>
        <v/>
      </c>
    </row>
    <row r="203" spans="1:7" x14ac:dyDescent="0.25">
      <c r="A203" s="41" t="s">
        <v>120</v>
      </c>
      <c r="B203" s="84">
        <v>11511.14</v>
      </c>
      <c r="C203" s="79" t="s">
        <v>27</v>
      </c>
      <c r="D203" s="3" t="str">
        <f t="shared" si="12"/>
        <v/>
      </c>
      <c r="E203" s="3" t="str">
        <f t="shared" si="13"/>
        <v/>
      </c>
      <c r="F203" s="3" t="str">
        <f t="shared" si="14"/>
        <v/>
      </c>
      <c r="G203" s="3" t="str">
        <f t="shared" si="15"/>
        <v/>
      </c>
    </row>
    <row r="204" spans="1:7" x14ac:dyDescent="0.25">
      <c r="A204" s="41" t="s">
        <v>120</v>
      </c>
      <c r="B204" s="84">
        <v>1500</v>
      </c>
      <c r="C204" s="79" t="s">
        <v>27</v>
      </c>
      <c r="D204" s="3" t="str">
        <f t="shared" si="12"/>
        <v/>
      </c>
      <c r="E204" s="3" t="str">
        <f t="shared" si="13"/>
        <v/>
      </c>
      <c r="F204" s="3" t="str">
        <f t="shared" si="14"/>
        <v/>
      </c>
      <c r="G204" s="3" t="str">
        <f t="shared" si="15"/>
        <v/>
      </c>
    </row>
    <row r="205" spans="1:7" x14ac:dyDescent="0.25">
      <c r="A205" s="41" t="s">
        <v>120</v>
      </c>
      <c r="B205" s="84">
        <v>9000</v>
      </c>
      <c r="C205" s="79" t="s">
        <v>27</v>
      </c>
      <c r="D205" s="3" t="str">
        <f t="shared" si="12"/>
        <v/>
      </c>
      <c r="E205" s="3" t="str">
        <f t="shared" si="13"/>
        <v/>
      </c>
      <c r="F205" s="3" t="str">
        <f t="shared" si="14"/>
        <v/>
      </c>
      <c r="G205" s="3" t="str">
        <f t="shared" si="15"/>
        <v/>
      </c>
    </row>
    <row r="206" spans="1:7" x14ac:dyDescent="0.25">
      <c r="A206" s="41" t="s">
        <v>120</v>
      </c>
      <c r="B206" s="84">
        <v>2000</v>
      </c>
      <c r="C206" s="79">
        <v>10</v>
      </c>
      <c r="D206" s="3" t="str">
        <f t="shared" si="12"/>
        <v/>
      </c>
      <c r="E206" s="3">
        <f t="shared" si="13"/>
        <v>10</v>
      </c>
      <c r="F206" s="3" t="str">
        <f t="shared" si="14"/>
        <v/>
      </c>
      <c r="G206" s="3" t="str">
        <f t="shared" si="15"/>
        <v/>
      </c>
    </row>
    <row r="207" spans="1:7" x14ac:dyDescent="0.25">
      <c r="A207" s="41" t="s">
        <v>48</v>
      </c>
      <c r="B207" s="84">
        <v>165</v>
      </c>
      <c r="C207" s="79">
        <v>10</v>
      </c>
      <c r="D207" s="3">
        <f t="shared" si="12"/>
        <v>10</v>
      </c>
      <c r="E207" s="3" t="str">
        <f t="shared" si="13"/>
        <v/>
      </c>
      <c r="F207" s="3" t="str">
        <f t="shared" si="14"/>
        <v/>
      </c>
      <c r="G207" s="3" t="str">
        <f t="shared" si="15"/>
        <v/>
      </c>
    </row>
    <row r="208" spans="1:7" x14ac:dyDescent="0.25">
      <c r="A208" s="41" t="s">
        <v>48</v>
      </c>
      <c r="B208" s="84">
        <v>1138</v>
      </c>
      <c r="C208" s="79">
        <v>8</v>
      </c>
      <c r="D208" s="3" t="str">
        <f t="shared" si="12"/>
        <v/>
      </c>
      <c r="E208" s="3">
        <f t="shared" si="13"/>
        <v>8</v>
      </c>
      <c r="F208" s="3" t="str">
        <f t="shared" si="14"/>
        <v/>
      </c>
      <c r="G208" s="3" t="str">
        <f t="shared" si="15"/>
        <v/>
      </c>
    </row>
    <row r="209" spans="1:7" x14ac:dyDescent="0.25">
      <c r="A209" s="41" t="s">
        <v>48</v>
      </c>
      <c r="B209" s="84">
        <v>5000</v>
      </c>
      <c r="C209" s="79" t="s">
        <v>27</v>
      </c>
      <c r="D209" s="3" t="str">
        <f t="shared" si="12"/>
        <v/>
      </c>
      <c r="E209" s="3" t="str">
        <f t="shared" si="13"/>
        <v/>
      </c>
      <c r="F209" s="3" t="str">
        <f t="shared" si="14"/>
        <v/>
      </c>
      <c r="G209" s="3" t="str">
        <f t="shared" si="15"/>
        <v/>
      </c>
    </row>
    <row r="210" spans="1:7" x14ac:dyDescent="0.25">
      <c r="A210" s="41" t="s">
        <v>48</v>
      </c>
      <c r="B210" s="84">
        <v>1720</v>
      </c>
      <c r="C210" s="79">
        <v>9</v>
      </c>
      <c r="D210" s="3" t="str">
        <f t="shared" si="12"/>
        <v/>
      </c>
      <c r="E210" s="3">
        <f t="shared" si="13"/>
        <v>9</v>
      </c>
      <c r="F210" s="3" t="str">
        <f t="shared" si="14"/>
        <v/>
      </c>
      <c r="G210" s="3" t="str">
        <f t="shared" si="15"/>
        <v/>
      </c>
    </row>
    <row r="211" spans="1:7" x14ac:dyDescent="0.25">
      <c r="A211" s="41" t="s">
        <v>48</v>
      </c>
      <c r="B211" s="84">
        <v>550</v>
      </c>
      <c r="C211" s="79">
        <v>10</v>
      </c>
      <c r="D211" s="3">
        <f t="shared" si="12"/>
        <v>10</v>
      </c>
      <c r="E211" s="3" t="str">
        <f t="shared" si="13"/>
        <v/>
      </c>
      <c r="F211" s="3" t="str">
        <f t="shared" si="14"/>
        <v/>
      </c>
      <c r="G211" s="3" t="str">
        <f t="shared" si="15"/>
        <v/>
      </c>
    </row>
    <row r="212" spans="1:7" x14ac:dyDescent="0.25">
      <c r="A212" s="41" t="s">
        <v>48</v>
      </c>
      <c r="B212" s="84">
        <v>1650</v>
      </c>
      <c r="C212" s="79">
        <v>10</v>
      </c>
      <c r="D212" s="3" t="str">
        <f t="shared" si="12"/>
        <v/>
      </c>
      <c r="E212" s="3">
        <f t="shared" si="13"/>
        <v>10</v>
      </c>
      <c r="F212" s="3" t="str">
        <f t="shared" si="14"/>
        <v/>
      </c>
      <c r="G212" s="3" t="str">
        <f t="shared" si="15"/>
        <v/>
      </c>
    </row>
    <row r="213" spans="1:7" x14ac:dyDescent="0.25">
      <c r="A213" s="41" t="s">
        <v>48</v>
      </c>
      <c r="B213" s="84">
        <v>746</v>
      </c>
      <c r="C213" s="79">
        <v>9</v>
      </c>
      <c r="D213" s="3">
        <f t="shared" si="12"/>
        <v>9</v>
      </c>
      <c r="E213" s="3" t="str">
        <f t="shared" si="13"/>
        <v/>
      </c>
      <c r="F213" s="3" t="str">
        <f t="shared" si="14"/>
        <v/>
      </c>
      <c r="G213" s="3" t="str">
        <f t="shared" si="15"/>
        <v/>
      </c>
    </row>
    <row r="214" spans="1:7" x14ac:dyDescent="0.25">
      <c r="A214" s="41" t="s">
        <v>48</v>
      </c>
      <c r="B214" s="84">
        <v>220</v>
      </c>
      <c r="C214" s="79">
        <v>10</v>
      </c>
      <c r="D214" s="3">
        <f t="shared" si="12"/>
        <v>10</v>
      </c>
      <c r="E214" s="3" t="str">
        <f t="shared" si="13"/>
        <v/>
      </c>
      <c r="F214" s="3" t="str">
        <f t="shared" si="14"/>
        <v/>
      </c>
      <c r="G214" s="3" t="str">
        <f t="shared" si="15"/>
        <v/>
      </c>
    </row>
    <row r="215" spans="1:7" x14ac:dyDescent="0.25">
      <c r="A215" s="41" t="s">
        <v>48</v>
      </c>
      <c r="B215" s="84">
        <v>120</v>
      </c>
      <c r="C215" s="79">
        <v>10</v>
      </c>
      <c r="D215" s="3">
        <f t="shared" si="12"/>
        <v>10</v>
      </c>
      <c r="E215" s="3" t="str">
        <f t="shared" si="13"/>
        <v/>
      </c>
      <c r="F215" s="3" t="str">
        <f t="shared" si="14"/>
        <v/>
      </c>
      <c r="G215" s="3" t="str">
        <f t="shared" si="15"/>
        <v/>
      </c>
    </row>
    <row r="216" spans="1:7" x14ac:dyDescent="0.25">
      <c r="A216" s="41" t="s">
        <v>48</v>
      </c>
      <c r="B216" s="84">
        <v>660</v>
      </c>
      <c r="C216" s="79">
        <v>10</v>
      </c>
      <c r="D216" s="3">
        <f t="shared" si="12"/>
        <v>10</v>
      </c>
      <c r="E216" s="3" t="str">
        <f t="shared" si="13"/>
        <v/>
      </c>
      <c r="F216" s="3" t="str">
        <f t="shared" si="14"/>
        <v/>
      </c>
      <c r="G216" s="3" t="str">
        <f t="shared" si="15"/>
        <v/>
      </c>
    </row>
    <row r="217" spans="1:7" x14ac:dyDescent="0.25">
      <c r="A217" s="41" t="s">
        <v>48</v>
      </c>
      <c r="B217" s="84">
        <v>638</v>
      </c>
      <c r="C217" s="79">
        <v>10</v>
      </c>
      <c r="D217" s="3">
        <f t="shared" si="12"/>
        <v>10</v>
      </c>
      <c r="E217" s="3" t="str">
        <f t="shared" si="13"/>
        <v/>
      </c>
      <c r="F217" s="3" t="str">
        <f t="shared" si="14"/>
        <v/>
      </c>
      <c r="G217" s="3" t="str">
        <f t="shared" si="15"/>
        <v/>
      </c>
    </row>
    <row r="218" spans="1:7" x14ac:dyDescent="0.25">
      <c r="A218" s="41" t="s">
        <v>48</v>
      </c>
      <c r="B218" s="84">
        <v>320</v>
      </c>
      <c r="C218" s="79" t="s">
        <v>27</v>
      </c>
      <c r="D218" s="3" t="str">
        <f t="shared" si="12"/>
        <v/>
      </c>
      <c r="E218" s="3" t="str">
        <f t="shared" si="13"/>
        <v/>
      </c>
      <c r="F218" s="3" t="str">
        <f t="shared" si="14"/>
        <v/>
      </c>
      <c r="G218" s="3" t="str">
        <f t="shared" si="15"/>
        <v/>
      </c>
    </row>
    <row r="219" spans="1:7" x14ac:dyDescent="0.25">
      <c r="A219" s="41" t="s">
        <v>48</v>
      </c>
      <c r="B219" s="84">
        <v>270</v>
      </c>
      <c r="C219" s="79">
        <v>10</v>
      </c>
      <c r="D219" s="3">
        <f t="shared" si="12"/>
        <v>10</v>
      </c>
      <c r="E219" s="3" t="str">
        <f t="shared" si="13"/>
        <v/>
      </c>
      <c r="F219" s="3" t="str">
        <f t="shared" si="14"/>
        <v/>
      </c>
      <c r="G219" s="3" t="str">
        <f t="shared" si="15"/>
        <v/>
      </c>
    </row>
    <row r="220" spans="1:7" x14ac:dyDescent="0.25">
      <c r="A220" s="41" t="s">
        <v>48</v>
      </c>
      <c r="B220" s="84">
        <v>120</v>
      </c>
      <c r="C220" s="79">
        <v>10</v>
      </c>
      <c r="D220" s="3">
        <f t="shared" si="12"/>
        <v>10</v>
      </c>
      <c r="E220" s="3" t="str">
        <f t="shared" si="13"/>
        <v/>
      </c>
      <c r="F220" s="3" t="str">
        <f t="shared" si="14"/>
        <v/>
      </c>
      <c r="G220" s="3" t="str">
        <f t="shared" si="15"/>
        <v/>
      </c>
    </row>
    <row r="221" spans="1:7" x14ac:dyDescent="0.25">
      <c r="A221" s="41" t="s">
        <v>48</v>
      </c>
      <c r="B221" s="84">
        <v>4800</v>
      </c>
      <c r="C221" s="79">
        <v>10</v>
      </c>
      <c r="D221" s="3" t="str">
        <f t="shared" si="12"/>
        <v/>
      </c>
      <c r="E221" s="3" t="str">
        <f t="shared" si="13"/>
        <v/>
      </c>
      <c r="F221" s="3">
        <f t="shared" si="14"/>
        <v>10</v>
      </c>
      <c r="G221" s="3" t="str">
        <f t="shared" si="15"/>
        <v/>
      </c>
    </row>
    <row r="222" spans="1:7" x14ac:dyDescent="0.25">
      <c r="A222" s="41" t="s">
        <v>48</v>
      </c>
      <c r="B222" s="84">
        <v>120</v>
      </c>
      <c r="C222" s="79" t="s">
        <v>27</v>
      </c>
      <c r="D222" s="3" t="str">
        <f t="shared" si="12"/>
        <v/>
      </c>
      <c r="E222" s="3" t="str">
        <f t="shared" si="13"/>
        <v/>
      </c>
      <c r="F222" s="3" t="str">
        <f t="shared" si="14"/>
        <v/>
      </c>
      <c r="G222" s="3" t="str">
        <f t="shared" si="15"/>
        <v/>
      </c>
    </row>
    <row r="223" spans="1:7" x14ac:dyDescent="0.25">
      <c r="A223" s="41" t="s">
        <v>48</v>
      </c>
      <c r="B223" s="84">
        <v>480</v>
      </c>
      <c r="C223" s="79" t="s">
        <v>27</v>
      </c>
      <c r="D223" s="3" t="str">
        <f t="shared" si="12"/>
        <v/>
      </c>
      <c r="E223" s="3" t="str">
        <f t="shared" si="13"/>
        <v/>
      </c>
      <c r="F223" s="3" t="str">
        <f t="shared" si="14"/>
        <v/>
      </c>
      <c r="G223" s="3" t="str">
        <f t="shared" si="15"/>
        <v/>
      </c>
    </row>
    <row r="224" spans="1:7" x14ac:dyDescent="0.25">
      <c r="A224" s="41" t="s">
        <v>48</v>
      </c>
      <c r="B224" s="84">
        <v>1600</v>
      </c>
      <c r="C224" s="79" t="s">
        <v>27</v>
      </c>
      <c r="D224" s="3" t="str">
        <f t="shared" si="12"/>
        <v/>
      </c>
      <c r="E224" s="3" t="str">
        <f t="shared" si="13"/>
        <v/>
      </c>
      <c r="F224" s="3" t="str">
        <f t="shared" si="14"/>
        <v/>
      </c>
      <c r="G224" s="3" t="str">
        <f t="shared" si="15"/>
        <v/>
      </c>
    </row>
    <row r="225" spans="1:7" x14ac:dyDescent="0.25">
      <c r="A225" s="41" t="s">
        <v>48</v>
      </c>
      <c r="B225" s="84">
        <v>270</v>
      </c>
      <c r="C225" s="79">
        <v>10</v>
      </c>
      <c r="D225" s="3">
        <f t="shared" si="12"/>
        <v>10</v>
      </c>
      <c r="E225" s="3" t="str">
        <f t="shared" si="13"/>
        <v/>
      </c>
      <c r="F225" s="3" t="str">
        <f t="shared" si="14"/>
        <v/>
      </c>
      <c r="G225" s="3" t="str">
        <f t="shared" si="15"/>
        <v/>
      </c>
    </row>
    <row r="226" spans="1:7" x14ac:dyDescent="0.25">
      <c r="A226" s="41" t="s">
        <v>48</v>
      </c>
      <c r="B226" s="84">
        <v>270</v>
      </c>
      <c r="C226" s="79">
        <v>10</v>
      </c>
      <c r="D226" s="3">
        <f t="shared" si="12"/>
        <v>10</v>
      </c>
      <c r="E226" s="3" t="str">
        <f t="shared" si="13"/>
        <v/>
      </c>
      <c r="F226" s="3" t="str">
        <f t="shared" si="14"/>
        <v/>
      </c>
      <c r="G226" s="3" t="str">
        <f t="shared" si="15"/>
        <v/>
      </c>
    </row>
    <row r="227" spans="1:7" x14ac:dyDescent="0.25">
      <c r="A227" s="41" t="s">
        <v>48</v>
      </c>
      <c r="B227" s="84">
        <v>130</v>
      </c>
      <c r="C227" s="79">
        <v>7</v>
      </c>
      <c r="D227" s="3">
        <f t="shared" si="12"/>
        <v>7</v>
      </c>
      <c r="E227" s="3" t="str">
        <f t="shared" si="13"/>
        <v/>
      </c>
      <c r="F227" s="3" t="str">
        <f t="shared" si="14"/>
        <v/>
      </c>
      <c r="G227" s="3" t="str">
        <f t="shared" si="15"/>
        <v/>
      </c>
    </row>
    <row r="228" spans="1:7" x14ac:dyDescent="0.25">
      <c r="A228" s="41" t="s">
        <v>48</v>
      </c>
      <c r="B228" s="84">
        <v>6340</v>
      </c>
      <c r="C228" s="79">
        <v>10</v>
      </c>
      <c r="D228" s="3" t="str">
        <f t="shared" si="12"/>
        <v/>
      </c>
      <c r="E228" s="3" t="str">
        <f t="shared" si="13"/>
        <v/>
      </c>
      <c r="F228" s="3" t="str">
        <f t="shared" si="14"/>
        <v/>
      </c>
      <c r="G228" s="3">
        <f t="shared" si="15"/>
        <v>10</v>
      </c>
    </row>
    <row r="229" spans="1:7" x14ac:dyDescent="0.25">
      <c r="A229" s="41" t="s">
        <v>48</v>
      </c>
      <c r="B229" s="84">
        <v>330</v>
      </c>
      <c r="C229" s="79">
        <v>10</v>
      </c>
      <c r="D229" s="3">
        <f t="shared" si="12"/>
        <v>10</v>
      </c>
      <c r="E229" s="3" t="str">
        <f t="shared" si="13"/>
        <v/>
      </c>
      <c r="F229" s="3" t="str">
        <f t="shared" si="14"/>
        <v/>
      </c>
      <c r="G229" s="3" t="str">
        <f t="shared" si="15"/>
        <v/>
      </c>
    </row>
    <row r="230" spans="1:7" x14ac:dyDescent="0.25">
      <c r="A230" s="41" t="s">
        <v>48</v>
      </c>
      <c r="B230" s="84">
        <v>740</v>
      </c>
      <c r="C230" s="79">
        <v>10</v>
      </c>
      <c r="D230" s="3">
        <f t="shared" si="12"/>
        <v>10</v>
      </c>
      <c r="E230" s="3" t="str">
        <f t="shared" si="13"/>
        <v/>
      </c>
      <c r="F230" s="3" t="str">
        <f t="shared" si="14"/>
        <v/>
      </c>
      <c r="G230" s="3" t="str">
        <f t="shared" si="15"/>
        <v/>
      </c>
    </row>
    <row r="231" spans="1:7" x14ac:dyDescent="0.25">
      <c r="A231" s="41" t="s">
        <v>48</v>
      </c>
      <c r="B231" s="84">
        <v>1250</v>
      </c>
      <c r="C231" s="79" t="s">
        <v>27</v>
      </c>
      <c r="D231" s="3" t="str">
        <f t="shared" si="12"/>
        <v/>
      </c>
      <c r="E231" s="3" t="str">
        <f t="shared" si="13"/>
        <v/>
      </c>
      <c r="F231" s="3" t="str">
        <f t="shared" si="14"/>
        <v/>
      </c>
      <c r="G231" s="3" t="str">
        <f t="shared" si="15"/>
        <v/>
      </c>
    </row>
    <row r="232" spans="1:7" x14ac:dyDescent="0.25">
      <c r="A232" s="41" t="s">
        <v>48</v>
      </c>
      <c r="B232" s="84">
        <v>1800</v>
      </c>
      <c r="C232" s="79">
        <v>10</v>
      </c>
      <c r="D232" s="3" t="str">
        <f t="shared" si="12"/>
        <v/>
      </c>
      <c r="E232" s="3">
        <f t="shared" si="13"/>
        <v>10</v>
      </c>
      <c r="F232" s="3" t="str">
        <f t="shared" si="14"/>
        <v/>
      </c>
      <c r="G232" s="3" t="str">
        <f t="shared" si="15"/>
        <v/>
      </c>
    </row>
    <row r="233" spans="1:7" x14ac:dyDescent="0.25">
      <c r="A233" s="41" t="s">
        <v>48</v>
      </c>
      <c r="B233" s="84">
        <v>4025</v>
      </c>
      <c r="C233" s="79" t="s">
        <v>27</v>
      </c>
      <c r="D233" s="3" t="str">
        <f t="shared" si="12"/>
        <v/>
      </c>
      <c r="E233" s="3" t="str">
        <f t="shared" si="13"/>
        <v/>
      </c>
      <c r="F233" s="3" t="str">
        <f t="shared" si="14"/>
        <v/>
      </c>
      <c r="G233" s="3" t="str">
        <f t="shared" si="15"/>
        <v/>
      </c>
    </row>
    <row r="234" spans="1:7" x14ac:dyDescent="0.25">
      <c r="A234" s="41" t="s">
        <v>48</v>
      </c>
      <c r="B234" s="84">
        <v>630</v>
      </c>
      <c r="C234" s="79" t="s">
        <v>27</v>
      </c>
      <c r="D234" s="3" t="str">
        <f t="shared" si="12"/>
        <v/>
      </c>
      <c r="E234" s="3" t="str">
        <f t="shared" si="13"/>
        <v/>
      </c>
      <c r="F234" s="3" t="str">
        <f t="shared" si="14"/>
        <v/>
      </c>
      <c r="G234" s="3" t="str">
        <f t="shared" si="15"/>
        <v/>
      </c>
    </row>
    <row r="235" spans="1:7" x14ac:dyDescent="0.25">
      <c r="A235" s="41" t="s">
        <v>48</v>
      </c>
      <c r="B235" s="84">
        <v>350</v>
      </c>
      <c r="C235" s="79">
        <v>10</v>
      </c>
      <c r="D235" s="3">
        <f t="shared" si="12"/>
        <v>10</v>
      </c>
      <c r="E235" s="3" t="str">
        <f t="shared" si="13"/>
        <v/>
      </c>
      <c r="F235" s="3" t="str">
        <f t="shared" si="14"/>
        <v/>
      </c>
      <c r="G235" s="3" t="str">
        <f t="shared" si="15"/>
        <v/>
      </c>
    </row>
    <row r="236" spans="1:7" x14ac:dyDescent="0.25">
      <c r="A236" s="41" t="s">
        <v>48</v>
      </c>
      <c r="B236" s="84">
        <v>270</v>
      </c>
      <c r="C236" s="79">
        <v>10</v>
      </c>
      <c r="D236" s="3">
        <f t="shared" si="12"/>
        <v>10</v>
      </c>
      <c r="E236" s="3" t="str">
        <f t="shared" si="13"/>
        <v/>
      </c>
      <c r="F236" s="3" t="str">
        <f t="shared" si="14"/>
        <v/>
      </c>
      <c r="G236" s="3" t="str">
        <f t="shared" si="15"/>
        <v/>
      </c>
    </row>
    <row r="237" spans="1:7" x14ac:dyDescent="0.25">
      <c r="A237" s="41" t="s">
        <v>48</v>
      </c>
      <c r="B237" s="84">
        <v>554</v>
      </c>
      <c r="C237" s="79">
        <v>9</v>
      </c>
      <c r="D237" s="3">
        <f t="shared" si="12"/>
        <v>9</v>
      </c>
      <c r="E237" s="3" t="str">
        <f t="shared" si="13"/>
        <v/>
      </c>
      <c r="F237" s="3" t="str">
        <f t="shared" si="14"/>
        <v/>
      </c>
      <c r="G237" s="3" t="str">
        <f t="shared" si="15"/>
        <v/>
      </c>
    </row>
    <row r="238" spans="1:7" x14ac:dyDescent="0.25">
      <c r="A238" s="41" t="s">
        <v>48</v>
      </c>
      <c r="B238" s="84">
        <v>700</v>
      </c>
      <c r="C238" s="79">
        <v>3</v>
      </c>
      <c r="D238" s="3">
        <f t="shared" si="12"/>
        <v>3</v>
      </c>
      <c r="E238" s="3" t="str">
        <f t="shared" si="13"/>
        <v/>
      </c>
      <c r="F238" s="3" t="str">
        <f t="shared" si="14"/>
        <v/>
      </c>
      <c r="G238" s="3" t="str">
        <f t="shared" si="15"/>
        <v/>
      </c>
    </row>
    <row r="239" spans="1:7" x14ac:dyDescent="0.25">
      <c r="A239" s="41" t="s">
        <v>48</v>
      </c>
      <c r="B239" s="84">
        <v>980</v>
      </c>
      <c r="C239" s="79">
        <v>9</v>
      </c>
      <c r="D239" s="3">
        <f t="shared" si="12"/>
        <v>9</v>
      </c>
      <c r="E239" s="3" t="str">
        <f t="shared" si="13"/>
        <v/>
      </c>
      <c r="F239" s="3" t="str">
        <f t="shared" si="14"/>
        <v/>
      </c>
      <c r="G239" s="3" t="str">
        <f t="shared" si="15"/>
        <v/>
      </c>
    </row>
    <row r="240" spans="1:7" x14ac:dyDescent="0.25">
      <c r="A240" s="41" t="s">
        <v>48</v>
      </c>
      <c r="B240" s="84">
        <v>336</v>
      </c>
      <c r="C240" s="79">
        <v>10</v>
      </c>
      <c r="D240" s="3">
        <f t="shared" si="12"/>
        <v>10</v>
      </c>
      <c r="E240" s="3" t="str">
        <f t="shared" si="13"/>
        <v/>
      </c>
      <c r="F240" s="3" t="str">
        <f t="shared" si="14"/>
        <v/>
      </c>
      <c r="G240" s="3" t="str">
        <f t="shared" si="15"/>
        <v/>
      </c>
    </row>
    <row r="241" spans="1:7" x14ac:dyDescent="0.25">
      <c r="A241" s="41" t="s">
        <v>48</v>
      </c>
      <c r="B241" s="84">
        <v>1160</v>
      </c>
      <c r="C241" s="79">
        <v>10</v>
      </c>
      <c r="D241" s="3" t="str">
        <f t="shared" si="12"/>
        <v/>
      </c>
      <c r="E241" s="3">
        <f t="shared" si="13"/>
        <v>10</v>
      </c>
      <c r="F241" s="3" t="str">
        <f t="shared" si="14"/>
        <v/>
      </c>
      <c r="G241" s="3" t="str">
        <f t="shared" si="15"/>
        <v/>
      </c>
    </row>
    <row r="242" spans="1:7" x14ac:dyDescent="0.25">
      <c r="A242" s="41" t="s">
        <v>93</v>
      </c>
      <c r="B242" s="84">
        <v>1950</v>
      </c>
      <c r="C242" s="79" t="s">
        <v>27</v>
      </c>
      <c r="D242" s="3" t="str">
        <f t="shared" si="12"/>
        <v/>
      </c>
      <c r="E242" s="3" t="str">
        <f t="shared" si="13"/>
        <v/>
      </c>
      <c r="F242" s="3" t="str">
        <f t="shared" si="14"/>
        <v/>
      </c>
      <c r="G242" s="3" t="str">
        <f t="shared" si="15"/>
        <v/>
      </c>
    </row>
    <row r="243" spans="1:7" x14ac:dyDescent="0.25">
      <c r="A243" s="41" t="s">
        <v>93</v>
      </c>
      <c r="B243" s="84">
        <v>1200</v>
      </c>
      <c r="C243" s="79">
        <v>9</v>
      </c>
      <c r="D243" s="3" t="str">
        <f t="shared" si="12"/>
        <v/>
      </c>
      <c r="E243" s="3">
        <f t="shared" si="13"/>
        <v>9</v>
      </c>
      <c r="F243" s="3" t="str">
        <f t="shared" si="14"/>
        <v/>
      </c>
      <c r="G243" s="3" t="str">
        <f t="shared" si="15"/>
        <v/>
      </c>
    </row>
    <row r="244" spans="1:7" x14ac:dyDescent="0.25">
      <c r="A244" s="41" t="s">
        <v>93</v>
      </c>
      <c r="B244" s="84">
        <v>1260</v>
      </c>
      <c r="C244" s="79">
        <v>6</v>
      </c>
      <c r="D244" s="3" t="str">
        <f t="shared" si="12"/>
        <v/>
      </c>
      <c r="E244" s="3">
        <f t="shared" si="13"/>
        <v>6</v>
      </c>
      <c r="F244" s="3" t="str">
        <f t="shared" si="14"/>
        <v/>
      </c>
      <c r="G244" s="3" t="str">
        <f t="shared" si="15"/>
        <v/>
      </c>
    </row>
    <row r="245" spans="1:7" x14ac:dyDescent="0.25">
      <c r="A245" s="41" t="s">
        <v>93</v>
      </c>
      <c r="B245" s="84">
        <v>1650</v>
      </c>
      <c r="C245" s="79">
        <v>7</v>
      </c>
      <c r="D245" s="3" t="str">
        <f t="shared" si="12"/>
        <v/>
      </c>
      <c r="E245" s="3">
        <f t="shared" si="13"/>
        <v>7</v>
      </c>
      <c r="F245" s="3" t="str">
        <f t="shared" si="14"/>
        <v/>
      </c>
      <c r="G245" s="3" t="str">
        <f t="shared" si="15"/>
        <v/>
      </c>
    </row>
    <row r="246" spans="1:7" x14ac:dyDescent="0.25">
      <c r="A246" s="41" t="s">
        <v>93</v>
      </c>
      <c r="B246" s="84">
        <v>15990</v>
      </c>
      <c r="C246" s="79" t="s">
        <v>27</v>
      </c>
      <c r="D246" s="3" t="str">
        <f t="shared" si="12"/>
        <v/>
      </c>
      <c r="E246" s="3" t="str">
        <f t="shared" si="13"/>
        <v/>
      </c>
      <c r="F246" s="3" t="str">
        <f t="shared" si="14"/>
        <v/>
      </c>
      <c r="G246" s="3" t="str">
        <f t="shared" si="15"/>
        <v/>
      </c>
    </row>
    <row r="247" spans="1:7" x14ac:dyDescent="0.25">
      <c r="A247" s="41" t="s">
        <v>93</v>
      </c>
      <c r="B247" s="84">
        <v>1380</v>
      </c>
      <c r="C247" s="79">
        <v>9</v>
      </c>
      <c r="D247" s="3" t="str">
        <f t="shared" si="12"/>
        <v/>
      </c>
      <c r="E247" s="3">
        <f t="shared" si="13"/>
        <v>9</v>
      </c>
      <c r="F247" s="3" t="str">
        <f t="shared" si="14"/>
        <v/>
      </c>
      <c r="G247" s="3" t="str">
        <f t="shared" si="15"/>
        <v/>
      </c>
    </row>
    <row r="248" spans="1:7" x14ac:dyDescent="0.25">
      <c r="A248" s="41" t="s">
        <v>93</v>
      </c>
      <c r="B248" s="84">
        <v>790</v>
      </c>
      <c r="C248" s="79" t="s">
        <v>27</v>
      </c>
      <c r="D248" s="3" t="str">
        <f t="shared" si="12"/>
        <v/>
      </c>
      <c r="E248" s="3" t="str">
        <f t="shared" si="13"/>
        <v/>
      </c>
      <c r="F248" s="3" t="str">
        <f t="shared" si="14"/>
        <v/>
      </c>
      <c r="G248" s="3" t="str">
        <f t="shared" si="15"/>
        <v/>
      </c>
    </row>
    <row r="249" spans="1:7" x14ac:dyDescent="0.25">
      <c r="A249" s="41" t="s">
        <v>93</v>
      </c>
      <c r="B249" s="84">
        <v>1150</v>
      </c>
      <c r="C249" s="79" t="s">
        <v>27</v>
      </c>
      <c r="D249" s="3" t="str">
        <f t="shared" si="12"/>
        <v/>
      </c>
      <c r="E249" s="3" t="str">
        <f t="shared" si="13"/>
        <v/>
      </c>
      <c r="F249" s="3" t="str">
        <f t="shared" si="14"/>
        <v/>
      </c>
      <c r="G249" s="3" t="str">
        <f t="shared" si="15"/>
        <v/>
      </c>
    </row>
    <row r="250" spans="1:7" x14ac:dyDescent="0.25">
      <c r="A250" s="41" t="s">
        <v>93</v>
      </c>
      <c r="B250" s="84">
        <v>1200</v>
      </c>
      <c r="C250" s="79">
        <v>9</v>
      </c>
      <c r="D250" s="3" t="str">
        <f t="shared" si="12"/>
        <v/>
      </c>
      <c r="E250" s="3">
        <f t="shared" si="13"/>
        <v>9</v>
      </c>
      <c r="F250" s="3" t="str">
        <f t="shared" si="14"/>
        <v/>
      </c>
      <c r="G250" s="3" t="str">
        <f t="shared" si="15"/>
        <v/>
      </c>
    </row>
    <row r="251" spans="1:7" x14ac:dyDescent="0.25">
      <c r="A251" s="41" t="s">
        <v>93</v>
      </c>
      <c r="B251" s="84">
        <v>399</v>
      </c>
      <c r="C251" s="79" t="s">
        <v>27</v>
      </c>
      <c r="D251" s="3" t="str">
        <f t="shared" si="12"/>
        <v/>
      </c>
      <c r="E251" s="3" t="str">
        <f t="shared" si="13"/>
        <v/>
      </c>
      <c r="F251" s="3" t="str">
        <f t="shared" si="14"/>
        <v/>
      </c>
      <c r="G251" s="3" t="str">
        <f t="shared" si="15"/>
        <v/>
      </c>
    </row>
    <row r="252" spans="1:7" x14ac:dyDescent="0.25">
      <c r="A252" s="41" t="s">
        <v>93</v>
      </c>
      <c r="B252" s="84">
        <v>350</v>
      </c>
      <c r="C252" s="79">
        <v>10</v>
      </c>
      <c r="D252" s="3">
        <f t="shared" si="12"/>
        <v>10</v>
      </c>
      <c r="E252" s="3" t="str">
        <f t="shared" si="13"/>
        <v/>
      </c>
      <c r="F252" s="3" t="str">
        <f t="shared" si="14"/>
        <v/>
      </c>
      <c r="G252" s="3" t="str">
        <f t="shared" si="15"/>
        <v/>
      </c>
    </row>
    <row r="253" spans="1:7" x14ac:dyDescent="0.25">
      <c r="A253" s="41" t="s">
        <v>93</v>
      </c>
      <c r="B253" s="84">
        <v>1860</v>
      </c>
      <c r="C253" s="79">
        <v>10</v>
      </c>
      <c r="D253" s="3" t="str">
        <f t="shared" si="12"/>
        <v/>
      </c>
      <c r="E253" s="3">
        <f t="shared" si="13"/>
        <v>10</v>
      </c>
      <c r="F253" s="3" t="str">
        <f t="shared" si="14"/>
        <v/>
      </c>
      <c r="G253" s="3" t="str">
        <f t="shared" si="15"/>
        <v/>
      </c>
    </row>
    <row r="254" spans="1:7" x14ac:dyDescent="0.25">
      <c r="A254" s="41" t="s">
        <v>93</v>
      </c>
      <c r="B254" s="84">
        <v>790</v>
      </c>
      <c r="C254" s="79" t="s">
        <v>27</v>
      </c>
      <c r="D254" s="3" t="str">
        <f t="shared" si="12"/>
        <v/>
      </c>
      <c r="E254" s="3" t="str">
        <f t="shared" si="13"/>
        <v/>
      </c>
      <c r="F254" s="3" t="str">
        <f t="shared" si="14"/>
        <v/>
      </c>
      <c r="G254" s="3" t="str">
        <f t="shared" si="15"/>
        <v/>
      </c>
    </row>
    <row r="255" spans="1:7" x14ac:dyDescent="0.25">
      <c r="A255" s="41" t="s">
        <v>93</v>
      </c>
      <c r="B255" s="84">
        <v>10820</v>
      </c>
      <c r="C255" s="79" t="s">
        <v>27</v>
      </c>
      <c r="D255" s="3" t="str">
        <f t="shared" si="12"/>
        <v/>
      </c>
      <c r="E255" s="3" t="str">
        <f t="shared" si="13"/>
        <v/>
      </c>
      <c r="F255" s="3" t="str">
        <f t="shared" si="14"/>
        <v/>
      </c>
      <c r="G255" s="3" t="str">
        <f t="shared" si="15"/>
        <v/>
      </c>
    </row>
    <row r="256" spans="1:7" x14ac:dyDescent="0.25">
      <c r="A256" s="41" t="s">
        <v>93</v>
      </c>
      <c r="B256" s="84">
        <v>390</v>
      </c>
      <c r="C256" s="79" t="s">
        <v>27</v>
      </c>
      <c r="D256" s="3" t="str">
        <f t="shared" si="12"/>
        <v/>
      </c>
      <c r="E256" s="3" t="str">
        <f t="shared" si="13"/>
        <v/>
      </c>
      <c r="F256" s="3" t="str">
        <f t="shared" si="14"/>
        <v/>
      </c>
      <c r="G256" s="3" t="str">
        <f t="shared" si="15"/>
        <v/>
      </c>
    </row>
    <row r="257" spans="1:7" x14ac:dyDescent="0.25">
      <c r="A257" s="41" t="s">
        <v>119</v>
      </c>
      <c r="B257" s="84">
        <v>285</v>
      </c>
      <c r="C257" s="79" t="s">
        <v>27</v>
      </c>
      <c r="D257" s="3" t="str">
        <f t="shared" si="12"/>
        <v/>
      </c>
      <c r="E257" s="3" t="str">
        <f t="shared" si="13"/>
        <v/>
      </c>
      <c r="F257" s="3" t="str">
        <f t="shared" si="14"/>
        <v/>
      </c>
      <c r="G257" s="3" t="str">
        <f t="shared" si="15"/>
        <v/>
      </c>
    </row>
    <row r="258" spans="1:7" x14ac:dyDescent="0.25">
      <c r="A258" s="41" t="s">
        <v>119</v>
      </c>
      <c r="B258" s="84">
        <v>300</v>
      </c>
      <c r="C258" s="79" t="s">
        <v>27</v>
      </c>
      <c r="D258" s="3" t="str">
        <f t="shared" si="12"/>
        <v/>
      </c>
      <c r="E258" s="3" t="str">
        <f t="shared" si="13"/>
        <v/>
      </c>
      <c r="F258" s="3" t="str">
        <f t="shared" si="14"/>
        <v/>
      </c>
      <c r="G258" s="3" t="str">
        <f t="shared" si="15"/>
        <v/>
      </c>
    </row>
    <row r="259" spans="1:7" x14ac:dyDescent="0.25">
      <c r="A259" s="41" t="s">
        <v>119</v>
      </c>
      <c r="B259" s="84">
        <v>550</v>
      </c>
      <c r="C259" s="79">
        <v>9</v>
      </c>
      <c r="D259" s="3">
        <f t="shared" ref="D259:D322" si="16">IF(AND(B259&gt;0,B259&lt;1000),C259,"")</f>
        <v>9</v>
      </c>
      <c r="E259" s="3" t="str">
        <f t="shared" ref="E259:E322" si="17">IF(AND(B259&gt;1000,B259&lt;2500),C259,"")</f>
        <v/>
      </c>
      <c r="F259" s="3" t="str">
        <f t="shared" ref="F259:F322" si="18">IF(AND(B259&gt;2500,B259&lt;5000),C259,"")</f>
        <v/>
      </c>
      <c r="G259" s="3" t="str">
        <f t="shared" ref="G259:G322" si="19">IF(B259&gt;=5000,C259,"")</f>
        <v/>
      </c>
    </row>
    <row r="260" spans="1:7" x14ac:dyDescent="0.25">
      <c r="A260" s="41" t="s">
        <v>119</v>
      </c>
      <c r="B260" s="84">
        <v>500</v>
      </c>
      <c r="C260" s="79" t="s">
        <v>27</v>
      </c>
      <c r="D260" s="3" t="str">
        <f t="shared" si="16"/>
        <v/>
      </c>
      <c r="E260" s="3" t="str">
        <f t="shared" si="17"/>
        <v/>
      </c>
      <c r="F260" s="3" t="str">
        <f t="shared" si="18"/>
        <v/>
      </c>
      <c r="G260" s="3" t="str">
        <f t="shared" si="19"/>
        <v/>
      </c>
    </row>
    <row r="261" spans="1:7" x14ac:dyDescent="0.25">
      <c r="A261" s="41" t="s">
        <v>123</v>
      </c>
      <c r="B261" s="84">
        <v>1870</v>
      </c>
      <c r="C261" s="79">
        <v>9</v>
      </c>
      <c r="D261" s="3" t="str">
        <f t="shared" si="16"/>
        <v/>
      </c>
      <c r="E261" s="3">
        <f t="shared" si="17"/>
        <v>9</v>
      </c>
      <c r="F261" s="3" t="str">
        <f t="shared" si="18"/>
        <v/>
      </c>
      <c r="G261" s="3" t="str">
        <f t="shared" si="19"/>
        <v/>
      </c>
    </row>
    <row r="262" spans="1:7" x14ac:dyDescent="0.25">
      <c r="A262" s="41" t="s">
        <v>123</v>
      </c>
      <c r="B262" s="84">
        <v>2000</v>
      </c>
      <c r="C262" s="79" t="s">
        <v>27</v>
      </c>
      <c r="D262" s="3" t="str">
        <f t="shared" si="16"/>
        <v/>
      </c>
      <c r="E262" s="3" t="str">
        <f t="shared" si="17"/>
        <v/>
      </c>
      <c r="F262" s="3" t="str">
        <f t="shared" si="18"/>
        <v/>
      </c>
      <c r="G262" s="3" t="str">
        <f t="shared" si="19"/>
        <v/>
      </c>
    </row>
    <row r="263" spans="1:7" x14ac:dyDescent="0.25">
      <c r="A263" s="41" t="s">
        <v>123</v>
      </c>
      <c r="B263" s="84">
        <v>1462</v>
      </c>
      <c r="C263" s="79" t="s">
        <v>27</v>
      </c>
      <c r="D263" s="3" t="str">
        <f t="shared" si="16"/>
        <v/>
      </c>
      <c r="E263" s="3" t="str">
        <f t="shared" si="17"/>
        <v/>
      </c>
      <c r="F263" s="3" t="str">
        <f t="shared" si="18"/>
        <v/>
      </c>
      <c r="G263" s="3" t="str">
        <f t="shared" si="19"/>
        <v/>
      </c>
    </row>
    <row r="264" spans="1:7" x14ac:dyDescent="0.25">
      <c r="A264" s="41" t="s">
        <v>123</v>
      </c>
      <c r="B264" s="84">
        <v>3870</v>
      </c>
      <c r="C264" s="79">
        <v>10</v>
      </c>
      <c r="D264" s="3" t="str">
        <f t="shared" si="16"/>
        <v/>
      </c>
      <c r="E264" s="3" t="str">
        <f t="shared" si="17"/>
        <v/>
      </c>
      <c r="F264" s="3">
        <f t="shared" si="18"/>
        <v>10</v>
      </c>
      <c r="G264" s="3" t="str">
        <f t="shared" si="19"/>
        <v/>
      </c>
    </row>
    <row r="265" spans="1:7" x14ac:dyDescent="0.25">
      <c r="A265" s="41" t="s">
        <v>123</v>
      </c>
      <c r="B265" s="84">
        <v>1250</v>
      </c>
      <c r="C265" s="79" t="s">
        <v>27</v>
      </c>
      <c r="D265" s="3" t="str">
        <f t="shared" si="16"/>
        <v/>
      </c>
      <c r="E265" s="3" t="str">
        <f t="shared" si="17"/>
        <v/>
      </c>
      <c r="F265" s="3" t="str">
        <f t="shared" si="18"/>
        <v/>
      </c>
      <c r="G265" s="3" t="str">
        <f t="shared" si="19"/>
        <v/>
      </c>
    </row>
    <row r="266" spans="1:7" x14ac:dyDescent="0.25">
      <c r="A266" s="41" t="s">
        <v>123</v>
      </c>
      <c r="B266" s="84">
        <v>800</v>
      </c>
      <c r="C266" s="79">
        <v>9</v>
      </c>
      <c r="D266" s="3">
        <f t="shared" si="16"/>
        <v>9</v>
      </c>
      <c r="E266" s="3" t="str">
        <f t="shared" si="17"/>
        <v/>
      </c>
      <c r="F266" s="3" t="str">
        <f t="shared" si="18"/>
        <v/>
      </c>
      <c r="G266" s="3" t="str">
        <f t="shared" si="19"/>
        <v/>
      </c>
    </row>
    <row r="267" spans="1:7" x14ac:dyDescent="0.25">
      <c r="A267" s="41" t="s">
        <v>123</v>
      </c>
      <c r="B267" s="84">
        <v>3130</v>
      </c>
      <c r="C267" s="79" t="s">
        <v>27</v>
      </c>
      <c r="D267" s="3" t="str">
        <f t="shared" si="16"/>
        <v/>
      </c>
      <c r="E267" s="3" t="str">
        <f t="shared" si="17"/>
        <v/>
      </c>
      <c r="F267" s="3" t="str">
        <f t="shared" si="18"/>
        <v/>
      </c>
      <c r="G267" s="3" t="str">
        <f t="shared" si="19"/>
        <v/>
      </c>
    </row>
    <row r="268" spans="1:7" x14ac:dyDescent="0.25">
      <c r="A268" s="41" t="s">
        <v>123</v>
      </c>
      <c r="B268" s="84">
        <v>850</v>
      </c>
      <c r="C268" s="79">
        <v>10</v>
      </c>
      <c r="D268" s="3">
        <f t="shared" si="16"/>
        <v>10</v>
      </c>
      <c r="E268" s="3" t="str">
        <f t="shared" si="17"/>
        <v/>
      </c>
      <c r="F268" s="3" t="str">
        <f t="shared" si="18"/>
        <v/>
      </c>
      <c r="G268" s="3" t="str">
        <f t="shared" si="19"/>
        <v/>
      </c>
    </row>
    <row r="269" spans="1:7" x14ac:dyDescent="0.25">
      <c r="A269" s="41" t="s">
        <v>123</v>
      </c>
      <c r="B269" s="84">
        <v>501</v>
      </c>
      <c r="C269" s="79">
        <v>10</v>
      </c>
      <c r="D269" s="3">
        <f t="shared" si="16"/>
        <v>10</v>
      </c>
      <c r="E269" s="3" t="str">
        <f t="shared" si="17"/>
        <v/>
      </c>
      <c r="F269" s="3" t="str">
        <f t="shared" si="18"/>
        <v/>
      </c>
      <c r="G269" s="3" t="str">
        <f t="shared" si="19"/>
        <v/>
      </c>
    </row>
    <row r="270" spans="1:7" x14ac:dyDescent="0.25">
      <c r="A270" s="41" t="s">
        <v>123</v>
      </c>
      <c r="B270" s="84">
        <v>950</v>
      </c>
      <c r="C270" s="79">
        <v>9</v>
      </c>
      <c r="D270" s="3">
        <f t="shared" si="16"/>
        <v>9</v>
      </c>
      <c r="E270" s="3" t="str">
        <f t="shared" si="17"/>
        <v/>
      </c>
      <c r="F270" s="3" t="str">
        <f t="shared" si="18"/>
        <v/>
      </c>
      <c r="G270" s="3" t="str">
        <f t="shared" si="19"/>
        <v/>
      </c>
    </row>
    <row r="271" spans="1:7" x14ac:dyDescent="0.25">
      <c r="A271" s="41" t="s">
        <v>123</v>
      </c>
      <c r="B271" s="84">
        <v>10920</v>
      </c>
      <c r="C271" s="79" t="s">
        <v>27</v>
      </c>
      <c r="D271" s="3" t="str">
        <f t="shared" si="16"/>
        <v/>
      </c>
      <c r="E271" s="3" t="str">
        <f t="shared" si="17"/>
        <v/>
      </c>
      <c r="F271" s="3" t="str">
        <f t="shared" si="18"/>
        <v/>
      </c>
      <c r="G271" s="3" t="str">
        <f t="shared" si="19"/>
        <v/>
      </c>
    </row>
    <row r="272" spans="1:7" x14ac:dyDescent="0.25">
      <c r="A272" s="41" t="s">
        <v>123</v>
      </c>
      <c r="B272" s="84">
        <v>600</v>
      </c>
      <c r="C272" s="79" t="s">
        <v>27</v>
      </c>
      <c r="D272" s="3" t="str">
        <f t="shared" si="16"/>
        <v/>
      </c>
      <c r="E272" s="3" t="str">
        <f t="shared" si="17"/>
        <v/>
      </c>
      <c r="F272" s="3" t="str">
        <f t="shared" si="18"/>
        <v/>
      </c>
      <c r="G272" s="3" t="str">
        <f t="shared" si="19"/>
        <v/>
      </c>
    </row>
    <row r="273" spans="1:7" x14ac:dyDescent="0.25">
      <c r="A273" s="41" t="s">
        <v>123</v>
      </c>
      <c r="B273" s="84">
        <v>1500</v>
      </c>
      <c r="C273" s="79" t="s">
        <v>27</v>
      </c>
      <c r="D273" s="3" t="str">
        <f t="shared" si="16"/>
        <v/>
      </c>
      <c r="E273" s="3" t="str">
        <f t="shared" si="17"/>
        <v/>
      </c>
      <c r="F273" s="3" t="str">
        <f t="shared" si="18"/>
        <v/>
      </c>
      <c r="G273" s="3" t="str">
        <f t="shared" si="19"/>
        <v/>
      </c>
    </row>
    <row r="274" spans="1:7" x14ac:dyDescent="0.25">
      <c r="A274" s="41" t="s">
        <v>123</v>
      </c>
      <c r="B274" s="84">
        <v>180</v>
      </c>
      <c r="C274" s="79">
        <v>10</v>
      </c>
      <c r="D274" s="3">
        <f t="shared" si="16"/>
        <v>10</v>
      </c>
      <c r="E274" s="3" t="str">
        <f t="shared" si="17"/>
        <v/>
      </c>
      <c r="F274" s="3" t="str">
        <f t="shared" si="18"/>
        <v/>
      </c>
      <c r="G274" s="3" t="str">
        <f t="shared" si="19"/>
        <v/>
      </c>
    </row>
    <row r="275" spans="1:7" x14ac:dyDescent="0.25">
      <c r="A275" s="41" t="s">
        <v>123</v>
      </c>
      <c r="B275" s="84">
        <v>700</v>
      </c>
      <c r="C275" s="79" t="s">
        <v>27</v>
      </c>
      <c r="D275" s="3" t="str">
        <f t="shared" si="16"/>
        <v/>
      </c>
      <c r="E275" s="3" t="str">
        <f t="shared" si="17"/>
        <v/>
      </c>
      <c r="F275" s="3" t="str">
        <f t="shared" si="18"/>
        <v/>
      </c>
      <c r="G275" s="3" t="str">
        <f t="shared" si="19"/>
        <v/>
      </c>
    </row>
    <row r="276" spans="1:7" x14ac:dyDescent="0.25">
      <c r="A276" s="41" t="s">
        <v>123</v>
      </c>
      <c r="B276" s="84">
        <v>2890</v>
      </c>
      <c r="C276" s="79" t="s">
        <v>27</v>
      </c>
      <c r="D276" s="3" t="str">
        <f t="shared" si="16"/>
        <v/>
      </c>
      <c r="E276" s="3" t="str">
        <f t="shared" si="17"/>
        <v/>
      </c>
      <c r="F276" s="3" t="str">
        <f t="shared" si="18"/>
        <v/>
      </c>
      <c r="G276" s="3" t="str">
        <f t="shared" si="19"/>
        <v/>
      </c>
    </row>
    <row r="277" spans="1:7" x14ac:dyDescent="0.25">
      <c r="A277" s="41" t="s">
        <v>123</v>
      </c>
      <c r="B277" s="84">
        <v>350</v>
      </c>
      <c r="C277" s="79">
        <v>9</v>
      </c>
      <c r="D277" s="3">
        <f t="shared" si="16"/>
        <v>9</v>
      </c>
      <c r="E277" s="3" t="str">
        <f t="shared" si="17"/>
        <v/>
      </c>
      <c r="F277" s="3" t="str">
        <f t="shared" si="18"/>
        <v/>
      </c>
      <c r="G277" s="3" t="str">
        <f t="shared" si="19"/>
        <v/>
      </c>
    </row>
    <row r="278" spans="1:7" x14ac:dyDescent="0.25">
      <c r="A278" s="41" t="s">
        <v>123</v>
      </c>
      <c r="B278" s="84">
        <v>724</v>
      </c>
      <c r="C278" s="79" t="s">
        <v>27</v>
      </c>
      <c r="D278" s="3" t="str">
        <f t="shared" si="16"/>
        <v/>
      </c>
      <c r="E278" s="3" t="str">
        <f t="shared" si="17"/>
        <v/>
      </c>
      <c r="F278" s="3" t="str">
        <f t="shared" si="18"/>
        <v/>
      </c>
      <c r="G278" s="3" t="str">
        <f t="shared" si="19"/>
        <v/>
      </c>
    </row>
    <row r="279" spans="1:7" x14ac:dyDescent="0.25">
      <c r="A279" s="41" t="s">
        <v>123</v>
      </c>
      <c r="B279" s="84">
        <v>3250</v>
      </c>
      <c r="C279" s="79" t="s">
        <v>27</v>
      </c>
      <c r="D279" s="3" t="str">
        <f t="shared" si="16"/>
        <v/>
      </c>
      <c r="E279" s="3" t="str">
        <f t="shared" si="17"/>
        <v/>
      </c>
      <c r="F279" s="3" t="str">
        <f t="shared" si="18"/>
        <v/>
      </c>
      <c r="G279" s="3" t="str">
        <f t="shared" si="19"/>
        <v/>
      </c>
    </row>
    <row r="280" spans="1:7" x14ac:dyDescent="0.25">
      <c r="A280" s="41" t="s">
        <v>123</v>
      </c>
      <c r="B280" s="84">
        <v>520</v>
      </c>
      <c r="C280" s="79">
        <v>10</v>
      </c>
      <c r="D280" s="3">
        <f t="shared" si="16"/>
        <v>10</v>
      </c>
      <c r="E280" s="3" t="str">
        <f t="shared" si="17"/>
        <v/>
      </c>
      <c r="F280" s="3" t="str">
        <f t="shared" si="18"/>
        <v/>
      </c>
      <c r="G280" s="3" t="str">
        <f t="shared" si="19"/>
        <v/>
      </c>
    </row>
    <row r="281" spans="1:7" x14ac:dyDescent="0.25">
      <c r="A281" s="41" t="s">
        <v>123</v>
      </c>
      <c r="B281" s="84">
        <v>1250</v>
      </c>
      <c r="C281" s="79" t="s">
        <v>27</v>
      </c>
      <c r="D281" s="3" t="str">
        <f t="shared" si="16"/>
        <v/>
      </c>
      <c r="E281" s="3" t="str">
        <f t="shared" si="17"/>
        <v/>
      </c>
      <c r="F281" s="3" t="str">
        <f t="shared" si="18"/>
        <v/>
      </c>
      <c r="G281" s="3" t="str">
        <f t="shared" si="19"/>
        <v/>
      </c>
    </row>
    <row r="282" spans="1:7" x14ac:dyDescent="0.25">
      <c r="A282" s="41" t="s">
        <v>123</v>
      </c>
      <c r="B282" s="84">
        <v>200</v>
      </c>
      <c r="C282" s="79">
        <v>10</v>
      </c>
      <c r="D282" s="3">
        <f t="shared" si="16"/>
        <v>10</v>
      </c>
      <c r="E282" s="3" t="str">
        <f t="shared" si="17"/>
        <v/>
      </c>
      <c r="F282" s="3" t="str">
        <f t="shared" si="18"/>
        <v/>
      </c>
      <c r="G282" s="3" t="str">
        <f t="shared" si="19"/>
        <v/>
      </c>
    </row>
    <row r="283" spans="1:7" x14ac:dyDescent="0.25">
      <c r="A283" s="41" t="s">
        <v>123</v>
      </c>
      <c r="B283" s="84">
        <v>2870</v>
      </c>
      <c r="C283" s="79">
        <v>9</v>
      </c>
      <c r="D283" s="3" t="str">
        <f t="shared" si="16"/>
        <v/>
      </c>
      <c r="E283" s="3" t="str">
        <f t="shared" si="17"/>
        <v/>
      </c>
      <c r="F283" s="3">
        <f t="shared" si="18"/>
        <v>9</v>
      </c>
      <c r="G283" s="3" t="str">
        <f t="shared" si="19"/>
        <v/>
      </c>
    </row>
    <row r="284" spans="1:7" x14ac:dyDescent="0.25">
      <c r="A284" s="41" t="s">
        <v>123</v>
      </c>
      <c r="B284" s="84">
        <v>2250</v>
      </c>
      <c r="C284" s="79" t="s">
        <v>27</v>
      </c>
      <c r="D284" s="3" t="str">
        <f t="shared" si="16"/>
        <v/>
      </c>
      <c r="E284" s="3" t="str">
        <f t="shared" si="17"/>
        <v/>
      </c>
      <c r="F284" s="3" t="str">
        <f t="shared" si="18"/>
        <v/>
      </c>
      <c r="G284" s="3" t="str">
        <f t="shared" si="19"/>
        <v/>
      </c>
    </row>
    <row r="285" spans="1:7" x14ac:dyDescent="0.25">
      <c r="A285" s="41" t="s">
        <v>123</v>
      </c>
      <c r="B285" s="84">
        <v>2390</v>
      </c>
      <c r="C285" s="79" t="s">
        <v>27</v>
      </c>
      <c r="D285" s="3" t="str">
        <f t="shared" si="16"/>
        <v/>
      </c>
      <c r="E285" s="3" t="str">
        <f t="shared" si="17"/>
        <v/>
      </c>
      <c r="F285" s="3" t="str">
        <f t="shared" si="18"/>
        <v/>
      </c>
      <c r="G285" s="3" t="str">
        <f t="shared" si="19"/>
        <v/>
      </c>
    </row>
    <row r="286" spans="1:7" x14ac:dyDescent="0.25">
      <c r="A286" s="41" t="s">
        <v>123</v>
      </c>
      <c r="B286" s="84">
        <v>100</v>
      </c>
      <c r="C286" s="79" t="s">
        <v>27</v>
      </c>
      <c r="D286" s="3" t="str">
        <f t="shared" si="16"/>
        <v/>
      </c>
      <c r="E286" s="3" t="str">
        <f t="shared" si="17"/>
        <v/>
      </c>
      <c r="F286" s="3" t="str">
        <f t="shared" si="18"/>
        <v/>
      </c>
      <c r="G286" s="3" t="str">
        <f t="shared" si="19"/>
        <v/>
      </c>
    </row>
    <row r="287" spans="1:7" x14ac:dyDescent="0.25">
      <c r="A287" s="41" t="s">
        <v>123</v>
      </c>
      <c r="B287" s="84">
        <v>320</v>
      </c>
      <c r="C287" s="79" t="s">
        <v>27</v>
      </c>
      <c r="D287" s="3" t="str">
        <f t="shared" si="16"/>
        <v/>
      </c>
      <c r="E287" s="3" t="str">
        <f t="shared" si="17"/>
        <v/>
      </c>
      <c r="F287" s="3" t="str">
        <f t="shared" si="18"/>
        <v/>
      </c>
      <c r="G287" s="3" t="str">
        <f t="shared" si="19"/>
        <v/>
      </c>
    </row>
    <row r="288" spans="1:7" x14ac:dyDescent="0.25">
      <c r="A288" s="41" t="s">
        <v>123</v>
      </c>
      <c r="B288" s="84">
        <v>1700</v>
      </c>
      <c r="C288" s="79" t="s">
        <v>27</v>
      </c>
      <c r="D288" s="3" t="str">
        <f t="shared" si="16"/>
        <v/>
      </c>
      <c r="E288" s="3" t="str">
        <f t="shared" si="17"/>
        <v/>
      </c>
      <c r="F288" s="3" t="str">
        <f t="shared" si="18"/>
        <v/>
      </c>
      <c r="G288" s="3" t="str">
        <f t="shared" si="19"/>
        <v/>
      </c>
    </row>
    <row r="289" spans="1:7" x14ac:dyDescent="0.25">
      <c r="A289" s="41" t="s">
        <v>103</v>
      </c>
      <c r="B289" s="84">
        <v>1200</v>
      </c>
      <c r="C289" s="79" t="s">
        <v>27</v>
      </c>
      <c r="D289" s="3" t="str">
        <f t="shared" si="16"/>
        <v/>
      </c>
      <c r="E289" s="3" t="str">
        <f t="shared" si="17"/>
        <v/>
      </c>
      <c r="F289" s="3" t="str">
        <f t="shared" si="18"/>
        <v/>
      </c>
      <c r="G289" s="3" t="str">
        <f t="shared" si="19"/>
        <v/>
      </c>
    </row>
    <row r="290" spans="1:7" x14ac:dyDescent="0.25">
      <c r="A290" s="41" t="s">
        <v>103</v>
      </c>
      <c r="B290" s="84">
        <v>800</v>
      </c>
      <c r="C290" s="79">
        <v>10</v>
      </c>
      <c r="D290" s="3">
        <f t="shared" si="16"/>
        <v>10</v>
      </c>
      <c r="E290" s="3" t="str">
        <f t="shared" si="17"/>
        <v/>
      </c>
      <c r="F290" s="3" t="str">
        <f t="shared" si="18"/>
        <v/>
      </c>
      <c r="G290" s="3" t="str">
        <f t="shared" si="19"/>
        <v/>
      </c>
    </row>
    <row r="291" spans="1:7" x14ac:dyDescent="0.25">
      <c r="A291" s="41" t="s">
        <v>103</v>
      </c>
      <c r="B291" s="84">
        <v>500</v>
      </c>
      <c r="C291" s="79">
        <v>8</v>
      </c>
      <c r="D291" s="3">
        <f t="shared" si="16"/>
        <v>8</v>
      </c>
      <c r="E291" s="3" t="str">
        <f t="shared" si="17"/>
        <v/>
      </c>
      <c r="F291" s="3" t="str">
        <f t="shared" si="18"/>
        <v/>
      </c>
      <c r="G291" s="3" t="str">
        <f t="shared" si="19"/>
        <v/>
      </c>
    </row>
    <row r="292" spans="1:7" x14ac:dyDescent="0.25">
      <c r="A292" s="41" t="s">
        <v>103</v>
      </c>
      <c r="B292" s="84">
        <v>60</v>
      </c>
      <c r="C292" s="79">
        <v>10</v>
      </c>
      <c r="D292" s="3">
        <f t="shared" si="16"/>
        <v>10</v>
      </c>
      <c r="E292" s="3" t="str">
        <f t="shared" si="17"/>
        <v/>
      </c>
      <c r="F292" s="3" t="str">
        <f t="shared" si="18"/>
        <v/>
      </c>
      <c r="G292" s="3" t="str">
        <f t="shared" si="19"/>
        <v/>
      </c>
    </row>
    <row r="293" spans="1:7" x14ac:dyDescent="0.25">
      <c r="A293" s="41" t="s">
        <v>103</v>
      </c>
      <c r="B293" s="84">
        <v>1000</v>
      </c>
      <c r="C293" s="79" t="s">
        <v>27</v>
      </c>
      <c r="D293" s="3" t="str">
        <f t="shared" si="16"/>
        <v/>
      </c>
      <c r="E293" s="3" t="str">
        <f t="shared" si="17"/>
        <v/>
      </c>
      <c r="F293" s="3" t="str">
        <f t="shared" si="18"/>
        <v/>
      </c>
      <c r="G293" s="3" t="str">
        <f t="shared" si="19"/>
        <v/>
      </c>
    </row>
    <row r="294" spans="1:7" x14ac:dyDescent="0.25">
      <c r="A294" s="41" t="s">
        <v>103</v>
      </c>
      <c r="B294" s="84">
        <v>3300</v>
      </c>
      <c r="C294" s="79">
        <v>8</v>
      </c>
      <c r="D294" s="3" t="str">
        <f t="shared" si="16"/>
        <v/>
      </c>
      <c r="E294" s="3" t="str">
        <f t="shared" si="17"/>
        <v/>
      </c>
      <c r="F294" s="3">
        <f t="shared" si="18"/>
        <v>8</v>
      </c>
      <c r="G294" s="3" t="str">
        <f t="shared" si="19"/>
        <v/>
      </c>
    </row>
    <row r="295" spans="1:7" x14ac:dyDescent="0.25">
      <c r="A295" s="41" t="s">
        <v>103</v>
      </c>
      <c r="B295" s="84">
        <v>320</v>
      </c>
      <c r="C295" s="79">
        <v>8</v>
      </c>
      <c r="D295" s="3">
        <f t="shared" si="16"/>
        <v>8</v>
      </c>
      <c r="E295" s="3" t="str">
        <f t="shared" si="17"/>
        <v/>
      </c>
      <c r="F295" s="3" t="str">
        <f t="shared" si="18"/>
        <v/>
      </c>
      <c r="G295" s="3" t="str">
        <f t="shared" si="19"/>
        <v/>
      </c>
    </row>
    <row r="296" spans="1:7" x14ac:dyDescent="0.25">
      <c r="A296" s="41" t="s">
        <v>103</v>
      </c>
      <c r="B296" s="84">
        <v>200</v>
      </c>
      <c r="C296" s="79">
        <v>8</v>
      </c>
      <c r="D296" s="3">
        <f t="shared" si="16"/>
        <v>8</v>
      </c>
      <c r="E296" s="3" t="str">
        <f t="shared" si="17"/>
        <v/>
      </c>
      <c r="F296" s="3" t="str">
        <f t="shared" si="18"/>
        <v/>
      </c>
      <c r="G296" s="3" t="str">
        <f t="shared" si="19"/>
        <v/>
      </c>
    </row>
    <row r="297" spans="1:7" x14ac:dyDescent="0.25">
      <c r="A297" s="41" t="s">
        <v>103</v>
      </c>
      <c r="B297" s="84">
        <v>380</v>
      </c>
      <c r="C297" s="79">
        <v>8</v>
      </c>
      <c r="D297" s="3">
        <f t="shared" si="16"/>
        <v>8</v>
      </c>
      <c r="E297" s="3" t="str">
        <f t="shared" si="17"/>
        <v/>
      </c>
      <c r="F297" s="3" t="str">
        <f t="shared" si="18"/>
        <v/>
      </c>
      <c r="G297" s="3" t="str">
        <f t="shared" si="19"/>
        <v/>
      </c>
    </row>
    <row r="298" spans="1:7" x14ac:dyDescent="0.25">
      <c r="A298" s="41" t="s">
        <v>103</v>
      </c>
      <c r="B298" s="84">
        <v>400</v>
      </c>
      <c r="C298" s="79">
        <v>8</v>
      </c>
      <c r="D298" s="3">
        <f t="shared" si="16"/>
        <v>8</v>
      </c>
      <c r="E298" s="3" t="str">
        <f t="shared" si="17"/>
        <v/>
      </c>
      <c r="F298" s="3" t="str">
        <f t="shared" si="18"/>
        <v/>
      </c>
      <c r="G298" s="3" t="str">
        <f t="shared" si="19"/>
        <v/>
      </c>
    </row>
    <row r="299" spans="1:7" x14ac:dyDescent="0.25">
      <c r="A299" s="41" t="s">
        <v>103</v>
      </c>
      <c r="B299" s="84">
        <v>400</v>
      </c>
      <c r="C299" s="79" t="s">
        <v>27</v>
      </c>
      <c r="D299" s="3" t="str">
        <f t="shared" si="16"/>
        <v/>
      </c>
      <c r="E299" s="3" t="str">
        <f t="shared" si="17"/>
        <v/>
      </c>
      <c r="F299" s="3" t="str">
        <f t="shared" si="18"/>
        <v/>
      </c>
      <c r="G299" s="3" t="str">
        <f t="shared" si="19"/>
        <v/>
      </c>
    </row>
    <row r="300" spans="1:7" x14ac:dyDescent="0.25">
      <c r="A300" s="41" t="s">
        <v>103</v>
      </c>
      <c r="B300" s="84">
        <v>114</v>
      </c>
      <c r="C300" s="79">
        <v>10</v>
      </c>
      <c r="D300" s="3">
        <f t="shared" si="16"/>
        <v>10</v>
      </c>
      <c r="E300" s="3" t="str">
        <f t="shared" si="17"/>
        <v/>
      </c>
      <c r="F300" s="3" t="str">
        <f t="shared" si="18"/>
        <v/>
      </c>
      <c r="G300" s="3" t="str">
        <f t="shared" si="19"/>
        <v/>
      </c>
    </row>
    <row r="301" spans="1:7" x14ac:dyDescent="0.25">
      <c r="A301" s="41" t="s">
        <v>103</v>
      </c>
      <c r="B301" s="84">
        <v>140</v>
      </c>
      <c r="C301" s="79" t="s">
        <v>27</v>
      </c>
      <c r="D301" s="3" t="str">
        <f t="shared" si="16"/>
        <v/>
      </c>
      <c r="E301" s="3" t="str">
        <f t="shared" si="17"/>
        <v/>
      </c>
      <c r="F301" s="3" t="str">
        <f t="shared" si="18"/>
        <v/>
      </c>
      <c r="G301" s="3" t="str">
        <f t="shared" si="19"/>
        <v/>
      </c>
    </row>
    <row r="302" spans="1:7" x14ac:dyDescent="0.25">
      <c r="A302" s="41" t="s">
        <v>129</v>
      </c>
      <c r="B302" s="84">
        <v>17540</v>
      </c>
      <c r="C302" s="79" t="s">
        <v>27</v>
      </c>
      <c r="D302" s="3" t="str">
        <f t="shared" si="16"/>
        <v/>
      </c>
      <c r="E302" s="3" t="str">
        <f t="shared" si="17"/>
        <v/>
      </c>
      <c r="F302" s="3" t="str">
        <f t="shared" si="18"/>
        <v/>
      </c>
      <c r="G302" s="3" t="str">
        <f t="shared" si="19"/>
        <v/>
      </c>
    </row>
    <row r="303" spans="1:7" x14ac:dyDescent="0.25">
      <c r="A303" s="41" t="s">
        <v>129</v>
      </c>
      <c r="B303" s="84">
        <v>1000</v>
      </c>
      <c r="C303" s="79">
        <v>10</v>
      </c>
      <c r="D303" s="3" t="str">
        <f t="shared" si="16"/>
        <v/>
      </c>
      <c r="E303" s="3" t="str">
        <f t="shared" si="17"/>
        <v/>
      </c>
      <c r="F303" s="3" t="str">
        <f t="shared" si="18"/>
        <v/>
      </c>
      <c r="G303" s="3" t="str">
        <f t="shared" si="19"/>
        <v/>
      </c>
    </row>
    <row r="304" spans="1:7" x14ac:dyDescent="0.25">
      <c r="A304" s="41" t="s">
        <v>129</v>
      </c>
      <c r="B304" s="84">
        <v>1404</v>
      </c>
      <c r="C304" s="79">
        <v>10</v>
      </c>
      <c r="D304" s="3" t="str">
        <f t="shared" si="16"/>
        <v/>
      </c>
      <c r="E304" s="3">
        <f t="shared" si="17"/>
        <v>10</v>
      </c>
      <c r="F304" s="3" t="str">
        <f t="shared" si="18"/>
        <v/>
      </c>
      <c r="G304" s="3" t="str">
        <f t="shared" si="19"/>
        <v/>
      </c>
    </row>
    <row r="305" spans="1:7" x14ac:dyDescent="0.25">
      <c r="A305" s="41" t="s">
        <v>129</v>
      </c>
      <c r="B305" s="84">
        <v>350</v>
      </c>
      <c r="C305" s="79">
        <v>10</v>
      </c>
      <c r="D305" s="3">
        <f t="shared" si="16"/>
        <v>10</v>
      </c>
      <c r="E305" s="3" t="str">
        <f t="shared" si="17"/>
        <v/>
      </c>
      <c r="F305" s="3" t="str">
        <f t="shared" si="18"/>
        <v/>
      </c>
      <c r="G305" s="3" t="str">
        <f t="shared" si="19"/>
        <v/>
      </c>
    </row>
    <row r="306" spans="1:7" x14ac:dyDescent="0.25">
      <c r="A306" s="41" t="s">
        <v>129</v>
      </c>
      <c r="B306" s="84">
        <v>1150</v>
      </c>
      <c r="C306" s="79" t="s">
        <v>27</v>
      </c>
      <c r="D306" s="3" t="str">
        <f t="shared" si="16"/>
        <v/>
      </c>
      <c r="E306" s="3" t="str">
        <f t="shared" si="17"/>
        <v/>
      </c>
      <c r="F306" s="3" t="str">
        <f t="shared" si="18"/>
        <v/>
      </c>
      <c r="G306" s="3" t="str">
        <f t="shared" si="19"/>
        <v/>
      </c>
    </row>
    <row r="307" spans="1:7" x14ac:dyDescent="0.25">
      <c r="A307" s="41" t="s">
        <v>129</v>
      </c>
      <c r="B307" s="84">
        <v>500</v>
      </c>
      <c r="C307" s="79" t="s">
        <v>27</v>
      </c>
      <c r="D307" s="3" t="str">
        <f t="shared" si="16"/>
        <v/>
      </c>
      <c r="E307" s="3" t="str">
        <f t="shared" si="17"/>
        <v/>
      </c>
      <c r="F307" s="3" t="str">
        <f t="shared" si="18"/>
        <v/>
      </c>
      <c r="G307" s="3" t="str">
        <f t="shared" si="19"/>
        <v/>
      </c>
    </row>
    <row r="308" spans="1:7" x14ac:dyDescent="0.25">
      <c r="A308" s="41" t="s">
        <v>129</v>
      </c>
      <c r="B308" s="84">
        <v>1600</v>
      </c>
      <c r="C308" s="79" t="s">
        <v>27</v>
      </c>
      <c r="D308" s="3" t="str">
        <f t="shared" si="16"/>
        <v/>
      </c>
      <c r="E308" s="3" t="str">
        <f t="shared" si="17"/>
        <v/>
      </c>
      <c r="F308" s="3" t="str">
        <f t="shared" si="18"/>
        <v/>
      </c>
      <c r="G308" s="3" t="str">
        <f t="shared" si="19"/>
        <v/>
      </c>
    </row>
    <row r="309" spans="1:7" x14ac:dyDescent="0.25">
      <c r="A309" s="41" t="s">
        <v>129</v>
      </c>
      <c r="B309" s="84">
        <v>1598</v>
      </c>
      <c r="C309" s="79">
        <v>10</v>
      </c>
      <c r="D309" s="3" t="str">
        <f t="shared" si="16"/>
        <v/>
      </c>
      <c r="E309" s="3">
        <f t="shared" si="17"/>
        <v>10</v>
      </c>
      <c r="F309" s="3" t="str">
        <f t="shared" si="18"/>
        <v/>
      </c>
      <c r="G309" s="3" t="str">
        <f t="shared" si="19"/>
        <v/>
      </c>
    </row>
    <row r="310" spans="1:7" x14ac:dyDescent="0.25">
      <c r="A310" s="41" t="s">
        <v>129</v>
      </c>
      <c r="B310" s="84">
        <v>890</v>
      </c>
      <c r="C310" s="79">
        <v>10</v>
      </c>
      <c r="D310" s="3">
        <f t="shared" si="16"/>
        <v>10</v>
      </c>
      <c r="E310" s="3" t="str">
        <f t="shared" si="17"/>
        <v/>
      </c>
      <c r="F310" s="3" t="str">
        <f t="shared" si="18"/>
        <v/>
      </c>
      <c r="G310" s="3" t="str">
        <f t="shared" si="19"/>
        <v/>
      </c>
    </row>
    <row r="311" spans="1:7" x14ac:dyDescent="0.25">
      <c r="A311" s="41" t="s">
        <v>129</v>
      </c>
      <c r="B311" s="84">
        <v>6000</v>
      </c>
      <c r="C311" s="79" t="s">
        <v>27</v>
      </c>
      <c r="D311" s="3" t="str">
        <f t="shared" si="16"/>
        <v/>
      </c>
      <c r="E311" s="3" t="str">
        <f t="shared" si="17"/>
        <v/>
      </c>
      <c r="F311" s="3" t="str">
        <f t="shared" si="18"/>
        <v/>
      </c>
      <c r="G311" s="3" t="str">
        <f t="shared" si="19"/>
        <v/>
      </c>
    </row>
    <row r="312" spans="1:7" x14ac:dyDescent="0.25">
      <c r="A312" s="41" t="s">
        <v>129</v>
      </c>
      <c r="B312" s="84">
        <v>10000</v>
      </c>
      <c r="C312" s="79" t="s">
        <v>27</v>
      </c>
      <c r="D312" s="3" t="str">
        <f t="shared" si="16"/>
        <v/>
      </c>
      <c r="E312" s="3" t="str">
        <f t="shared" si="17"/>
        <v/>
      </c>
      <c r="F312" s="3" t="str">
        <f t="shared" si="18"/>
        <v/>
      </c>
      <c r="G312" s="3" t="str">
        <f t="shared" si="19"/>
        <v/>
      </c>
    </row>
    <row r="313" spans="1:7" x14ac:dyDescent="0.25">
      <c r="A313" s="41" t="s">
        <v>129</v>
      </c>
      <c r="B313" s="84">
        <v>160</v>
      </c>
      <c r="C313" s="79" t="s">
        <v>27</v>
      </c>
      <c r="D313" s="3" t="str">
        <f t="shared" si="16"/>
        <v/>
      </c>
      <c r="E313" s="3" t="str">
        <f t="shared" si="17"/>
        <v/>
      </c>
      <c r="F313" s="3" t="str">
        <f t="shared" si="18"/>
        <v/>
      </c>
      <c r="G313" s="3" t="str">
        <f t="shared" si="19"/>
        <v/>
      </c>
    </row>
    <row r="314" spans="1:7" x14ac:dyDescent="0.25">
      <c r="A314" s="41" t="s">
        <v>96</v>
      </c>
      <c r="B314" s="84">
        <v>2200</v>
      </c>
      <c r="C314" s="79" t="s">
        <v>27</v>
      </c>
      <c r="D314" s="3" t="str">
        <f t="shared" si="16"/>
        <v/>
      </c>
      <c r="E314" s="3" t="str">
        <f t="shared" si="17"/>
        <v/>
      </c>
      <c r="F314" s="3" t="str">
        <f t="shared" si="18"/>
        <v/>
      </c>
      <c r="G314" s="3" t="str">
        <f t="shared" si="19"/>
        <v/>
      </c>
    </row>
    <row r="315" spans="1:7" x14ac:dyDescent="0.25">
      <c r="A315" s="41" t="s">
        <v>96</v>
      </c>
      <c r="B315" s="84">
        <v>2000</v>
      </c>
      <c r="C315" s="79" t="s">
        <v>27</v>
      </c>
      <c r="D315" s="3" t="str">
        <f t="shared" si="16"/>
        <v/>
      </c>
      <c r="E315" s="3" t="str">
        <f t="shared" si="17"/>
        <v/>
      </c>
      <c r="F315" s="3" t="str">
        <f t="shared" si="18"/>
        <v/>
      </c>
      <c r="G315" s="3" t="str">
        <f t="shared" si="19"/>
        <v/>
      </c>
    </row>
    <row r="316" spans="1:7" x14ac:dyDescent="0.25">
      <c r="A316" s="41" t="s">
        <v>96</v>
      </c>
      <c r="B316" s="84">
        <v>1500</v>
      </c>
      <c r="C316" s="79">
        <v>3</v>
      </c>
      <c r="D316" s="3" t="str">
        <f t="shared" si="16"/>
        <v/>
      </c>
      <c r="E316" s="3">
        <f t="shared" si="17"/>
        <v>3</v>
      </c>
      <c r="F316" s="3" t="str">
        <f t="shared" si="18"/>
        <v/>
      </c>
      <c r="G316" s="3" t="str">
        <f t="shared" si="19"/>
        <v/>
      </c>
    </row>
    <row r="317" spans="1:7" x14ac:dyDescent="0.25">
      <c r="A317" s="41" t="s">
        <v>96</v>
      </c>
      <c r="B317" s="84">
        <v>2000</v>
      </c>
      <c r="C317" s="79">
        <v>10</v>
      </c>
      <c r="D317" s="3" t="str">
        <f t="shared" si="16"/>
        <v/>
      </c>
      <c r="E317" s="3">
        <f t="shared" si="17"/>
        <v>10</v>
      </c>
      <c r="F317" s="3" t="str">
        <f t="shared" si="18"/>
        <v/>
      </c>
      <c r="G317" s="3" t="str">
        <f t="shared" si="19"/>
        <v/>
      </c>
    </row>
    <row r="318" spans="1:7" x14ac:dyDescent="0.25">
      <c r="A318" s="41" t="s">
        <v>96</v>
      </c>
      <c r="B318" s="84">
        <v>4770</v>
      </c>
      <c r="C318" s="79" t="s">
        <v>27</v>
      </c>
      <c r="D318" s="3" t="str">
        <f t="shared" si="16"/>
        <v/>
      </c>
      <c r="E318" s="3" t="str">
        <f t="shared" si="17"/>
        <v/>
      </c>
      <c r="F318" s="3" t="str">
        <f t="shared" si="18"/>
        <v/>
      </c>
      <c r="G318" s="3" t="str">
        <f t="shared" si="19"/>
        <v/>
      </c>
    </row>
    <row r="319" spans="1:7" x14ac:dyDescent="0.25">
      <c r="A319" s="41" t="s">
        <v>96</v>
      </c>
      <c r="B319" s="84">
        <v>1500</v>
      </c>
      <c r="C319" s="79" t="s">
        <v>27</v>
      </c>
      <c r="D319" s="3" t="str">
        <f t="shared" si="16"/>
        <v/>
      </c>
      <c r="E319" s="3" t="str">
        <f t="shared" si="17"/>
        <v/>
      </c>
      <c r="F319" s="3" t="str">
        <f t="shared" si="18"/>
        <v/>
      </c>
      <c r="G319" s="3" t="str">
        <f t="shared" si="19"/>
        <v/>
      </c>
    </row>
    <row r="320" spans="1:7" x14ac:dyDescent="0.25">
      <c r="A320" s="41" t="s">
        <v>96</v>
      </c>
      <c r="B320" s="84">
        <v>3325</v>
      </c>
      <c r="C320" s="79">
        <v>9</v>
      </c>
      <c r="D320" s="3" t="str">
        <f t="shared" si="16"/>
        <v/>
      </c>
      <c r="E320" s="3" t="str">
        <f t="shared" si="17"/>
        <v/>
      </c>
      <c r="F320" s="3">
        <f t="shared" si="18"/>
        <v>9</v>
      </c>
      <c r="G320" s="3" t="str">
        <f t="shared" si="19"/>
        <v/>
      </c>
    </row>
    <row r="321" spans="1:7" x14ac:dyDescent="0.25">
      <c r="A321" s="41" t="s">
        <v>96</v>
      </c>
      <c r="B321" s="84">
        <v>4900</v>
      </c>
      <c r="C321" s="79" t="s">
        <v>27</v>
      </c>
      <c r="D321" s="3" t="str">
        <f t="shared" si="16"/>
        <v/>
      </c>
      <c r="E321" s="3" t="str">
        <f t="shared" si="17"/>
        <v/>
      </c>
      <c r="F321" s="3" t="str">
        <f t="shared" si="18"/>
        <v/>
      </c>
      <c r="G321" s="3" t="str">
        <f t="shared" si="19"/>
        <v/>
      </c>
    </row>
    <row r="322" spans="1:7" x14ac:dyDescent="0.25">
      <c r="A322" s="41" t="s">
        <v>96</v>
      </c>
      <c r="B322" s="84">
        <v>2880</v>
      </c>
      <c r="C322" s="79" t="s">
        <v>27</v>
      </c>
      <c r="D322" s="3" t="str">
        <f t="shared" si="16"/>
        <v/>
      </c>
      <c r="E322" s="3" t="str">
        <f t="shared" si="17"/>
        <v/>
      </c>
      <c r="F322" s="3" t="str">
        <f t="shared" si="18"/>
        <v/>
      </c>
      <c r="G322" s="3" t="str">
        <f t="shared" si="19"/>
        <v/>
      </c>
    </row>
    <row r="323" spans="1:7" x14ac:dyDescent="0.25">
      <c r="A323" s="41" t="s">
        <v>96</v>
      </c>
      <c r="B323" s="84">
        <v>2500</v>
      </c>
      <c r="C323" s="79" t="s">
        <v>27</v>
      </c>
      <c r="D323" s="3" t="str">
        <f t="shared" ref="D323:D386" si="20">IF(AND(B323&gt;0,B323&lt;1000),C323,"")</f>
        <v/>
      </c>
      <c r="E323" s="3" t="str">
        <f t="shared" ref="E323:E386" si="21">IF(AND(B323&gt;1000,B323&lt;2500),C323,"")</f>
        <v/>
      </c>
      <c r="F323" s="3" t="str">
        <f t="shared" ref="F323:F386" si="22">IF(AND(B323&gt;2500,B323&lt;5000),C323,"")</f>
        <v/>
      </c>
      <c r="G323" s="3" t="str">
        <f t="shared" ref="G323:G386" si="23">IF(B323&gt;=5000,C323,"")</f>
        <v/>
      </c>
    </row>
    <row r="324" spans="1:7" x14ac:dyDescent="0.25">
      <c r="A324" s="41" t="s">
        <v>96</v>
      </c>
      <c r="B324" s="84">
        <v>2400</v>
      </c>
      <c r="C324" s="79" t="s">
        <v>27</v>
      </c>
      <c r="D324" s="3" t="str">
        <f t="shared" si="20"/>
        <v/>
      </c>
      <c r="E324" s="3" t="str">
        <f t="shared" si="21"/>
        <v/>
      </c>
      <c r="F324" s="3" t="str">
        <f t="shared" si="22"/>
        <v/>
      </c>
      <c r="G324" s="3" t="str">
        <f t="shared" si="23"/>
        <v/>
      </c>
    </row>
    <row r="325" spans="1:7" x14ac:dyDescent="0.25">
      <c r="A325" s="41" t="s">
        <v>96</v>
      </c>
      <c r="B325" s="84">
        <v>4500</v>
      </c>
      <c r="C325" s="79" t="s">
        <v>27</v>
      </c>
      <c r="D325" s="3" t="str">
        <f t="shared" si="20"/>
        <v/>
      </c>
      <c r="E325" s="3" t="str">
        <f t="shared" si="21"/>
        <v/>
      </c>
      <c r="F325" s="3" t="str">
        <f t="shared" si="22"/>
        <v/>
      </c>
      <c r="G325" s="3" t="str">
        <f t="shared" si="23"/>
        <v/>
      </c>
    </row>
    <row r="326" spans="1:7" x14ac:dyDescent="0.25">
      <c r="A326" s="41" t="s">
        <v>96</v>
      </c>
      <c r="B326" s="84">
        <v>4900</v>
      </c>
      <c r="C326" s="79" t="s">
        <v>27</v>
      </c>
      <c r="D326" s="3" t="str">
        <f t="shared" si="20"/>
        <v/>
      </c>
      <c r="E326" s="3" t="str">
        <f t="shared" si="21"/>
        <v/>
      </c>
      <c r="F326" s="3" t="str">
        <f t="shared" si="22"/>
        <v/>
      </c>
      <c r="G326" s="3" t="str">
        <f t="shared" si="23"/>
        <v/>
      </c>
    </row>
    <row r="327" spans="1:7" x14ac:dyDescent="0.25">
      <c r="A327" s="41" t="s">
        <v>96</v>
      </c>
      <c r="B327" s="84">
        <v>1800</v>
      </c>
      <c r="C327" s="79" t="s">
        <v>27</v>
      </c>
      <c r="D327" s="3" t="str">
        <f t="shared" si="20"/>
        <v/>
      </c>
      <c r="E327" s="3" t="str">
        <f t="shared" si="21"/>
        <v/>
      </c>
      <c r="F327" s="3" t="str">
        <f t="shared" si="22"/>
        <v/>
      </c>
      <c r="G327" s="3" t="str">
        <f t="shared" si="23"/>
        <v/>
      </c>
    </row>
    <row r="328" spans="1:7" x14ac:dyDescent="0.25">
      <c r="A328" s="41" t="s">
        <v>96</v>
      </c>
      <c r="B328" s="84">
        <v>1500</v>
      </c>
      <c r="C328" s="79" t="s">
        <v>27</v>
      </c>
      <c r="D328" s="3" t="str">
        <f t="shared" si="20"/>
        <v/>
      </c>
      <c r="E328" s="3" t="str">
        <f t="shared" si="21"/>
        <v/>
      </c>
      <c r="F328" s="3" t="str">
        <f t="shared" si="22"/>
        <v/>
      </c>
      <c r="G328" s="3" t="str">
        <f t="shared" si="23"/>
        <v/>
      </c>
    </row>
    <row r="329" spans="1:7" x14ac:dyDescent="0.25">
      <c r="A329" s="41" t="s">
        <v>96</v>
      </c>
      <c r="B329" s="84">
        <v>2200</v>
      </c>
      <c r="C329" s="79" t="s">
        <v>27</v>
      </c>
      <c r="D329" s="3" t="str">
        <f t="shared" si="20"/>
        <v/>
      </c>
      <c r="E329" s="3" t="str">
        <f t="shared" si="21"/>
        <v/>
      </c>
      <c r="F329" s="3" t="str">
        <f t="shared" si="22"/>
        <v/>
      </c>
      <c r="G329" s="3" t="str">
        <f t="shared" si="23"/>
        <v/>
      </c>
    </row>
    <row r="330" spans="1:7" x14ac:dyDescent="0.25">
      <c r="A330" s="41" t="s">
        <v>96</v>
      </c>
      <c r="B330" s="84">
        <v>3040</v>
      </c>
      <c r="C330" s="79" t="s">
        <v>27</v>
      </c>
      <c r="D330" s="3" t="str">
        <f t="shared" si="20"/>
        <v/>
      </c>
      <c r="E330" s="3" t="str">
        <f t="shared" si="21"/>
        <v/>
      </c>
      <c r="F330" s="3" t="str">
        <f t="shared" si="22"/>
        <v/>
      </c>
      <c r="G330" s="3" t="str">
        <f t="shared" si="23"/>
        <v/>
      </c>
    </row>
    <row r="331" spans="1:7" x14ac:dyDescent="0.25">
      <c r="A331" s="41" t="s">
        <v>96</v>
      </c>
      <c r="B331" s="84">
        <v>9100</v>
      </c>
      <c r="C331" s="79" t="s">
        <v>27</v>
      </c>
      <c r="D331" s="3" t="str">
        <f t="shared" si="20"/>
        <v/>
      </c>
      <c r="E331" s="3" t="str">
        <f t="shared" si="21"/>
        <v/>
      </c>
      <c r="F331" s="3" t="str">
        <f t="shared" si="22"/>
        <v/>
      </c>
      <c r="G331" s="3" t="str">
        <f t="shared" si="23"/>
        <v/>
      </c>
    </row>
    <row r="332" spans="1:7" x14ac:dyDescent="0.25">
      <c r="A332" s="41" t="s">
        <v>96</v>
      </c>
      <c r="B332" s="84">
        <v>1600</v>
      </c>
      <c r="C332" s="79" t="s">
        <v>27</v>
      </c>
      <c r="D332" s="3" t="str">
        <f t="shared" si="20"/>
        <v/>
      </c>
      <c r="E332" s="3" t="str">
        <f t="shared" si="21"/>
        <v/>
      </c>
      <c r="F332" s="3" t="str">
        <f t="shared" si="22"/>
        <v/>
      </c>
      <c r="G332" s="3" t="str">
        <f t="shared" si="23"/>
        <v/>
      </c>
    </row>
    <row r="333" spans="1:7" x14ac:dyDescent="0.25">
      <c r="A333" s="41" t="s">
        <v>96</v>
      </c>
      <c r="B333" s="84">
        <v>1350</v>
      </c>
      <c r="C333" s="79" t="s">
        <v>27</v>
      </c>
      <c r="D333" s="3" t="str">
        <f t="shared" si="20"/>
        <v/>
      </c>
      <c r="E333" s="3" t="str">
        <f t="shared" si="21"/>
        <v/>
      </c>
      <c r="F333" s="3" t="str">
        <f t="shared" si="22"/>
        <v/>
      </c>
      <c r="G333" s="3" t="str">
        <f t="shared" si="23"/>
        <v/>
      </c>
    </row>
    <row r="334" spans="1:7" x14ac:dyDescent="0.25">
      <c r="A334" s="41" t="s">
        <v>96</v>
      </c>
      <c r="B334" s="84">
        <v>1500</v>
      </c>
      <c r="C334" s="79" t="s">
        <v>27</v>
      </c>
      <c r="D334" s="3" t="str">
        <f t="shared" si="20"/>
        <v/>
      </c>
      <c r="E334" s="3" t="str">
        <f t="shared" si="21"/>
        <v/>
      </c>
      <c r="F334" s="3" t="str">
        <f t="shared" si="22"/>
        <v/>
      </c>
      <c r="G334" s="3" t="str">
        <f t="shared" si="23"/>
        <v/>
      </c>
    </row>
    <row r="335" spans="1:7" x14ac:dyDescent="0.25">
      <c r="A335" s="41" t="s">
        <v>96</v>
      </c>
      <c r="B335" s="84">
        <v>5000</v>
      </c>
      <c r="C335" s="79" t="s">
        <v>27</v>
      </c>
      <c r="D335" s="3" t="str">
        <f t="shared" si="20"/>
        <v/>
      </c>
      <c r="E335" s="3" t="str">
        <f t="shared" si="21"/>
        <v/>
      </c>
      <c r="F335" s="3" t="str">
        <f t="shared" si="22"/>
        <v/>
      </c>
      <c r="G335" s="3" t="str">
        <f t="shared" si="23"/>
        <v/>
      </c>
    </row>
    <row r="336" spans="1:7" x14ac:dyDescent="0.25">
      <c r="A336" s="41" t="s">
        <v>96</v>
      </c>
      <c r="B336" s="84">
        <v>760</v>
      </c>
      <c r="C336" s="79" t="s">
        <v>27</v>
      </c>
      <c r="D336" s="3" t="str">
        <f t="shared" si="20"/>
        <v/>
      </c>
      <c r="E336" s="3" t="str">
        <f t="shared" si="21"/>
        <v/>
      </c>
      <c r="F336" s="3" t="str">
        <f t="shared" si="22"/>
        <v/>
      </c>
      <c r="G336" s="3" t="str">
        <f t="shared" si="23"/>
        <v/>
      </c>
    </row>
    <row r="337" spans="1:7" x14ac:dyDescent="0.25">
      <c r="A337" s="41" t="s">
        <v>96</v>
      </c>
      <c r="B337" s="84">
        <v>5500</v>
      </c>
      <c r="C337" s="79" t="s">
        <v>27</v>
      </c>
      <c r="D337" s="3" t="str">
        <f t="shared" si="20"/>
        <v/>
      </c>
      <c r="E337" s="3" t="str">
        <f t="shared" si="21"/>
        <v/>
      </c>
      <c r="F337" s="3" t="str">
        <f t="shared" si="22"/>
        <v/>
      </c>
      <c r="G337" s="3" t="str">
        <f t="shared" si="23"/>
        <v/>
      </c>
    </row>
    <row r="338" spans="1:7" x14ac:dyDescent="0.25">
      <c r="A338" s="41" t="s">
        <v>96</v>
      </c>
      <c r="B338" s="84">
        <v>500</v>
      </c>
      <c r="C338" s="79" t="s">
        <v>27</v>
      </c>
      <c r="D338" s="3" t="str">
        <f t="shared" si="20"/>
        <v/>
      </c>
      <c r="E338" s="3" t="str">
        <f t="shared" si="21"/>
        <v/>
      </c>
      <c r="F338" s="3" t="str">
        <f t="shared" si="22"/>
        <v/>
      </c>
      <c r="G338" s="3" t="str">
        <f t="shared" si="23"/>
        <v/>
      </c>
    </row>
    <row r="339" spans="1:7" x14ac:dyDescent="0.25">
      <c r="A339" s="41" t="s">
        <v>96</v>
      </c>
      <c r="B339" s="84">
        <v>855</v>
      </c>
      <c r="C339" s="79">
        <v>10</v>
      </c>
      <c r="D339" s="3">
        <f t="shared" si="20"/>
        <v>10</v>
      </c>
      <c r="E339" s="3" t="str">
        <f t="shared" si="21"/>
        <v/>
      </c>
      <c r="F339" s="3" t="str">
        <f t="shared" si="22"/>
        <v/>
      </c>
      <c r="G339" s="3" t="str">
        <f t="shared" si="23"/>
        <v/>
      </c>
    </row>
    <row r="340" spans="1:7" x14ac:dyDescent="0.25">
      <c r="A340" s="41" t="s">
        <v>96</v>
      </c>
      <c r="B340" s="84">
        <v>2900</v>
      </c>
      <c r="C340" s="79">
        <v>10</v>
      </c>
      <c r="D340" s="3" t="str">
        <f t="shared" si="20"/>
        <v/>
      </c>
      <c r="E340" s="3" t="str">
        <f t="shared" si="21"/>
        <v/>
      </c>
      <c r="F340" s="3">
        <f t="shared" si="22"/>
        <v>10</v>
      </c>
      <c r="G340" s="3" t="str">
        <f t="shared" si="23"/>
        <v/>
      </c>
    </row>
    <row r="341" spans="1:7" x14ac:dyDescent="0.25">
      <c r="A341" s="41" t="s">
        <v>96</v>
      </c>
      <c r="B341" s="84">
        <v>1500</v>
      </c>
      <c r="C341" s="79" t="s">
        <v>27</v>
      </c>
      <c r="D341" s="3" t="str">
        <f t="shared" si="20"/>
        <v/>
      </c>
      <c r="E341" s="3" t="str">
        <f t="shared" si="21"/>
        <v/>
      </c>
      <c r="F341" s="3" t="str">
        <f t="shared" si="22"/>
        <v/>
      </c>
      <c r="G341" s="3" t="str">
        <f t="shared" si="23"/>
        <v/>
      </c>
    </row>
    <row r="342" spans="1:7" x14ac:dyDescent="0.25">
      <c r="A342" s="41" t="s">
        <v>96</v>
      </c>
      <c r="B342" s="84">
        <v>2090</v>
      </c>
      <c r="C342" s="79" t="s">
        <v>27</v>
      </c>
      <c r="D342" s="3" t="str">
        <f t="shared" si="20"/>
        <v/>
      </c>
      <c r="E342" s="3" t="str">
        <f t="shared" si="21"/>
        <v/>
      </c>
      <c r="F342" s="3" t="str">
        <f t="shared" si="22"/>
        <v/>
      </c>
      <c r="G342" s="3" t="str">
        <f t="shared" si="23"/>
        <v/>
      </c>
    </row>
    <row r="343" spans="1:7" x14ac:dyDescent="0.25">
      <c r="A343" s="41" t="s">
        <v>96</v>
      </c>
      <c r="B343" s="84">
        <v>2500</v>
      </c>
      <c r="C343" s="79" t="s">
        <v>27</v>
      </c>
      <c r="D343" s="3" t="str">
        <f t="shared" si="20"/>
        <v/>
      </c>
      <c r="E343" s="3" t="str">
        <f t="shared" si="21"/>
        <v/>
      </c>
      <c r="F343" s="3" t="str">
        <f t="shared" si="22"/>
        <v/>
      </c>
      <c r="G343" s="3" t="str">
        <f t="shared" si="23"/>
        <v/>
      </c>
    </row>
    <row r="344" spans="1:7" x14ac:dyDescent="0.25">
      <c r="A344" s="41" t="s">
        <v>96</v>
      </c>
      <c r="B344" s="84">
        <v>2300</v>
      </c>
      <c r="C344" s="79" t="s">
        <v>27</v>
      </c>
      <c r="D344" s="3" t="str">
        <f t="shared" si="20"/>
        <v/>
      </c>
      <c r="E344" s="3" t="str">
        <f t="shared" si="21"/>
        <v/>
      </c>
      <c r="F344" s="3" t="str">
        <f t="shared" si="22"/>
        <v/>
      </c>
      <c r="G344" s="3" t="str">
        <f t="shared" si="23"/>
        <v/>
      </c>
    </row>
    <row r="345" spans="1:7" x14ac:dyDescent="0.25">
      <c r="A345" s="41" t="s">
        <v>96</v>
      </c>
      <c r="B345" s="84">
        <v>11010</v>
      </c>
      <c r="C345" s="79" t="s">
        <v>27</v>
      </c>
      <c r="D345" s="3" t="str">
        <f t="shared" si="20"/>
        <v/>
      </c>
      <c r="E345" s="3" t="str">
        <f t="shared" si="21"/>
        <v/>
      </c>
      <c r="F345" s="3" t="str">
        <f t="shared" si="22"/>
        <v/>
      </c>
      <c r="G345" s="3" t="str">
        <f t="shared" si="23"/>
        <v/>
      </c>
    </row>
    <row r="346" spans="1:7" x14ac:dyDescent="0.25">
      <c r="A346" s="41" t="s">
        <v>96</v>
      </c>
      <c r="B346" s="84">
        <v>1200</v>
      </c>
      <c r="C346" s="79">
        <v>6</v>
      </c>
      <c r="D346" s="3" t="str">
        <f t="shared" si="20"/>
        <v/>
      </c>
      <c r="E346" s="3">
        <f t="shared" si="21"/>
        <v>6</v>
      </c>
      <c r="F346" s="3" t="str">
        <f t="shared" si="22"/>
        <v/>
      </c>
      <c r="G346" s="3" t="str">
        <f t="shared" si="23"/>
        <v/>
      </c>
    </row>
    <row r="347" spans="1:7" x14ac:dyDescent="0.25">
      <c r="A347" s="41" t="s">
        <v>96</v>
      </c>
      <c r="B347" s="84">
        <v>4500</v>
      </c>
      <c r="C347" s="79" t="s">
        <v>27</v>
      </c>
      <c r="D347" s="3" t="str">
        <f t="shared" si="20"/>
        <v/>
      </c>
      <c r="E347" s="3" t="str">
        <f t="shared" si="21"/>
        <v/>
      </c>
      <c r="F347" s="3" t="str">
        <f t="shared" si="22"/>
        <v/>
      </c>
      <c r="G347" s="3" t="str">
        <f t="shared" si="23"/>
        <v/>
      </c>
    </row>
    <row r="348" spans="1:7" x14ac:dyDescent="0.25">
      <c r="A348" s="41" t="s">
        <v>96</v>
      </c>
      <c r="B348" s="84">
        <v>3470</v>
      </c>
      <c r="C348" s="79" t="s">
        <v>27</v>
      </c>
      <c r="D348" s="3" t="str">
        <f t="shared" si="20"/>
        <v/>
      </c>
      <c r="E348" s="3" t="str">
        <f t="shared" si="21"/>
        <v/>
      </c>
      <c r="F348" s="3" t="str">
        <f t="shared" si="22"/>
        <v/>
      </c>
      <c r="G348" s="3" t="str">
        <f t="shared" si="23"/>
        <v/>
      </c>
    </row>
    <row r="349" spans="1:7" x14ac:dyDescent="0.25">
      <c r="A349" s="41" t="s">
        <v>96</v>
      </c>
      <c r="B349" s="84">
        <v>2700</v>
      </c>
      <c r="C349" s="79" t="s">
        <v>27</v>
      </c>
      <c r="D349" s="3" t="str">
        <f t="shared" si="20"/>
        <v/>
      </c>
      <c r="E349" s="3" t="str">
        <f t="shared" si="21"/>
        <v/>
      </c>
      <c r="F349" s="3" t="str">
        <f t="shared" si="22"/>
        <v/>
      </c>
      <c r="G349" s="3" t="str">
        <f t="shared" si="23"/>
        <v/>
      </c>
    </row>
    <row r="350" spans="1:7" x14ac:dyDescent="0.25">
      <c r="A350" s="41" t="s">
        <v>38</v>
      </c>
      <c r="B350" s="84">
        <v>270</v>
      </c>
      <c r="C350" s="79">
        <v>10</v>
      </c>
      <c r="D350" s="3">
        <f t="shared" si="20"/>
        <v>10</v>
      </c>
      <c r="E350" s="3" t="str">
        <f t="shared" si="21"/>
        <v/>
      </c>
      <c r="F350" s="3" t="str">
        <f t="shared" si="22"/>
        <v/>
      </c>
      <c r="G350" s="3" t="str">
        <f t="shared" si="23"/>
        <v/>
      </c>
    </row>
    <row r="351" spans="1:7" x14ac:dyDescent="0.25">
      <c r="A351" s="41" t="s">
        <v>38</v>
      </c>
      <c r="B351" s="84">
        <v>2200</v>
      </c>
      <c r="C351" s="79">
        <v>9</v>
      </c>
      <c r="D351" s="3" t="str">
        <f t="shared" si="20"/>
        <v/>
      </c>
      <c r="E351" s="3">
        <f t="shared" si="21"/>
        <v>9</v>
      </c>
      <c r="F351" s="3" t="str">
        <f t="shared" si="22"/>
        <v/>
      </c>
      <c r="G351" s="3" t="str">
        <f t="shared" si="23"/>
        <v/>
      </c>
    </row>
    <row r="352" spans="1:7" x14ac:dyDescent="0.25">
      <c r="A352" s="41" t="s">
        <v>38</v>
      </c>
      <c r="B352" s="84">
        <v>580</v>
      </c>
      <c r="C352" s="79">
        <v>10</v>
      </c>
      <c r="D352" s="3">
        <f t="shared" si="20"/>
        <v>10</v>
      </c>
      <c r="E352" s="3" t="str">
        <f t="shared" si="21"/>
        <v/>
      </c>
      <c r="F352" s="3" t="str">
        <f t="shared" si="22"/>
        <v/>
      </c>
      <c r="G352" s="3" t="str">
        <f t="shared" si="23"/>
        <v/>
      </c>
    </row>
    <row r="353" spans="1:7" x14ac:dyDescent="0.25">
      <c r="A353" s="41" t="s">
        <v>38</v>
      </c>
      <c r="B353" s="84">
        <v>550</v>
      </c>
      <c r="C353" s="79">
        <v>9</v>
      </c>
      <c r="D353" s="3">
        <f t="shared" si="20"/>
        <v>9</v>
      </c>
      <c r="E353" s="3" t="str">
        <f t="shared" si="21"/>
        <v/>
      </c>
      <c r="F353" s="3" t="str">
        <f t="shared" si="22"/>
        <v/>
      </c>
      <c r="G353" s="3" t="str">
        <f t="shared" si="23"/>
        <v/>
      </c>
    </row>
    <row r="354" spans="1:7" x14ac:dyDescent="0.25">
      <c r="A354" s="41" t="s">
        <v>38</v>
      </c>
      <c r="B354" s="84">
        <v>900</v>
      </c>
      <c r="C354" s="79">
        <v>9</v>
      </c>
      <c r="D354" s="3">
        <f t="shared" si="20"/>
        <v>9</v>
      </c>
      <c r="E354" s="3" t="str">
        <f t="shared" si="21"/>
        <v/>
      </c>
      <c r="F354" s="3" t="str">
        <f t="shared" si="22"/>
        <v/>
      </c>
      <c r="G354" s="3" t="str">
        <f t="shared" si="23"/>
        <v/>
      </c>
    </row>
    <row r="355" spans="1:7" x14ac:dyDescent="0.25">
      <c r="A355" s="41" t="s">
        <v>95</v>
      </c>
      <c r="B355" s="84">
        <v>870</v>
      </c>
      <c r="C355" s="79">
        <v>6</v>
      </c>
      <c r="D355" s="3">
        <f t="shared" si="20"/>
        <v>6</v>
      </c>
      <c r="E355" s="3" t="str">
        <f t="shared" si="21"/>
        <v/>
      </c>
      <c r="F355" s="3" t="str">
        <f t="shared" si="22"/>
        <v/>
      </c>
      <c r="G355" s="3" t="str">
        <f t="shared" si="23"/>
        <v/>
      </c>
    </row>
    <row r="356" spans="1:7" x14ac:dyDescent="0.25">
      <c r="A356" s="41" t="s">
        <v>95</v>
      </c>
      <c r="B356" s="84">
        <v>800</v>
      </c>
      <c r="C356" s="79" t="s">
        <v>27</v>
      </c>
      <c r="D356" s="3" t="str">
        <f t="shared" si="20"/>
        <v/>
      </c>
      <c r="E356" s="3" t="str">
        <f t="shared" si="21"/>
        <v/>
      </c>
      <c r="F356" s="3" t="str">
        <f t="shared" si="22"/>
        <v/>
      </c>
      <c r="G356" s="3" t="str">
        <f t="shared" si="23"/>
        <v/>
      </c>
    </row>
    <row r="357" spans="1:7" x14ac:dyDescent="0.25">
      <c r="A357" s="41" t="s">
        <v>95</v>
      </c>
      <c r="B357" s="84">
        <v>800</v>
      </c>
      <c r="C357" s="79">
        <v>9</v>
      </c>
      <c r="D357" s="3">
        <f t="shared" si="20"/>
        <v>9</v>
      </c>
      <c r="E357" s="3" t="str">
        <f t="shared" si="21"/>
        <v/>
      </c>
      <c r="F357" s="3" t="str">
        <f t="shared" si="22"/>
        <v/>
      </c>
      <c r="G357" s="3" t="str">
        <f t="shared" si="23"/>
        <v/>
      </c>
    </row>
    <row r="358" spans="1:7" x14ac:dyDescent="0.25">
      <c r="A358" s="41" t="s">
        <v>95</v>
      </c>
      <c r="B358" s="84">
        <v>2500</v>
      </c>
      <c r="C358" s="79" t="s">
        <v>27</v>
      </c>
      <c r="D358" s="3" t="str">
        <f t="shared" si="20"/>
        <v/>
      </c>
      <c r="E358" s="3" t="str">
        <f t="shared" si="21"/>
        <v/>
      </c>
      <c r="F358" s="3" t="str">
        <f t="shared" si="22"/>
        <v/>
      </c>
      <c r="G358" s="3" t="str">
        <f t="shared" si="23"/>
        <v/>
      </c>
    </row>
    <row r="359" spans="1:7" x14ac:dyDescent="0.25">
      <c r="A359" s="41" t="s">
        <v>95</v>
      </c>
      <c r="B359" s="84">
        <v>2000</v>
      </c>
      <c r="C359" s="79" t="s">
        <v>27</v>
      </c>
      <c r="D359" s="3" t="str">
        <f t="shared" si="20"/>
        <v/>
      </c>
      <c r="E359" s="3" t="str">
        <f t="shared" si="21"/>
        <v/>
      </c>
      <c r="F359" s="3" t="str">
        <f t="shared" si="22"/>
        <v/>
      </c>
      <c r="G359" s="3" t="str">
        <f t="shared" si="23"/>
        <v/>
      </c>
    </row>
    <row r="360" spans="1:7" x14ac:dyDescent="0.25">
      <c r="A360" s="41" t="s">
        <v>95</v>
      </c>
      <c r="B360" s="84">
        <v>2500</v>
      </c>
      <c r="C360" s="79" t="s">
        <v>27</v>
      </c>
      <c r="D360" s="3" t="str">
        <f t="shared" si="20"/>
        <v/>
      </c>
      <c r="E360" s="3" t="str">
        <f t="shared" si="21"/>
        <v/>
      </c>
      <c r="F360" s="3" t="str">
        <f t="shared" si="22"/>
        <v/>
      </c>
      <c r="G360" s="3" t="str">
        <f t="shared" si="23"/>
        <v/>
      </c>
    </row>
    <row r="361" spans="1:7" x14ac:dyDescent="0.25">
      <c r="A361" s="41" t="s">
        <v>95</v>
      </c>
      <c r="B361" s="84">
        <v>1</v>
      </c>
      <c r="C361" s="79" t="s">
        <v>27</v>
      </c>
      <c r="D361" s="3" t="str">
        <f t="shared" si="20"/>
        <v/>
      </c>
      <c r="E361" s="3" t="str">
        <f t="shared" si="21"/>
        <v/>
      </c>
      <c r="F361" s="3" t="str">
        <f t="shared" si="22"/>
        <v/>
      </c>
      <c r="G361" s="3" t="str">
        <f t="shared" si="23"/>
        <v/>
      </c>
    </row>
    <row r="362" spans="1:7" x14ac:dyDescent="0.25">
      <c r="A362" s="41" t="s">
        <v>95</v>
      </c>
      <c r="B362" s="84">
        <v>21000</v>
      </c>
      <c r="C362" s="79" t="s">
        <v>27</v>
      </c>
      <c r="D362" s="3" t="str">
        <f t="shared" si="20"/>
        <v/>
      </c>
      <c r="E362" s="3" t="str">
        <f t="shared" si="21"/>
        <v/>
      </c>
      <c r="F362" s="3" t="str">
        <f t="shared" si="22"/>
        <v/>
      </c>
      <c r="G362" s="3" t="str">
        <f t="shared" si="23"/>
        <v/>
      </c>
    </row>
    <row r="363" spans="1:7" x14ac:dyDescent="0.25">
      <c r="A363" s="41" t="s">
        <v>95</v>
      </c>
      <c r="B363" s="84">
        <v>1000</v>
      </c>
      <c r="C363" s="79">
        <v>10</v>
      </c>
      <c r="D363" s="3" t="str">
        <f t="shared" si="20"/>
        <v/>
      </c>
      <c r="E363" s="3" t="str">
        <f t="shared" si="21"/>
        <v/>
      </c>
      <c r="F363" s="3" t="str">
        <f t="shared" si="22"/>
        <v/>
      </c>
      <c r="G363" s="3" t="str">
        <f t="shared" si="23"/>
        <v/>
      </c>
    </row>
    <row r="364" spans="1:7" x14ac:dyDescent="0.25">
      <c r="A364" s="41" t="s">
        <v>95</v>
      </c>
      <c r="B364" s="84">
        <v>2463</v>
      </c>
      <c r="C364" s="79">
        <v>9</v>
      </c>
      <c r="D364" s="3" t="str">
        <f t="shared" si="20"/>
        <v/>
      </c>
      <c r="E364" s="3">
        <f t="shared" si="21"/>
        <v>9</v>
      </c>
      <c r="F364" s="3" t="str">
        <f t="shared" si="22"/>
        <v/>
      </c>
      <c r="G364" s="3" t="str">
        <f t="shared" si="23"/>
        <v/>
      </c>
    </row>
    <row r="365" spans="1:7" x14ac:dyDescent="0.25">
      <c r="A365" s="41" t="s">
        <v>95</v>
      </c>
      <c r="B365" s="84">
        <v>2997</v>
      </c>
      <c r="C365" s="79" t="s">
        <v>27</v>
      </c>
      <c r="D365" s="3" t="str">
        <f t="shared" si="20"/>
        <v/>
      </c>
      <c r="E365" s="3" t="str">
        <f t="shared" si="21"/>
        <v/>
      </c>
      <c r="F365" s="3" t="str">
        <f t="shared" si="22"/>
        <v/>
      </c>
      <c r="G365" s="3" t="str">
        <f t="shared" si="23"/>
        <v/>
      </c>
    </row>
    <row r="366" spans="1:7" x14ac:dyDescent="0.25">
      <c r="A366" s="41" t="s">
        <v>132</v>
      </c>
      <c r="B366" s="84">
        <v>7000</v>
      </c>
      <c r="C366" s="79">
        <v>7</v>
      </c>
      <c r="D366" s="3" t="str">
        <f t="shared" si="20"/>
        <v/>
      </c>
      <c r="E366" s="3" t="str">
        <f t="shared" si="21"/>
        <v/>
      </c>
      <c r="F366" s="3" t="str">
        <f t="shared" si="22"/>
        <v/>
      </c>
      <c r="G366" s="3">
        <f t="shared" si="23"/>
        <v>7</v>
      </c>
    </row>
    <row r="367" spans="1:7" x14ac:dyDescent="0.25">
      <c r="A367" s="41" t="s">
        <v>132</v>
      </c>
      <c r="B367" s="84">
        <v>13000</v>
      </c>
      <c r="C367" s="79">
        <v>9</v>
      </c>
      <c r="D367" s="3" t="str">
        <f t="shared" si="20"/>
        <v/>
      </c>
      <c r="E367" s="3" t="str">
        <f t="shared" si="21"/>
        <v/>
      </c>
      <c r="F367" s="3" t="str">
        <f t="shared" si="22"/>
        <v/>
      </c>
      <c r="G367" s="3">
        <f t="shared" si="23"/>
        <v>9</v>
      </c>
    </row>
    <row r="368" spans="1:7" x14ac:dyDescent="0.25">
      <c r="A368" s="41" t="s">
        <v>132</v>
      </c>
      <c r="B368" s="84">
        <v>10500</v>
      </c>
      <c r="C368" s="79">
        <v>10</v>
      </c>
      <c r="D368" s="3" t="str">
        <f t="shared" si="20"/>
        <v/>
      </c>
      <c r="E368" s="3" t="str">
        <f t="shared" si="21"/>
        <v/>
      </c>
      <c r="F368" s="3" t="str">
        <f t="shared" si="22"/>
        <v/>
      </c>
      <c r="G368" s="3">
        <f t="shared" si="23"/>
        <v>10</v>
      </c>
    </row>
    <row r="369" spans="1:7" x14ac:dyDescent="0.25">
      <c r="A369" s="41" t="s">
        <v>132</v>
      </c>
      <c r="B369" s="84">
        <v>3000</v>
      </c>
      <c r="C369" s="79">
        <v>10</v>
      </c>
      <c r="D369" s="3" t="str">
        <f t="shared" si="20"/>
        <v/>
      </c>
      <c r="E369" s="3" t="str">
        <f t="shared" si="21"/>
        <v/>
      </c>
      <c r="F369" s="3">
        <f t="shared" si="22"/>
        <v>10</v>
      </c>
      <c r="G369" s="3" t="str">
        <f t="shared" si="23"/>
        <v/>
      </c>
    </row>
    <row r="370" spans="1:7" x14ac:dyDescent="0.25">
      <c r="A370" s="41" t="s">
        <v>132</v>
      </c>
      <c r="B370" s="84">
        <v>3600</v>
      </c>
      <c r="C370" s="79" t="s">
        <v>27</v>
      </c>
      <c r="D370" s="3" t="str">
        <f t="shared" si="20"/>
        <v/>
      </c>
      <c r="E370" s="3" t="str">
        <f t="shared" si="21"/>
        <v/>
      </c>
      <c r="F370" s="3" t="str">
        <f t="shared" si="22"/>
        <v/>
      </c>
      <c r="G370" s="3" t="str">
        <f t="shared" si="23"/>
        <v/>
      </c>
    </row>
    <row r="371" spans="1:7" x14ac:dyDescent="0.25">
      <c r="A371" s="41" t="s">
        <v>132</v>
      </c>
      <c r="B371" s="84">
        <v>17264</v>
      </c>
      <c r="C371" s="79">
        <v>9</v>
      </c>
      <c r="D371" s="3" t="str">
        <f t="shared" si="20"/>
        <v/>
      </c>
      <c r="E371" s="3" t="str">
        <f t="shared" si="21"/>
        <v/>
      </c>
      <c r="F371" s="3" t="str">
        <f t="shared" si="22"/>
        <v/>
      </c>
      <c r="G371" s="3">
        <f t="shared" si="23"/>
        <v>9</v>
      </c>
    </row>
    <row r="372" spans="1:7" x14ac:dyDescent="0.25">
      <c r="A372" s="41" t="s">
        <v>132</v>
      </c>
      <c r="B372" s="84">
        <v>7200</v>
      </c>
      <c r="C372" s="79">
        <v>9</v>
      </c>
      <c r="D372" s="3" t="str">
        <f t="shared" si="20"/>
        <v/>
      </c>
      <c r="E372" s="3" t="str">
        <f t="shared" si="21"/>
        <v/>
      </c>
      <c r="F372" s="3" t="str">
        <f t="shared" si="22"/>
        <v/>
      </c>
      <c r="G372" s="3">
        <f t="shared" si="23"/>
        <v>9</v>
      </c>
    </row>
    <row r="373" spans="1:7" x14ac:dyDescent="0.25">
      <c r="A373" s="41" t="s">
        <v>132</v>
      </c>
      <c r="B373" s="84">
        <v>400</v>
      </c>
      <c r="C373" s="79" t="s">
        <v>27</v>
      </c>
      <c r="D373" s="3" t="str">
        <f t="shared" si="20"/>
        <v/>
      </c>
      <c r="E373" s="3" t="str">
        <f t="shared" si="21"/>
        <v/>
      </c>
      <c r="F373" s="3" t="str">
        <f t="shared" si="22"/>
        <v/>
      </c>
      <c r="G373" s="3" t="str">
        <f t="shared" si="23"/>
        <v/>
      </c>
    </row>
    <row r="374" spans="1:7" x14ac:dyDescent="0.25">
      <c r="A374" s="41" t="s">
        <v>132</v>
      </c>
      <c r="B374" s="84">
        <v>8000</v>
      </c>
      <c r="C374" s="79">
        <v>9</v>
      </c>
      <c r="D374" s="3" t="str">
        <f t="shared" si="20"/>
        <v/>
      </c>
      <c r="E374" s="3" t="str">
        <f t="shared" si="21"/>
        <v/>
      </c>
      <c r="F374" s="3" t="str">
        <f t="shared" si="22"/>
        <v/>
      </c>
      <c r="G374" s="3">
        <f t="shared" si="23"/>
        <v>9</v>
      </c>
    </row>
    <row r="375" spans="1:7" x14ac:dyDescent="0.25">
      <c r="A375" s="41" t="s">
        <v>132</v>
      </c>
      <c r="B375" s="84">
        <v>6100</v>
      </c>
      <c r="C375" s="79">
        <v>9</v>
      </c>
      <c r="D375" s="3" t="str">
        <f t="shared" si="20"/>
        <v/>
      </c>
      <c r="E375" s="3" t="str">
        <f t="shared" si="21"/>
        <v/>
      </c>
      <c r="F375" s="3" t="str">
        <f t="shared" si="22"/>
        <v/>
      </c>
      <c r="G375" s="3">
        <f t="shared" si="23"/>
        <v>9</v>
      </c>
    </row>
    <row r="376" spans="1:7" x14ac:dyDescent="0.25">
      <c r="A376" s="41" t="s">
        <v>132</v>
      </c>
      <c r="B376" s="84">
        <v>3000</v>
      </c>
      <c r="C376" s="79" t="s">
        <v>27</v>
      </c>
      <c r="D376" s="3" t="str">
        <f t="shared" si="20"/>
        <v/>
      </c>
      <c r="E376" s="3" t="str">
        <f t="shared" si="21"/>
        <v/>
      </c>
      <c r="F376" s="3" t="str">
        <f t="shared" si="22"/>
        <v/>
      </c>
      <c r="G376" s="3" t="str">
        <f t="shared" si="23"/>
        <v/>
      </c>
    </row>
    <row r="377" spans="1:7" x14ac:dyDescent="0.25">
      <c r="A377" s="41" t="s">
        <v>132</v>
      </c>
      <c r="B377" s="84">
        <v>5600</v>
      </c>
      <c r="C377" s="79">
        <v>10</v>
      </c>
      <c r="D377" s="3" t="str">
        <f t="shared" si="20"/>
        <v/>
      </c>
      <c r="E377" s="3" t="str">
        <f t="shared" si="21"/>
        <v/>
      </c>
      <c r="F377" s="3" t="str">
        <f t="shared" si="22"/>
        <v/>
      </c>
      <c r="G377" s="3">
        <f t="shared" si="23"/>
        <v>10</v>
      </c>
    </row>
    <row r="378" spans="1:7" x14ac:dyDescent="0.25">
      <c r="A378" s="41" t="s">
        <v>132</v>
      </c>
      <c r="B378" s="84">
        <v>6600</v>
      </c>
      <c r="C378" s="79">
        <v>10</v>
      </c>
      <c r="D378" s="3" t="str">
        <f t="shared" si="20"/>
        <v/>
      </c>
      <c r="E378" s="3" t="str">
        <f t="shared" si="21"/>
        <v/>
      </c>
      <c r="F378" s="3" t="str">
        <f t="shared" si="22"/>
        <v/>
      </c>
      <c r="G378" s="3">
        <f t="shared" si="23"/>
        <v>10</v>
      </c>
    </row>
    <row r="379" spans="1:7" x14ac:dyDescent="0.25">
      <c r="A379" s="41" t="s">
        <v>132</v>
      </c>
      <c r="B379" s="84">
        <v>1700</v>
      </c>
      <c r="C379" s="79" t="s">
        <v>27</v>
      </c>
      <c r="D379" s="3" t="str">
        <f t="shared" si="20"/>
        <v/>
      </c>
      <c r="E379" s="3" t="str">
        <f t="shared" si="21"/>
        <v/>
      </c>
      <c r="F379" s="3" t="str">
        <f t="shared" si="22"/>
        <v/>
      </c>
      <c r="G379" s="3" t="str">
        <f t="shared" si="23"/>
        <v/>
      </c>
    </row>
    <row r="380" spans="1:7" x14ac:dyDescent="0.25">
      <c r="A380" s="41" t="s">
        <v>132</v>
      </c>
      <c r="B380" s="84">
        <v>1200</v>
      </c>
      <c r="C380" s="79">
        <v>8</v>
      </c>
      <c r="D380" s="3" t="str">
        <f t="shared" si="20"/>
        <v/>
      </c>
      <c r="E380" s="3">
        <f t="shared" si="21"/>
        <v>8</v>
      </c>
      <c r="F380" s="3" t="str">
        <f t="shared" si="22"/>
        <v/>
      </c>
      <c r="G380" s="3" t="str">
        <f t="shared" si="23"/>
        <v/>
      </c>
    </row>
    <row r="381" spans="1:7" x14ac:dyDescent="0.25">
      <c r="A381" s="41" t="s">
        <v>132</v>
      </c>
      <c r="B381" s="84">
        <v>4600</v>
      </c>
      <c r="C381" s="79">
        <v>8</v>
      </c>
      <c r="D381" s="3" t="str">
        <f t="shared" si="20"/>
        <v/>
      </c>
      <c r="E381" s="3" t="str">
        <f t="shared" si="21"/>
        <v/>
      </c>
      <c r="F381" s="3">
        <f t="shared" si="22"/>
        <v>8</v>
      </c>
      <c r="G381" s="3" t="str">
        <f t="shared" si="23"/>
        <v/>
      </c>
    </row>
    <row r="382" spans="1:7" x14ac:dyDescent="0.25">
      <c r="A382" s="41" t="s">
        <v>132</v>
      </c>
      <c r="B382" s="84">
        <v>400</v>
      </c>
      <c r="C382" s="79">
        <v>7</v>
      </c>
      <c r="D382" s="3">
        <f t="shared" si="20"/>
        <v>7</v>
      </c>
      <c r="E382" s="3" t="str">
        <f t="shared" si="21"/>
        <v/>
      </c>
      <c r="F382" s="3" t="str">
        <f t="shared" si="22"/>
        <v/>
      </c>
      <c r="G382" s="3" t="str">
        <f t="shared" si="23"/>
        <v/>
      </c>
    </row>
    <row r="383" spans="1:7" x14ac:dyDescent="0.25">
      <c r="A383" s="41" t="s">
        <v>74</v>
      </c>
      <c r="B383" s="84">
        <v>35</v>
      </c>
      <c r="C383" s="79" t="s">
        <v>27</v>
      </c>
      <c r="D383" s="3" t="str">
        <f t="shared" si="20"/>
        <v/>
      </c>
      <c r="E383" s="3" t="str">
        <f t="shared" si="21"/>
        <v/>
      </c>
      <c r="F383" s="3" t="str">
        <f t="shared" si="22"/>
        <v/>
      </c>
      <c r="G383" s="3" t="str">
        <f t="shared" si="23"/>
        <v/>
      </c>
    </row>
    <row r="384" spans="1:7" x14ac:dyDescent="0.25">
      <c r="A384" s="41" t="s">
        <v>74</v>
      </c>
      <c r="B384" s="84">
        <v>600</v>
      </c>
      <c r="C384" s="79" t="s">
        <v>27</v>
      </c>
      <c r="D384" s="3" t="str">
        <f t="shared" si="20"/>
        <v/>
      </c>
      <c r="E384" s="3" t="str">
        <f t="shared" si="21"/>
        <v/>
      </c>
      <c r="F384" s="3" t="str">
        <f t="shared" si="22"/>
        <v/>
      </c>
      <c r="G384" s="3" t="str">
        <f t="shared" si="23"/>
        <v/>
      </c>
    </row>
    <row r="385" spans="1:7" x14ac:dyDescent="0.25">
      <c r="A385" s="41" t="s">
        <v>74</v>
      </c>
      <c r="B385" s="84">
        <v>300</v>
      </c>
      <c r="C385" s="79" t="s">
        <v>27</v>
      </c>
      <c r="D385" s="3" t="str">
        <f t="shared" si="20"/>
        <v/>
      </c>
      <c r="E385" s="3" t="str">
        <f t="shared" si="21"/>
        <v/>
      </c>
      <c r="F385" s="3" t="str">
        <f t="shared" si="22"/>
        <v/>
      </c>
      <c r="G385" s="3" t="str">
        <f t="shared" si="23"/>
        <v/>
      </c>
    </row>
    <row r="386" spans="1:7" x14ac:dyDescent="0.25">
      <c r="A386" s="41" t="s">
        <v>74</v>
      </c>
      <c r="B386" s="84">
        <v>1260</v>
      </c>
      <c r="C386" s="79" t="s">
        <v>27</v>
      </c>
      <c r="D386" s="3" t="str">
        <f t="shared" si="20"/>
        <v/>
      </c>
      <c r="E386" s="3" t="str">
        <f t="shared" si="21"/>
        <v/>
      </c>
      <c r="F386" s="3" t="str">
        <f t="shared" si="22"/>
        <v/>
      </c>
      <c r="G386" s="3" t="str">
        <f t="shared" si="23"/>
        <v/>
      </c>
    </row>
    <row r="387" spans="1:7" x14ac:dyDescent="0.25">
      <c r="A387" s="41" t="s">
        <v>74</v>
      </c>
      <c r="B387" s="84">
        <v>35</v>
      </c>
      <c r="C387" s="79">
        <v>9</v>
      </c>
      <c r="D387" s="3">
        <f t="shared" ref="D387:D450" si="24">IF(AND(B387&gt;0,B387&lt;1000),C387,"")</f>
        <v>9</v>
      </c>
      <c r="E387" s="3" t="str">
        <f t="shared" ref="E387:E450" si="25">IF(AND(B387&gt;1000,B387&lt;2500),C387,"")</f>
        <v/>
      </c>
      <c r="F387" s="3" t="str">
        <f t="shared" ref="F387:F450" si="26">IF(AND(B387&gt;2500,B387&lt;5000),C387,"")</f>
        <v/>
      </c>
      <c r="G387" s="3" t="str">
        <f t="shared" ref="G387:G450" si="27">IF(B387&gt;=5000,C387,"")</f>
        <v/>
      </c>
    </row>
    <row r="388" spans="1:7" x14ac:dyDescent="0.25">
      <c r="A388" s="41" t="s">
        <v>57</v>
      </c>
      <c r="B388" s="84">
        <v>2300</v>
      </c>
      <c r="C388" s="79">
        <v>8</v>
      </c>
      <c r="D388" s="3" t="str">
        <f t="shared" si="24"/>
        <v/>
      </c>
      <c r="E388" s="3">
        <f t="shared" si="25"/>
        <v>8</v>
      </c>
      <c r="F388" s="3" t="str">
        <f t="shared" si="26"/>
        <v/>
      </c>
      <c r="G388" s="3" t="str">
        <f t="shared" si="27"/>
        <v/>
      </c>
    </row>
    <row r="389" spans="1:7" x14ac:dyDescent="0.25">
      <c r="A389" s="41" t="s">
        <v>57</v>
      </c>
      <c r="B389" s="84">
        <v>500</v>
      </c>
      <c r="C389" s="79">
        <v>7</v>
      </c>
      <c r="D389" s="3">
        <f t="shared" si="24"/>
        <v>7</v>
      </c>
      <c r="E389" s="3" t="str">
        <f t="shared" si="25"/>
        <v/>
      </c>
      <c r="F389" s="3" t="str">
        <f t="shared" si="26"/>
        <v/>
      </c>
      <c r="G389" s="3" t="str">
        <f t="shared" si="27"/>
        <v/>
      </c>
    </row>
    <row r="390" spans="1:7" x14ac:dyDescent="0.25">
      <c r="A390" s="41" t="s">
        <v>57</v>
      </c>
      <c r="B390" s="84">
        <v>240</v>
      </c>
      <c r="C390" s="79" t="s">
        <v>27</v>
      </c>
      <c r="D390" s="3" t="str">
        <f t="shared" si="24"/>
        <v/>
      </c>
      <c r="E390" s="3" t="str">
        <f t="shared" si="25"/>
        <v/>
      </c>
      <c r="F390" s="3" t="str">
        <f t="shared" si="26"/>
        <v/>
      </c>
      <c r="G390" s="3" t="str">
        <f t="shared" si="27"/>
        <v/>
      </c>
    </row>
    <row r="391" spans="1:7" x14ac:dyDescent="0.25">
      <c r="A391" s="41" t="s">
        <v>57</v>
      </c>
      <c r="B391" s="84">
        <v>1000</v>
      </c>
      <c r="C391" s="79">
        <v>10</v>
      </c>
      <c r="D391" s="3" t="str">
        <f t="shared" si="24"/>
        <v/>
      </c>
      <c r="E391" s="3" t="str">
        <f t="shared" si="25"/>
        <v/>
      </c>
      <c r="F391" s="3" t="str">
        <f t="shared" si="26"/>
        <v/>
      </c>
      <c r="G391" s="3" t="str">
        <f t="shared" si="27"/>
        <v/>
      </c>
    </row>
    <row r="392" spans="1:7" x14ac:dyDescent="0.25">
      <c r="A392" s="41" t="s">
        <v>57</v>
      </c>
      <c r="B392" s="84">
        <v>9000</v>
      </c>
      <c r="C392" s="79" t="s">
        <v>27</v>
      </c>
      <c r="D392" s="3" t="str">
        <f t="shared" si="24"/>
        <v/>
      </c>
      <c r="E392" s="3" t="str">
        <f t="shared" si="25"/>
        <v/>
      </c>
      <c r="F392" s="3" t="str">
        <f t="shared" si="26"/>
        <v/>
      </c>
      <c r="G392" s="3" t="str">
        <f t="shared" si="27"/>
        <v/>
      </c>
    </row>
    <row r="393" spans="1:7" x14ac:dyDescent="0.25">
      <c r="A393" s="41" t="s">
        <v>57</v>
      </c>
      <c r="B393" s="84">
        <v>580</v>
      </c>
      <c r="C393" s="79">
        <v>9</v>
      </c>
      <c r="D393" s="3">
        <f t="shared" si="24"/>
        <v>9</v>
      </c>
      <c r="E393" s="3" t="str">
        <f t="shared" si="25"/>
        <v/>
      </c>
      <c r="F393" s="3" t="str">
        <f t="shared" si="26"/>
        <v/>
      </c>
      <c r="G393" s="3" t="str">
        <f t="shared" si="27"/>
        <v/>
      </c>
    </row>
    <row r="394" spans="1:7" x14ac:dyDescent="0.25">
      <c r="A394" s="41" t="s">
        <v>57</v>
      </c>
      <c r="B394" s="84">
        <v>6700</v>
      </c>
      <c r="C394" s="79" t="s">
        <v>27</v>
      </c>
      <c r="D394" s="3" t="str">
        <f t="shared" si="24"/>
        <v/>
      </c>
      <c r="E394" s="3" t="str">
        <f t="shared" si="25"/>
        <v/>
      </c>
      <c r="F394" s="3" t="str">
        <f t="shared" si="26"/>
        <v/>
      </c>
      <c r="G394" s="3" t="str">
        <f t="shared" si="27"/>
        <v/>
      </c>
    </row>
    <row r="395" spans="1:7" x14ac:dyDescent="0.25">
      <c r="A395" s="41" t="s">
        <v>57</v>
      </c>
      <c r="B395" s="84">
        <v>600</v>
      </c>
      <c r="C395" s="79" t="s">
        <v>27</v>
      </c>
      <c r="D395" s="3" t="str">
        <f t="shared" si="24"/>
        <v/>
      </c>
      <c r="E395" s="3" t="str">
        <f t="shared" si="25"/>
        <v/>
      </c>
      <c r="F395" s="3" t="str">
        <f t="shared" si="26"/>
        <v/>
      </c>
      <c r="G395" s="3" t="str">
        <f t="shared" si="27"/>
        <v/>
      </c>
    </row>
    <row r="396" spans="1:7" x14ac:dyDescent="0.25">
      <c r="A396" s="41" t="s">
        <v>57</v>
      </c>
      <c r="B396" s="84">
        <v>351</v>
      </c>
      <c r="C396" s="79" t="s">
        <v>27</v>
      </c>
      <c r="D396" s="3" t="str">
        <f t="shared" si="24"/>
        <v/>
      </c>
      <c r="E396" s="3" t="str">
        <f t="shared" si="25"/>
        <v/>
      </c>
      <c r="F396" s="3" t="str">
        <f t="shared" si="26"/>
        <v/>
      </c>
      <c r="G396" s="3" t="str">
        <f t="shared" si="27"/>
        <v/>
      </c>
    </row>
    <row r="397" spans="1:7" x14ac:dyDescent="0.25">
      <c r="A397" s="41" t="s">
        <v>57</v>
      </c>
      <c r="B397" s="84">
        <v>9872.16</v>
      </c>
      <c r="C397" s="79" t="s">
        <v>27</v>
      </c>
      <c r="D397" s="3" t="str">
        <f t="shared" si="24"/>
        <v/>
      </c>
      <c r="E397" s="3" t="str">
        <f t="shared" si="25"/>
        <v/>
      </c>
      <c r="F397" s="3" t="str">
        <f t="shared" si="26"/>
        <v/>
      </c>
      <c r="G397" s="3" t="str">
        <f t="shared" si="27"/>
        <v/>
      </c>
    </row>
    <row r="398" spans="1:7" x14ac:dyDescent="0.25">
      <c r="A398" s="41" t="s">
        <v>57</v>
      </c>
      <c r="B398" s="84">
        <v>5000</v>
      </c>
      <c r="C398" s="79" t="s">
        <v>27</v>
      </c>
      <c r="D398" s="3" t="str">
        <f t="shared" si="24"/>
        <v/>
      </c>
      <c r="E398" s="3" t="str">
        <f t="shared" si="25"/>
        <v/>
      </c>
      <c r="F398" s="3" t="str">
        <f t="shared" si="26"/>
        <v/>
      </c>
      <c r="G398" s="3" t="str">
        <f t="shared" si="27"/>
        <v/>
      </c>
    </row>
    <row r="399" spans="1:7" x14ac:dyDescent="0.25">
      <c r="A399" s="41" t="s">
        <v>94</v>
      </c>
      <c r="B399" s="84">
        <v>18700</v>
      </c>
      <c r="C399" s="79">
        <v>10</v>
      </c>
      <c r="D399" s="3" t="str">
        <f t="shared" si="24"/>
        <v/>
      </c>
      <c r="E399" s="3" t="str">
        <f t="shared" si="25"/>
        <v/>
      </c>
      <c r="F399" s="3" t="str">
        <f t="shared" si="26"/>
        <v/>
      </c>
      <c r="G399" s="3">
        <f t="shared" si="27"/>
        <v>10</v>
      </c>
    </row>
    <row r="400" spans="1:7" x14ac:dyDescent="0.25">
      <c r="A400" s="41" t="s">
        <v>94</v>
      </c>
      <c r="B400" s="84">
        <v>32600</v>
      </c>
      <c r="C400" s="79">
        <v>9</v>
      </c>
      <c r="D400" s="3" t="str">
        <f t="shared" si="24"/>
        <v/>
      </c>
      <c r="E400" s="3" t="str">
        <f t="shared" si="25"/>
        <v/>
      </c>
      <c r="F400" s="3" t="str">
        <f t="shared" si="26"/>
        <v/>
      </c>
      <c r="G400" s="3">
        <f t="shared" si="27"/>
        <v>9</v>
      </c>
    </row>
    <row r="401" spans="1:7" x14ac:dyDescent="0.25">
      <c r="A401" s="41" t="s">
        <v>94</v>
      </c>
      <c r="B401" s="84">
        <v>10920</v>
      </c>
      <c r="C401" s="79">
        <v>10</v>
      </c>
      <c r="D401" s="3" t="str">
        <f t="shared" si="24"/>
        <v/>
      </c>
      <c r="E401" s="3" t="str">
        <f t="shared" si="25"/>
        <v/>
      </c>
      <c r="F401" s="3" t="str">
        <f t="shared" si="26"/>
        <v/>
      </c>
      <c r="G401" s="3">
        <f t="shared" si="27"/>
        <v>10</v>
      </c>
    </row>
    <row r="402" spans="1:7" x14ac:dyDescent="0.25">
      <c r="A402" s="41" t="s">
        <v>94</v>
      </c>
      <c r="B402" s="84">
        <v>17500</v>
      </c>
      <c r="C402" s="79" t="s">
        <v>27</v>
      </c>
      <c r="D402" s="3" t="str">
        <f t="shared" si="24"/>
        <v/>
      </c>
      <c r="E402" s="3" t="str">
        <f t="shared" si="25"/>
        <v/>
      </c>
      <c r="F402" s="3" t="str">
        <f t="shared" si="26"/>
        <v/>
      </c>
      <c r="G402" s="3" t="str">
        <f t="shared" si="27"/>
        <v/>
      </c>
    </row>
    <row r="403" spans="1:7" x14ac:dyDescent="0.25">
      <c r="A403" s="41" t="s">
        <v>94</v>
      </c>
      <c r="B403" s="84">
        <v>8000</v>
      </c>
      <c r="C403" s="79">
        <v>7</v>
      </c>
      <c r="D403" s="3" t="str">
        <f t="shared" si="24"/>
        <v/>
      </c>
      <c r="E403" s="3" t="str">
        <f t="shared" si="25"/>
        <v/>
      </c>
      <c r="F403" s="3" t="str">
        <f t="shared" si="26"/>
        <v/>
      </c>
      <c r="G403" s="3">
        <f t="shared" si="27"/>
        <v>7</v>
      </c>
    </row>
    <row r="404" spans="1:7" x14ac:dyDescent="0.25">
      <c r="A404" s="41" t="s">
        <v>94</v>
      </c>
      <c r="B404" s="84">
        <v>28800</v>
      </c>
      <c r="C404" s="79" t="s">
        <v>27</v>
      </c>
      <c r="D404" s="3" t="str">
        <f t="shared" si="24"/>
        <v/>
      </c>
      <c r="E404" s="3" t="str">
        <f t="shared" si="25"/>
        <v/>
      </c>
      <c r="F404" s="3" t="str">
        <f t="shared" si="26"/>
        <v/>
      </c>
      <c r="G404" s="3" t="str">
        <f t="shared" si="27"/>
        <v/>
      </c>
    </row>
    <row r="405" spans="1:7" x14ac:dyDescent="0.25">
      <c r="A405" s="41" t="s">
        <v>94</v>
      </c>
      <c r="B405" s="84">
        <v>9900</v>
      </c>
      <c r="C405" s="79">
        <v>10</v>
      </c>
      <c r="D405" s="3" t="str">
        <f t="shared" si="24"/>
        <v/>
      </c>
      <c r="E405" s="3" t="str">
        <f t="shared" si="25"/>
        <v/>
      </c>
      <c r="F405" s="3" t="str">
        <f t="shared" si="26"/>
        <v/>
      </c>
      <c r="G405" s="3">
        <f t="shared" si="27"/>
        <v>10</v>
      </c>
    </row>
    <row r="406" spans="1:7" x14ac:dyDescent="0.25">
      <c r="A406" s="41" t="s">
        <v>94</v>
      </c>
      <c r="B406" s="84">
        <v>15900</v>
      </c>
      <c r="C406" s="79">
        <v>10</v>
      </c>
      <c r="D406" s="3" t="str">
        <f t="shared" si="24"/>
        <v/>
      </c>
      <c r="E406" s="3" t="str">
        <f t="shared" si="25"/>
        <v/>
      </c>
      <c r="F406" s="3" t="str">
        <f t="shared" si="26"/>
        <v/>
      </c>
      <c r="G406" s="3">
        <f t="shared" si="27"/>
        <v>10</v>
      </c>
    </row>
    <row r="407" spans="1:7" x14ac:dyDescent="0.25">
      <c r="A407" s="41" t="s">
        <v>94</v>
      </c>
      <c r="B407" s="84">
        <v>35900</v>
      </c>
      <c r="C407" s="79">
        <v>9</v>
      </c>
      <c r="D407" s="3" t="str">
        <f t="shared" si="24"/>
        <v/>
      </c>
      <c r="E407" s="3" t="str">
        <f t="shared" si="25"/>
        <v/>
      </c>
      <c r="F407" s="3" t="str">
        <f t="shared" si="26"/>
        <v/>
      </c>
      <c r="G407" s="3">
        <f t="shared" si="27"/>
        <v>9</v>
      </c>
    </row>
    <row r="408" spans="1:7" x14ac:dyDescent="0.25">
      <c r="A408" s="41" t="s">
        <v>94</v>
      </c>
      <c r="B408" s="84">
        <v>15100</v>
      </c>
      <c r="C408" s="79" t="s">
        <v>27</v>
      </c>
      <c r="D408" s="3" t="str">
        <f t="shared" si="24"/>
        <v/>
      </c>
      <c r="E408" s="3" t="str">
        <f t="shared" si="25"/>
        <v/>
      </c>
      <c r="F408" s="3" t="str">
        <f t="shared" si="26"/>
        <v/>
      </c>
      <c r="G408" s="3" t="str">
        <f t="shared" si="27"/>
        <v/>
      </c>
    </row>
    <row r="409" spans="1:7" x14ac:dyDescent="0.25">
      <c r="A409" s="41" t="s">
        <v>94</v>
      </c>
      <c r="B409" s="84">
        <v>7500</v>
      </c>
      <c r="C409" s="79">
        <v>10</v>
      </c>
      <c r="D409" s="3" t="str">
        <f t="shared" si="24"/>
        <v/>
      </c>
      <c r="E409" s="3" t="str">
        <f t="shared" si="25"/>
        <v/>
      </c>
      <c r="F409" s="3" t="str">
        <f t="shared" si="26"/>
        <v/>
      </c>
      <c r="G409" s="3">
        <f t="shared" si="27"/>
        <v>10</v>
      </c>
    </row>
    <row r="410" spans="1:7" x14ac:dyDescent="0.25">
      <c r="A410" s="41" t="s">
        <v>94</v>
      </c>
      <c r="B410" s="84">
        <v>29200</v>
      </c>
      <c r="C410" s="79" t="s">
        <v>27</v>
      </c>
      <c r="D410" s="3" t="str">
        <f t="shared" si="24"/>
        <v/>
      </c>
      <c r="E410" s="3" t="str">
        <f t="shared" si="25"/>
        <v/>
      </c>
      <c r="F410" s="3" t="str">
        <f t="shared" si="26"/>
        <v/>
      </c>
      <c r="G410" s="3" t="str">
        <f t="shared" si="27"/>
        <v/>
      </c>
    </row>
    <row r="411" spans="1:7" x14ac:dyDescent="0.25">
      <c r="A411" s="41" t="s">
        <v>94</v>
      </c>
      <c r="B411" s="84">
        <v>3500</v>
      </c>
      <c r="C411" s="79">
        <v>10</v>
      </c>
      <c r="D411" s="3" t="str">
        <f t="shared" si="24"/>
        <v/>
      </c>
      <c r="E411" s="3" t="str">
        <f t="shared" si="25"/>
        <v/>
      </c>
      <c r="F411" s="3">
        <f t="shared" si="26"/>
        <v>10</v>
      </c>
      <c r="G411" s="3" t="str">
        <f t="shared" si="27"/>
        <v/>
      </c>
    </row>
    <row r="412" spans="1:7" x14ac:dyDescent="0.25">
      <c r="A412" s="41" t="s">
        <v>94</v>
      </c>
      <c r="B412" s="84">
        <v>43800</v>
      </c>
      <c r="C412" s="79" t="s">
        <v>27</v>
      </c>
      <c r="D412" s="3" t="str">
        <f t="shared" si="24"/>
        <v/>
      </c>
      <c r="E412" s="3" t="str">
        <f t="shared" si="25"/>
        <v/>
      </c>
      <c r="F412" s="3" t="str">
        <f t="shared" si="26"/>
        <v/>
      </c>
      <c r="G412" s="3" t="str">
        <f t="shared" si="27"/>
        <v/>
      </c>
    </row>
    <row r="413" spans="1:7" x14ac:dyDescent="0.25">
      <c r="A413" s="41" t="s">
        <v>94</v>
      </c>
      <c r="B413" s="84">
        <v>22500</v>
      </c>
      <c r="C413" s="79">
        <v>9</v>
      </c>
      <c r="D413" s="3" t="str">
        <f t="shared" si="24"/>
        <v/>
      </c>
      <c r="E413" s="3" t="str">
        <f t="shared" si="25"/>
        <v/>
      </c>
      <c r="F413" s="3" t="str">
        <f t="shared" si="26"/>
        <v/>
      </c>
      <c r="G413" s="3">
        <f t="shared" si="27"/>
        <v>9</v>
      </c>
    </row>
    <row r="414" spans="1:7" x14ac:dyDescent="0.25">
      <c r="A414" s="41" t="s">
        <v>94</v>
      </c>
      <c r="B414" s="84">
        <v>9000</v>
      </c>
      <c r="C414" s="79" t="s">
        <v>27</v>
      </c>
      <c r="D414" s="3" t="str">
        <f t="shared" si="24"/>
        <v/>
      </c>
      <c r="E414" s="3" t="str">
        <f t="shared" si="25"/>
        <v/>
      </c>
      <c r="F414" s="3" t="str">
        <f t="shared" si="26"/>
        <v/>
      </c>
      <c r="G414" s="3" t="str">
        <f t="shared" si="27"/>
        <v/>
      </c>
    </row>
    <row r="415" spans="1:7" x14ac:dyDescent="0.25">
      <c r="A415" s="41" t="s">
        <v>94</v>
      </c>
      <c r="B415" s="84">
        <v>19700</v>
      </c>
      <c r="C415" s="79">
        <v>10</v>
      </c>
      <c r="D415" s="3" t="str">
        <f t="shared" si="24"/>
        <v/>
      </c>
      <c r="E415" s="3" t="str">
        <f t="shared" si="25"/>
        <v/>
      </c>
      <c r="F415" s="3" t="str">
        <f t="shared" si="26"/>
        <v/>
      </c>
      <c r="G415" s="3">
        <f t="shared" si="27"/>
        <v>10</v>
      </c>
    </row>
    <row r="416" spans="1:7" x14ac:dyDescent="0.25">
      <c r="A416" s="41" t="s">
        <v>94</v>
      </c>
      <c r="B416" s="84">
        <v>7500</v>
      </c>
      <c r="C416" s="79" t="s">
        <v>27</v>
      </c>
      <c r="D416" s="3" t="str">
        <f t="shared" si="24"/>
        <v/>
      </c>
      <c r="E416" s="3" t="str">
        <f t="shared" si="25"/>
        <v/>
      </c>
      <c r="F416" s="3" t="str">
        <f t="shared" si="26"/>
        <v/>
      </c>
      <c r="G416" s="3" t="str">
        <f t="shared" si="27"/>
        <v/>
      </c>
    </row>
    <row r="417" spans="1:7" x14ac:dyDescent="0.25">
      <c r="A417" s="41" t="s">
        <v>94</v>
      </c>
      <c r="B417" s="84">
        <v>18000</v>
      </c>
      <c r="C417" s="79" t="s">
        <v>27</v>
      </c>
      <c r="D417" s="3" t="str">
        <f t="shared" si="24"/>
        <v/>
      </c>
      <c r="E417" s="3" t="str">
        <f t="shared" si="25"/>
        <v/>
      </c>
      <c r="F417" s="3" t="str">
        <f t="shared" si="26"/>
        <v/>
      </c>
      <c r="G417" s="3" t="str">
        <f t="shared" si="27"/>
        <v/>
      </c>
    </row>
    <row r="418" spans="1:7" x14ac:dyDescent="0.25">
      <c r="A418" s="41" t="s">
        <v>94</v>
      </c>
      <c r="B418" s="84">
        <v>14800</v>
      </c>
      <c r="C418" s="79" t="s">
        <v>27</v>
      </c>
      <c r="D418" s="3" t="str">
        <f t="shared" si="24"/>
        <v/>
      </c>
      <c r="E418" s="3" t="str">
        <f t="shared" si="25"/>
        <v/>
      </c>
      <c r="F418" s="3" t="str">
        <f t="shared" si="26"/>
        <v/>
      </c>
      <c r="G418" s="3" t="str">
        <f t="shared" si="27"/>
        <v/>
      </c>
    </row>
    <row r="419" spans="1:7" x14ac:dyDescent="0.25">
      <c r="A419" s="41" t="s">
        <v>94</v>
      </c>
      <c r="B419" s="84">
        <v>35650</v>
      </c>
      <c r="C419" s="79" t="s">
        <v>27</v>
      </c>
      <c r="D419" s="3" t="str">
        <f t="shared" si="24"/>
        <v/>
      </c>
      <c r="E419" s="3" t="str">
        <f t="shared" si="25"/>
        <v/>
      </c>
      <c r="F419" s="3" t="str">
        <f t="shared" si="26"/>
        <v/>
      </c>
      <c r="G419" s="3" t="str">
        <f t="shared" si="27"/>
        <v/>
      </c>
    </row>
    <row r="420" spans="1:7" x14ac:dyDescent="0.25">
      <c r="A420" s="41" t="s">
        <v>94</v>
      </c>
      <c r="B420" s="84">
        <v>4000</v>
      </c>
      <c r="C420" s="79" t="s">
        <v>27</v>
      </c>
      <c r="D420" s="3" t="str">
        <f t="shared" si="24"/>
        <v/>
      </c>
      <c r="E420" s="3" t="str">
        <f t="shared" si="25"/>
        <v/>
      </c>
      <c r="F420" s="3" t="str">
        <f t="shared" si="26"/>
        <v/>
      </c>
      <c r="G420" s="3" t="str">
        <f t="shared" si="27"/>
        <v/>
      </c>
    </row>
    <row r="421" spans="1:7" x14ac:dyDescent="0.25">
      <c r="A421" s="41" t="s">
        <v>94</v>
      </c>
      <c r="B421" s="84">
        <v>12600</v>
      </c>
      <c r="C421" s="79" t="s">
        <v>27</v>
      </c>
      <c r="D421" s="3" t="str">
        <f t="shared" si="24"/>
        <v/>
      </c>
      <c r="E421" s="3" t="str">
        <f t="shared" si="25"/>
        <v/>
      </c>
      <c r="F421" s="3" t="str">
        <f t="shared" si="26"/>
        <v/>
      </c>
      <c r="G421" s="3" t="str">
        <f t="shared" si="27"/>
        <v/>
      </c>
    </row>
    <row r="422" spans="1:7" x14ac:dyDescent="0.25">
      <c r="A422" s="41" t="s">
        <v>94</v>
      </c>
      <c r="B422" s="84">
        <v>10600</v>
      </c>
      <c r="C422" s="79" t="s">
        <v>27</v>
      </c>
      <c r="D422" s="3" t="str">
        <f t="shared" si="24"/>
        <v/>
      </c>
      <c r="E422" s="3" t="str">
        <f t="shared" si="25"/>
        <v/>
      </c>
      <c r="F422" s="3" t="str">
        <f t="shared" si="26"/>
        <v/>
      </c>
      <c r="G422" s="3" t="str">
        <f t="shared" si="27"/>
        <v/>
      </c>
    </row>
    <row r="423" spans="1:7" x14ac:dyDescent="0.25">
      <c r="A423" s="41" t="s">
        <v>55</v>
      </c>
      <c r="B423" s="84">
        <v>120</v>
      </c>
      <c r="C423" s="79">
        <v>7</v>
      </c>
      <c r="D423" s="3">
        <f t="shared" si="24"/>
        <v>7</v>
      </c>
      <c r="E423" s="3" t="str">
        <f t="shared" si="25"/>
        <v/>
      </c>
      <c r="F423" s="3" t="str">
        <f t="shared" si="26"/>
        <v/>
      </c>
      <c r="G423" s="3" t="str">
        <f t="shared" si="27"/>
        <v/>
      </c>
    </row>
    <row r="424" spans="1:7" x14ac:dyDescent="0.25">
      <c r="A424" s="41" t="s">
        <v>55</v>
      </c>
      <c r="B424" s="84">
        <v>80</v>
      </c>
      <c r="C424" s="79">
        <v>10</v>
      </c>
      <c r="D424" s="3">
        <f t="shared" si="24"/>
        <v>10</v>
      </c>
      <c r="E424" s="3" t="str">
        <f t="shared" si="25"/>
        <v/>
      </c>
      <c r="F424" s="3" t="str">
        <f t="shared" si="26"/>
        <v/>
      </c>
      <c r="G424" s="3" t="str">
        <f t="shared" si="27"/>
        <v/>
      </c>
    </row>
    <row r="425" spans="1:7" x14ac:dyDescent="0.25">
      <c r="A425" s="41" t="s">
        <v>55</v>
      </c>
      <c r="B425" s="84">
        <v>15</v>
      </c>
      <c r="C425" s="79">
        <v>10</v>
      </c>
      <c r="D425" s="3">
        <f t="shared" si="24"/>
        <v>10</v>
      </c>
      <c r="E425" s="3" t="str">
        <f t="shared" si="25"/>
        <v/>
      </c>
      <c r="F425" s="3" t="str">
        <f t="shared" si="26"/>
        <v/>
      </c>
      <c r="G425" s="3" t="str">
        <f t="shared" si="27"/>
        <v/>
      </c>
    </row>
    <row r="426" spans="1:7" x14ac:dyDescent="0.25">
      <c r="A426" s="41" t="s">
        <v>55</v>
      </c>
      <c r="B426" s="84">
        <v>80</v>
      </c>
      <c r="C426" s="79" t="s">
        <v>27</v>
      </c>
      <c r="D426" s="3" t="str">
        <f t="shared" si="24"/>
        <v/>
      </c>
      <c r="E426" s="3" t="str">
        <f t="shared" si="25"/>
        <v/>
      </c>
      <c r="F426" s="3" t="str">
        <f t="shared" si="26"/>
        <v/>
      </c>
      <c r="G426" s="3" t="str">
        <f t="shared" si="27"/>
        <v/>
      </c>
    </row>
    <row r="427" spans="1:7" x14ac:dyDescent="0.25">
      <c r="A427" s="41" t="s">
        <v>55</v>
      </c>
      <c r="B427" s="84">
        <v>250</v>
      </c>
      <c r="C427" s="79" t="s">
        <v>27</v>
      </c>
      <c r="D427" s="3" t="str">
        <f t="shared" si="24"/>
        <v/>
      </c>
      <c r="E427" s="3" t="str">
        <f t="shared" si="25"/>
        <v/>
      </c>
      <c r="F427" s="3" t="str">
        <f t="shared" si="26"/>
        <v/>
      </c>
      <c r="G427" s="3" t="str">
        <f t="shared" si="27"/>
        <v/>
      </c>
    </row>
    <row r="428" spans="1:7" x14ac:dyDescent="0.25">
      <c r="A428" s="41" t="s">
        <v>55</v>
      </c>
      <c r="B428" s="84">
        <v>2400</v>
      </c>
      <c r="C428" s="79" t="s">
        <v>27</v>
      </c>
      <c r="D428" s="3" t="str">
        <f t="shared" si="24"/>
        <v/>
      </c>
      <c r="E428" s="3" t="str">
        <f t="shared" si="25"/>
        <v/>
      </c>
      <c r="F428" s="3" t="str">
        <f t="shared" si="26"/>
        <v/>
      </c>
      <c r="G428" s="3" t="str">
        <f t="shared" si="27"/>
        <v/>
      </c>
    </row>
    <row r="429" spans="1:7" x14ac:dyDescent="0.25">
      <c r="A429" s="41" t="s">
        <v>55</v>
      </c>
      <c r="B429" s="84">
        <v>80</v>
      </c>
      <c r="C429" s="79">
        <v>8</v>
      </c>
      <c r="D429" s="3">
        <f t="shared" si="24"/>
        <v>8</v>
      </c>
      <c r="E429" s="3" t="str">
        <f t="shared" si="25"/>
        <v/>
      </c>
      <c r="F429" s="3" t="str">
        <f t="shared" si="26"/>
        <v/>
      </c>
      <c r="G429" s="3" t="str">
        <f t="shared" si="27"/>
        <v/>
      </c>
    </row>
    <row r="430" spans="1:7" x14ac:dyDescent="0.25">
      <c r="A430" s="41" t="s">
        <v>55</v>
      </c>
      <c r="B430" s="84">
        <v>160</v>
      </c>
      <c r="C430" s="79">
        <v>8</v>
      </c>
      <c r="D430" s="3">
        <f t="shared" si="24"/>
        <v>8</v>
      </c>
      <c r="E430" s="3" t="str">
        <f t="shared" si="25"/>
        <v/>
      </c>
      <c r="F430" s="3" t="str">
        <f t="shared" si="26"/>
        <v/>
      </c>
      <c r="G430" s="3" t="str">
        <f t="shared" si="27"/>
        <v/>
      </c>
    </row>
    <row r="431" spans="1:7" x14ac:dyDescent="0.25">
      <c r="A431" s="41" t="s">
        <v>55</v>
      </c>
      <c r="B431" s="84">
        <v>320</v>
      </c>
      <c r="C431" s="79" t="s">
        <v>27</v>
      </c>
      <c r="D431" s="3" t="str">
        <f t="shared" si="24"/>
        <v/>
      </c>
      <c r="E431" s="3" t="str">
        <f t="shared" si="25"/>
        <v/>
      </c>
      <c r="F431" s="3" t="str">
        <f t="shared" si="26"/>
        <v/>
      </c>
      <c r="G431" s="3" t="str">
        <f t="shared" si="27"/>
        <v/>
      </c>
    </row>
    <row r="432" spans="1:7" x14ac:dyDescent="0.25">
      <c r="A432" s="41" t="s">
        <v>55</v>
      </c>
      <c r="B432" s="84">
        <v>80</v>
      </c>
      <c r="C432" s="79">
        <v>10</v>
      </c>
      <c r="D432" s="3">
        <f t="shared" si="24"/>
        <v>10</v>
      </c>
      <c r="E432" s="3" t="str">
        <f t="shared" si="25"/>
        <v/>
      </c>
      <c r="F432" s="3" t="str">
        <f t="shared" si="26"/>
        <v/>
      </c>
      <c r="G432" s="3" t="str">
        <f t="shared" si="27"/>
        <v/>
      </c>
    </row>
    <row r="433" spans="1:7" x14ac:dyDescent="0.25">
      <c r="A433" s="41" t="s">
        <v>55</v>
      </c>
      <c r="B433" s="84">
        <v>160</v>
      </c>
      <c r="C433" s="79">
        <v>10</v>
      </c>
      <c r="D433" s="3">
        <f t="shared" si="24"/>
        <v>10</v>
      </c>
      <c r="E433" s="3" t="str">
        <f t="shared" si="25"/>
        <v/>
      </c>
      <c r="F433" s="3" t="str">
        <f t="shared" si="26"/>
        <v/>
      </c>
      <c r="G433" s="3" t="str">
        <f t="shared" si="27"/>
        <v/>
      </c>
    </row>
    <row r="434" spans="1:7" x14ac:dyDescent="0.25">
      <c r="A434" s="41" t="s">
        <v>55</v>
      </c>
      <c r="B434" s="84">
        <v>20</v>
      </c>
      <c r="C434" s="79">
        <v>10</v>
      </c>
      <c r="D434" s="3">
        <f t="shared" si="24"/>
        <v>10</v>
      </c>
      <c r="E434" s="3" t="str">
        <f t="shared" si="25"/>
        <v/>
      </c>
      <c r="F434" s="3" t="str">
        <f t="shared" si="26"/>
        <v/>
      </c>
      <c r="G434" s="3" t="str">
        <f t="shared" si="27"/>
        <v/>
      </c>
    </row>
    <row r="435" spans="1:7" x14ac:dyDescent="0.25">
      <c r="A435" s="41" t="s">
        <v>55</v>
      </c>
      <c r="B435" s="84">
        <v>40</v>
      </c>
      <c r="C435" s="79">
        <v>10</v>
      </c>
      <c r="D435" s="3">
        <f t="shared" si="24"/>
        <v>10</v>
      </c>
      <c r="E435" s="3" t="str">
        <f t="shared" si="25"/>
        <v/>
      </c>
      <c r="F435" s="3" t="str">
        <f t="shared" si="26"/>
        <v/>
      </c>
      <c r="G435" s="3" t="str">
        <f t="shared" si="27"/>
        <v/>
      </c>
    </row>
    <row r="436" spans="1:7" x14ac:dyDescent="0.25">
      <c r="A436" s="41" t="s">
        <v>55</v>
      </c>
      <c r="B436" s="84">
        <v>80</v>
      </c>
      <c r="C436" s="79">
        <v>10</v>
      </c>
      <c r="D436" s="3">
        <f t="shared" si="24"/>
        <v>10</v>
      </c>
      <c r="E436" s="3" t="str">
        <f t="shared" si="25"/>
        <v/>
      </c>
      <c r="F436" s="3" t="str">
        <f t="shared" si="26"/>
        <v/>
      </c>
      <c r="G436" s="3" t="str">
        <f t="shared" si="27"/>
        <v/>
      </c>
    </row>
    <row r="437" spans="1:7" x14ac:dyDescent="0.25">
      <c r="A437" s="41" t="s">
        <v>55</v>
      </c>
      <c r="B437" s="84">
        <v>80</v>
      </c>
      <c r="C437" s="79">
        <v>10</v>
      </c>
      <c r="D437" s="3">
        <f t="shared" si="24"/>
        <v>10</v>
      </c>
      <c r="E437" s="3" t="str">
        <f t="shared" si="25"/>
        <v/>
      </c>
      <c r="F437" s="3" t="str">
        <f t="shared" si="26"/>
        <v/>
      </c>
      <c r="G437" s="3" t="str">
        <f t="shared" si="27"/>
        <v/>
      </c>
    </row>
    <row r="438" spans="1:7" x14ac:dyDescent="0.25">
      <c r="A438" s="41" t="s">
        <v>55</v>
      </c>
      <c r="B438" s="84">
        <v>180</v>
      </c>
      <c r="C438" s="79">
        <v>10</v>
      </c>
      <c r="D438" s="3">
        <f t="shared" si="24"/>
        <v>10</v>
      </c>
      <c r="E438" s="3" t="str">
        <f t="shared" si="25"/>
        <v/>
      </c>
      <c r="F438" s="3" t="str">
        <f t="shared" si="26"/>
        <v/>
      </c>
      <c r="G438" s="3" t="str">
        <f t="shared" si="27"/>
        <v/>
      </c>
    </row>
    <row r="439" spans="1:7" x14ac:dyDescent="0.25">
      <c r="A439" s="41" t="s">
        <v>55</v>
      </c>
      <c r="B439" s="84">
        <v>160</v>
      </c>
      <c r="C439" s="79" t="s">
        <v>27</v>
      </c>
      <c r="D439" s="3" t="str">
        <f t="shared" si="24"/>
        <v/>
      </c>
      <c r="E439" s="3" t="str">
        <f t="shared" si="25"/>
        <v/>
      </c>
      <c r="F439" s="3" t="str">
        <f t="shared" si="26"/>
        <v/>
      </c>
      <c r="G439" s="3" t="str">
        <f t="shared" si="27"/>
        <v/>
      </c>
    </row>
    <row r="440" spans="1:7" x14ac:dyDescent="0.25">
      <c r="A440" s="41" t="s">
        <v>55</v>
      </c>
      <c r="B440" s="84">
        <v>25</v>
      </c>
      <c r="C440" s="79">
        <v>10</v>
      </c>
      <c r="D440" s="3">
        <f t="shared" si="24"/>
        <v>10</v>
      </c>
      <c r="E440" s="3" t="str">
        <f t="shared" si="25"/>
        <v/>
      </c>
      <c r="F440" s="3" t="str">
        <f t="shared" si="26"/>
        <v/>
      </c>
      <c r="G440" s="3" t="str">
        <f t="shared" si="27"/>
        <v/>
      </c>
    </row>
    <row r="441" spans="1:7" x14ac:dyDescent="0.25">
      <c r="A441" s="41" t="s">
        <v>55</v>
      </c>
      <c r="B441" s="84">
        <v>80</v>
      </c>
      <c r="C441" s="79">
        <v>6</v>
      </c>
      <c r="D441" s="3">
        <f t="shared" si="24"/>
        <v>6</v>
      </c>
      <c r="E441" s="3" t="str">
        <f t="shared" si="25"/>
        <v/>
      </c>
      <c r="F441" s="3" t="str">
        <f t="shared" si="26"/>
        <v/>
      </c>
      <c r="G441" s="3" t="str">
        <f t="shared" si="27"/>
        <v/>
      </c>
    </row>
    <row r="442" spans="1:7" x14ac:dyDescent="0.25">
      <c r="A442" s="41" t="s">
        <v>55</v>
      </c>
      <c r="B442" s="84">
        <v>240</v>
      </c>
      <c r="C442" s="79">
        <v>10</v>
      </c>
      <c r="D442" s="3">
        <f t="shared" si="24"/>
        <v>10</v>
      </c>
      <c r="E442" s="3" t="str">
        <f t="shared" si="25"/>
        <v/>
      </c>
      <c r="F442" s="3" t="str">
        <f t="shared" si="26"/>
        <v/>
      </c>
      <c r="G442" s="3" t="str">
        <f t="shared" si="27"/>
        <v/>
      </c>
    </row>
    <row r="443" spans="1:7" x14ac:dyDescent="0.25">
      <c r="A443" s="41" t="s">
        <v>55</v>
      </c>
      <c r="B443" s="84">
        <v>160</v>
      </c>
      <c r="C443" s="79" t="s">
        <v>27</v>
      </c>
      <c r="D443" s="3" t="str">
        <f t="shared" si="24"/>
        <v/>
      </c>
      <c r="E443" s="3" t="str">
        <f t="shared" si="25"/>
        <v/>
      </c>
      <c r="F443" s="3" t="str">
        <f t="shared" si="26"/>
        <v/>
      </c>
      <c r="G443" s="3" t="str">
        <f t="shared" si="27"/>
        <v/>
      </c>
    </row>
    <row r="444" spans="1:7" x14ac:dyDescent="0.25">
      <c r="A444" s="41" t="s">
        <v>55</v>
      </c>
      <c r="B444" s="84">
        <v>80</v>
      </c>
      <c r="C444" s="79">
        <v>10</v>
      </c>
      <c r="D444" s="3">
        <f t="shared" si="24"/>
        <v>10</v>
      </c>
      <c r="E444" s="3" t="str">
        <f t="shared" si="25"/>
        <v/>
      </c>
      <c r="F444" s="3" t="str">
        <f t="shared" si="26"/>
        <v/>
      </c>
      <c r="G444" s="3" t="str">
        <f t="shared" si="27"/>
        <v/>
      </c>
    </row>
    <row r="445" spans="1:7" x14ac:dyDescent="0.25">
      <c r="A445" s="41" t="s">
        <v>55</v>
      </c>
      <c r="B445" s="84">
        <v>320</v>
      </c>
      <c r="C445" s="79">
        <v>10</v>
      </c>
      <c r="D445" s="3">
        <f t="shared" si="24"/>
        <v>10</v>
      </c>
      <c r="E445" s="3" t="str">
        <f t="shared" si="25"/>
        <v/>
      </c>
      <c r="F445" s="3" t="str">
        <f t="shared" si="26"/>
        <v/>
      </c>
      <c r="G445" s="3" t="str">
        <f t="shared" si="27"/>
        <v/>
      </c>
    </row>
    <row r="446" spans="1:7" x14ac:dyDescent="0.25">
      <c r="A446" s="41" t="s">
        <v>55</v>
      </c>
      <c r="B446" s="84">
        <v>320</v>
      </c>
      <c r="C446" s="79">
        <v>10</v>
      </c>
      <c r="D446" s="3">
        <f t="shared" si="24"/>
        <v>10</v>
      </c>
      <c r="E446" s="3" t="str">
        <f t="shared" si="25"/>
        <v/>
      </c>
      <c r="F446" s="3" t="str">
        <f t="shared" si="26"/>
        <v/>
      </c>
      <c r="G446" s="3" t="str">
        <f t="shared" si="27"/>
        <v/>
      </c>
    </row>
    <row r="447" spans="1:7" x14ac:dyDescent="0.25">
      <c r="A447" s="41" t="s">
        <v>55</v>
      </c>
      <c r="B447" s="84">
        <v>80</v>
      </c>
      <c r="C447" s="79">
        <v>10</v>
      </c>
      <c r="D447" s="3">
        <f t="shared" si="24"/>
        <v>10</v>
      </c>
      <c r="E447" s="3" t="str">
        <f t="shared" si="25"/>
        <v/>
      </c>
      <c r="F447" s="3" t="str">
        <f t="shared" si="26"/>
        <v/>
      </c>
      <c r="G447" s="3" t="str">
        <f t="shared" si="27"/>
        <v/>
      </c>
    </row>
    <row r="448" spans="1:7" x14ac:dyDescent="0.25">
      <c r="A448" s="41" t="s">
        <v>55</v>
      </c>
      <c r="B448" s="84">
        <v>320</v>
      </c>
      <c r="C448" s="79">
        <v>10</v>
      </c>
      <c r="D448" s="3">
        <f t="shared" si="24"/>
        <v>10</v>
      </c>
      <c r="E448" s="3" t="str">
        <f t="shared" si="25"/>
        <v/>
      </c>
      <c r="F448" s="3" t="str">
        <f t="shared" si="26"/>
        <v/>
      </c>
      <c r="G448" s="3" t="str">
        <f t="shared" si="27"/>
        <v/>
      </c>
    </row>
    <row r="449" spans="1:7" x14ac:dyDescent="0.25">
      <c r="A449" s="41" t="s">
        <v>55</v>
      </c>
      <c r="B449" s="84">
        <v>80</v>
      </c>
      <c r="C449" s="79">
        <v>10</v>
      </c>
      <c r="D449" s="3">
        <f t="shared" si="24"/>
        <v>10</v>
      </c>
      <c r="E449" s="3" t="str">
        <f t="shared" si="25"/>
        <v/>
      </c>
      <c r="F449" s="3" t="str">
        <f t="shared" si="26"/>
        <v/>
      </c>
      <c r="G449" s="3" t="str">
        <f t="shared" si="27"/>
        <v/>
      </c>
    </row>
    <row r="450" spans="1:7" x14ac:dyDescent="0.25">
      <c r="A450" s="41" t="s">
        <v>55</v>
      </c>
      <c r="B450" s="84">
        <v>100</v>
      </c>
      <c r="C450" s="79">
        <v>10</v>
      </c>
      <c r="D450" s="3">
        <f t="shared" si="24"/>
        <v>10</v>
      </c>
      <c r="E450" s="3" t="str">
        <f t="shared" si="25"/>
        <v/>
      </c>
      <c r="F450" s="3" t="str">
        <f t="shared" si="26"/>
        <v/>
      </c>
      <c r="G450" s="3" t="str">
        <f t="shared" si="27"/>
        <v/>
      </c>
    </row>
    <row r="451" spans="1:7" x14ac:dyDescent="0.25">
      <c r="A451" s="41" t="s">
        <v>55</v>
      </c>
      <c r="B451" s="84">
        <v>15</v>
      </c>
      <c r="C451" s="79">
        <v>10</v>
      </c>
      <c r="D451" s="3">
        <f t="shared" ref="D451:D514" si="28">IF(AND(B451&gt;0,B451&lt;1000),C451,"")</f>
        <v>10</v>
      </c>
      <c r="E451" s="3" t="str">
        <f t="shared" ref="E451:E514" si="29">IF(AND(B451&gt;1000,B451&lt;2500),C451,"")</f>
        <v/>
      </c>
      <c r="F451" s="3" t="str">
        <f t="shared" ref="F451:F514" si="30">IF(AND(B451&gt;2500,B451&lt;5000),C451,"")</f>
        <v/>
      </c>
      <c r="G451" s="3" t="str">
        <f t="shared" ref="G451:G514" si="31">IF(B451&gt;=5000,C451,"")</f>
        <v/>
      </c>
    </row>
    <row r="452" spans="1:7" x14ac:dyDescent="0.25">
      <c r="A452" s="41" t="s">
        <v>55</v>
      </c>
      <c r="B452" s="84">
        <v>160</v>
      </c>
      <c r="C452" s="79">
        <v>10</v>
      </c>
      <c r="D452" s="3">
        <f t="shared" si="28"/>
        <v>10</v>
      </c>
      <c r="E452" s="3" t="str">
        <f t="shared" si="29"/>
        <v/>
      </c>
      <c r="F452" s="3" t="str">
        <f t="shared" si="30"/>
        <v/>
      </c>
      <c r="G452" s="3" t="str">
        <f t="shared" si="31"/>
        <v/>
      </c>
    </row>
    <row r="453" spans="1:7" x14ac:dyDescent="0.25">
      <c r="A453" s="41" t="s">
        <v>55</v>
      </c>
      <c r="B453" s="84">
        <v>25</v>
      </c>
      <c r="C453" s="79">
        <v>10</v>
      </c>
      <c r="D453" s="3">
        <f t="shared" si="28"/>
        <v>10</v>
      </c>
      <c r="E453" s="3" t="str">
        <f t="shared" si="29"/>
        <v/>
      </c>
      <c r="F453" s="3" t="str">
        <f t="shared" si="30"/>
        <v/>
      </c>
      <c r="G453" s="3" t="str">
        <f t="shared" si="31"/>
        <v/>
      </c>
    </row>
    <row r="454" spans="1:7" x14ac:dyDescent="0.25">
      <c r="A454" s="41" t="s">
        <v>55</v>
      </c>
      <c r="B454" s="84">
        <v>80</v>
      </c>
      <c r="C454" s="79">
        <v>10</v>
      </c>
      <c r="D454" s="3">
        <f t="shared" si="28"/>
        <v>10</v>
      </c>
      <c r="E454" s="3" t="str">
        <f t="shared" si="29"/>
        <v/>
      </c>
      <c r="F454" s="3" t="str">
        <f t="shared" si="30"/>
        <v/>
      </c>
      <c r="G454" s="3" t="str">
        <f t="shared" si="31"/>
        <v/>
      </c>
    </row>
    <row r="455" spans="1:7" x14ac:dyDescent="0.25">
      <c r="A455" s="41" t="s">
        <v>55</v>
      </c>
      <c r="B455" s="84">
        <v>80</v>
      </c>
      <c r="C455" s="79">
        <v>10</v>
      </c>
      <c r="D455" s="3">
        <f t="shared" si="28"/>
        <v>10</v>
      </c>
      <c r="E455" s="3" t="str">
        <f t="shared" si="29"/>
        <v/>
      </c>
      <c r="F455" s="3" t="str">
        <f t="shared" si="30"/>
        <v/>
      </c>
      <c r="G455" s="3" t="str">
        <f t="shared" si="31"/>
        <v/>
      </c>
    </row>
    <row r="456" spans="1:7" x14ac:dyDescent="0.25">
      <c r="A456" s="41" t="s">
        <v>55</v>
      </c>
      <c r="B456" s="84">
        <v>80</v>
      </c>
      <c r="C456" s="79">
        <v>10</v>
      </c>
      <c r="D456" s="3">
        <f t="shared" si="28"/>
        <v>10</v>
      </c>
      <c r="E456" s="3" t="str">
        <f t="shared" si="29"/>
        <v/>
      </c>
      <c r="F456" s="3" t="str">
        <f t="shared" si="30"/>
        <v/>
      </c>
      <c r="G456" s="3" t="str">
        <f t="shared" si="31"/>
        <v/>
      </c>
    </row>
    <row r="457" spans="1:7" x14ac:dyDescent="0.25">
      <c r="A457" s="41" t="s">
        <v>55</v>
      </c>
      <c r="B457" s="84">
        <v>250</v>
      </c>
      <c r="C457" s="79">
        <v>10</v>
      </c>
      <c r="D457" s="3">
        <f t="shared" si="28"/>
        <v>10</v>
      </c>
      <c r="E457" s="3" t="str">
        <f t="shared" si="29"/>
        <v/>
      </c>
      <c r="F457" s="3" t="str">
        <f t="shared" si="30"/>
        <v/>
      </c>
      <c r="G457" s="3" t="str">
        <f t="shared" si="31"/>
        <v/>
      </c>
    </row>
    <row r="458" spans="1:7" x14ac:dyDescent="0.25">
      <c r="A458" s="41" t="s">
        <v>55</v>
      </c>
      <c r="B458" s="84">
        <v>150</v>
      </c>
      <c r="C458" s="79">
        <v>10</v>
      </c>
      <c r="D458" s="3">
        <f t="shared" si="28"/>
        <v>10</v>
      </c>
      <c r="E458" s="3" t="str">
        <f t="shared" si="29"/>
        <v/>
      </c>
      <c r="F458" s="3" t="str">
        <f t="shared" si="30"/>
        <v/>
      </c>
      <c r="G458" s="3" t="str">
        <f t="shared" si="31"/>
        <v/>
      </c>
    </row>
    <row r="459" spans="1:7" x14ac:dyDescent="0.25">
      <c r="A459" s="41" t="s">
        <v>55</v>
      </c>
      <c r="B459" s="84">
        <v>250</v>
      </c>
      <c r="C459" s="79">
        <v>10</v>
      </c>
      <c r="D459" s="3">
        <f t="shared" si="28"/>
        <v>10</v>
      </c>
      <c r="E459" s="3" t="str">
        <f t="shared" si="29"/>
        <v/>
      </c>
      <c r="F459" s="3" t="str">
        <f t="shared" si="30"/>
        <v/>
      </c>
      <c r="G459" s="3" t="str">
        <f t="shared" si="31"/>
        <v/>
      </c>
    </row>
    <row r="460" spans="1:7" x14ac:dyDescent="0.25">
      <c r="A460" s="41" t="s">
        <v>55</v>
      </c>
      <c r="B460" s="84">
        <v>80</v>
      </c>
      <c r="C460" s="79">
        <v>10</v>
      </c>
      <c r="D460" s="3">
        <f t="shared" si="28"/>
        <v>10</v>
      </c>
      <c r="E460" s="3" t="str">
        <f t="shared" si="29"/>
        <v/>
      </c>
      <c r="F460" s="3" t="str">
        <f t="shared" si="30"/>
        <v/>
      </c>
      <c r="G460" s="3" t="str">
        <f t="shared" si="31"/>
        <v/>
      </c>
    </row>
    <row r="461" spans="1:7" x14ac:dyDescent="0.25">
      <c r="A461" s="41" t="s">
        <v>55</v>
      </c>
      <c r="B461" s="84">
        <v>60</v>
      </c>
      <c r="C461" s="79">
        <v>10</v>
      </c>
      <c r="D461" s="3">
        <f t="shared" si="28"/>
        <v>10</v>
      </c>
      <c r="E461" s="3" t="str">
        <f t="shared" si="29"/>
        <v/>
      </c>
      <c r="F461" s="3" t="str">
        <f t="shared" si="30"/>
        <v/>
      </c>
      <c r="G461" s="3" t="str">
        <f t="shared" si="31"/>
        <v/>
      </c>
    </row>
    <row r="462" spans="1:7" x14ac:dyDescent="0.25">
      <c r="A462" s="41" t="s">
        <v>55</v>
      </c>
      <c r="B462" s="84">
        <v>160</v>
      </c>
      <c r="C462" s="79">
        <v>10</v>
      </c>
      <c r="D462" s="3">
        <f t="shared" si="28"/>
        <v>10</v>
      </c>
      <c r="E462" s="3" t="str">
        <f t="shared" si="29"/>
        <v/>
      </c>
      <c r="F462" s="3" t="str">
        <f t="shared" si="30"/>
        <v/>
      </c>
      <c r="G462" s="3" t="str">
        <f t="shared" si="31"/>
        <v/>
      </c>
    </row>
    <row r="463" spans="1:7" x14ac:dyDescent="0.25">
      <c r="A463" s="41" t="s">
        <v>55</v>
      </c>
      <c r="B463" s="84">
        <v>80</v>
      </c>
      <c r="C463" s="79">
        <v>10</v>
      </c>
      <c r="D463" s="3">
        <f t="shared" si="28"/>
        <v>10</v>
      </c>
      <c r="E463" s="3" t="str">
        <f t="shared" si="29"/>
        <v/>
      </c>
      <c r="F463" s="3" t="str">
        <f t="shared" si="30"/>
        <v/>
      </c>
      <c r="G463" s="3" t="str">
        <f t="shared" si="31"/>
        <v/>
      </c>
    </row>
    <row r="464" spans="1:7" x14ac:dyDescent="0.25">
      <c r="A464" s="41" t="s">
        <v>55</v>
      </c>
      <c r="B464" s="84">
        <v>260</v>
      </c>
      <c r="C464" s="79" t="s">
        <v>27</v>
      </c>
      <c r="D464" s="3" t="str">
        <f t="shared" si="28"/>
        <v/>
      </c>
      <c r="E464" s="3" t="str">
        <f t="shared" si="29"/>
        <v/>
      </c>
      <c r="F464" s="3" t="str">
        <f t="shared" si="30"/>
        <v/>
      </c>
      <c r="G464" s="3" t="str">
        <f t="shared" si="31"/>
        <v/>
      </c>
    </row>
    <row r="465" spans="1:7" x14ac:dyDescent="0.25">
      <c r="A465" s="41" t="s">
        <v>55</v>
      </c>
      <c r="B465" s="84">
        <v>320</v>
      </c>
      <c r="C465" s="79">
        <v>8</v>
      </c>
      <c r="D465" s="3">
        <f t="shared" si="28"/>
        <v>8</v>
      </c>
      <c r="E465" s="3" t="str">
        <f t="shared" si="29"/>
        <v/>
      </c>
      <c r="F465" s="3" t="str">
        <f t="shared" si="30"/>
        <v/>
      </c>
      <c r="G465" s="3" t="str">
        <f t="shared" si="31"/>
        <v/>
      </c>
    </row>
    <row r="466" spans="1:7" x14ac:dyDescent="0.25">
      <c r="A466" s="41" t="s">
        <v>55</v>
      </c>
      <c r="B466" s="84">
        <v>160</v>
      </c>
      <c r="C466" s="79">
        <v>10</v>
      </c>
      <c r="D466" s="3">
        <f t="shared" si="28"/>
        <v>10</v>
      </c>
      <c r="E466" s="3" t="str">
        <f t="shared" si="29"/>
        <v/>
      </c>
      <c r="F466" s="3" t="str">
        <f t="shared" si="30"/>
        <v/>
      </c>
      <c r="G466" s="3" t="str">
        <f t="shared" si="31"/>
        <v/>
      </c>
    </row>
    <row r="467" spans="1:7" x14ac:dyDescent="0.25">
      <c r="A467" s="41" t="s">
        <v>55</v>
      </c>
      <c r="B467" s="84">
        <v>6250</v>
      </c>
      <c r="C467" s="79" t="s">
        <v>27</v>
      </c>
      <c r="D467" s="3" t="str">
        <f t="shared" si="28"/>
        <v/>
      </c>
      <c r="E467" s="3" t="str">
        <f t="shared" si="29"/>
        <v/>
      </c>
      <c r="F467" s="3" t="str">
        <f t="shared" si="30"/>
        <v/>
      </c>
      <c r="G467" s="3" t="str">
        <f t="shared" si="31"/>
        <v/>
      </c>
    </row>
    <row r="468" spans="1:7" x14ac:dyDescent="0.25">
      <c r="A468" s="41" t="s">
        <v>55</v>
      </c>
      <c r="B468" s="84">
        <v>250</v>
      </c>
      <c r="C468" s="79">
        <v>10</v>
      </c>
      <c r="D468" s="3">
        <f t="shared" si="28"/>
        <v>10</v>
      </c>
      <c r="E468" s="3" t="str">
        <f t="shared" si="29"/>
        <v/>
      </c>
      <c r="F468" s="3" t="str">
        <f t="shared" si="30"/>
        <v/>
      </c>
      <c r="G468" s="3" t="str">
        <f t="shared" si="31"/>
        <v/>
      </c>
    </row>
    <row r="469" spans="1:7" x14ac:dyDescent="0.25">
      <c r="A469" s="41" t="s">
        <v>55</v>
      </c>
      <c r="B469" s="84">
        <v>25</v>
      </c>
      <c r="C469" s="79">
        <v>10</v>
      </c>
      <c r="D469" s="3">
        <f t="shared" si="28"/>
        <v>10</v>
      </c>
      <c r="E469" s="3" t="str">
        <f t="shared" si="29"/>
        <v/>
      </c>
      <c r="F469" s="3" t="str">
        <f t="shared" si="30"/>
        <v/>
      </c>
      <c r="G469" s="3" t="str">
        <f t="shared" si="31"/>
        <v/>
      </c>
    </row>
    <row r="470" spans="1:7" x14ac:dyDescent="0.25">
      <c r="A470" s="41" t="s">
        <v>55</v>
      </c>
      <c r="B470" s="84">
        <v>80</v>
      </c>
      <c r="C470" s="79">
        <v>10</v>
      </c>
      <c r="D470" s="3">
        <f t="shared" si="28"/>
        <v>10</v>
      </c>
      <c r="E470" s="3" t="str">
        <f t="shared" si="29"/>
        <v/>
      </c>
      <c r="F470" s="3" t="str">
        <f t="shared" si="30"/>
        <v/>
      </c>
      <c r="G470" s="3" t="str">
        <f t="shared" si="31"/>
        <v/>
      </c>
    </row>
    <row r="471" spans="1:7" x14ac:dyDescent="0.25">
      <c r="A471" s="41" t="s">
        <v>55</v>
      </c>
      <c r="B471" s="84">
        <v>160</v>
      </c>
      <c r="C471" s="79" t="s">
        <v>27</v>
      </c>
      <c r="D471" s="3" t="str">
        <f t="shared" si="28"/>
        <v/>
      </c>
      <c r="E471" s="3" t="str">
        <f t="shared" si="29"/>
        <v/>
      </c>
      <c r="F471" s="3" t="str">
        <f t="shared" si="30"/>
        <v/>
      </c>
      <c r="G471" s="3" t="str">
        <f t="shared" si="31"/>
        <v/>
      </c>
    </row>
    <row r="472" spans="1:7" x14ac:dyDescent="0.25">
      <c r="A472" s="41" t="s">
        <v>55</v>
      </c>
      <c r="B472" s="84">
        <v>160</v>
      </c>
      <c r="C472" s="79">
        <v>10</v>
      </c>
      <c r="D472" s="3">
        <f t="shared" si="28"/>
        <v>10</v>
      </c>
      <c r="E472" s="3" t="str">
        <f t="shared" si="29"/>
        <v/>
      </c>
      <c r="F472" s="3" t="str">
        <f t="shared" si="30"/>
        <v/>
      </c>
      <c r="G472" s="3" t="str">
        <f t="shared" si="31"/>
        <v/>
      </c>
    </row>
    <row r="473" spans="1:7" x14ac:dyDescent="0.25">
      <c r="A473" s="41" t="s">
        <v>55</v>
      </c>
      <c r="B473" s="84">
        <v>55</v>
      </c>
      <c r="C473" s="79">
        <v>10</v>
      </c>
      <c r="D473" s="3">
        <f t="shared" si="28"/>
        <v>10</v>
      </c>
      <c r="E473" s="3" t="str">
        <f t="shared" si="29"/>
        <v/>
      </c>
      <c r="F473" s="3" t="str">
        <f t="shared" si="30"/>
        <v/>
      </c>
      <c r="G473" s="3" t="str">
        <f t="shared" si="31"/>
        <v/>
      </c>
    </row>
    <row r="474" spans="1:7" x14ac:dyDescent="0.25">
      <c r="A474" s="41" t="s">
        <v>55</v>
      </c>
      <c r="B474" s="84">
        <v>150</v>
      </c>
      <c r="C474" s="79">
        <v>10</v>
      </c>
      <c r="D474" s="3">
        <f t="shared" si="28"/>
        <v>10</v>
      </c>
      <c r="E474" s="3" t="str">
        <f t="shared" si="29"/>
        <v/>
      </c>
      <c r="F474" s="3" t="str">
        <f t="shared" si="30"/>
        <v/>
      </c>
      <c r="G474" s="3" t="str">
        <f t="shared" si="31"/>
        <v/>
      </c>
    </row>
    <row r="475" spans="1:7" x14ac:dyDescent="0.25">
      <c r="A475" s="41" t="s">
        <v>55</v>
      </c>
      <c r="B475" s="84">
        <v>160</v>
      </c>
      <c r="C475" s="79">
        <v>10</v>
      </c>
      <c r="D475" s="3">
        <f t="shared" si="28"/>
        <v>10</v>
      </c>
      <c r="E475" s="3" t="str">
        <f t="shared" si="29"/>
        <v/>
      </c>
      <c r="F475" s="3" t="str">
        <f t="shared" si="30"/>
        <v/>
      </c>
      <c r="G475" s="3" t="str">
        <f t="shared" si="31"/>
        <v/>
      </c>
    </row>
    <row r="476" spans="1:7" x14ac:dyDescent="0.25">
      <c r="A476" s="41" t="s">
        <v>55</v>
      </c>
      <c r="B476" s="84">
        <v>80</v>
      </c>
      <c r="C476" s="79">
        <v>10</v>
      </c>
      <c r="D476" s="3">
        <f t="shared" si="28"/>
        <v>10</v>
      </c>
      <c r="E476" s="3" t="str">
        <f t="shared" si="29"/>
        <v/>
      </c>
      <c r="F476" s="3" t="str">
        <f t="shared" si="30"/>
        <v/>
      </c>
      <c r="G476" s="3" t="str">
        <f t="shared" si="31"/>
        <v/>
      </c>
    </row>
    <row r="477" spans="1:7" x14ac:dyDescent="0.25">
      <c r="A477" s="41" t="s">
        <v>55</v>
      </c>
      <c r="B477" s="84">
        <v>15</v>
      </c>
      <c r="C477" s="79">
        <v>10</v>
      </c>
      <c r="D477" s="3">
        <f t="shared" si="28"/>
        <v>10</v>
      </c>
      <c r="E477" s="3" t="str">
        <f t="shared" si="29"/>
        <v/>
      </c>
      <c r="F477" s="3" t="str">
        <f t="shared" si="30"/>
        <v/>
      </c>
      <c r="G477" s="3" t="str">
        <f t="shared" si="31"/>
        <v/>
      </c>
    </row>
    <row r="478" spans="1:7" x14ac:dyDescent="0.25">
      <c r="A478" s="41" t="s">
        <v>55</v>
      </c>
      <c r="B478" s="84">
        <v>80</v>
      </c>
      <c r="C478" s="79">
        <v>10</v>
      </c>
      <c r="D478" s="3">
        <f t="shared" si="28"/>
        <v>10</v>
      </c>
      <c r="E478" s="3" t="str">
        <f t="shared" si="29"/>
        <v/>
      </c>
      <c r="F478" s="3" t="str">
        <f t="shared" si="30"/>
        <v/>
      </c>
      <c r="G478" s="3" t="str">
        <f t="shared" si="31"/>
        <v/>
      </c>
    </row>
    <row r="479" spans="1:7" x14ac:dyDescent="0.25">
      <c r="A479" s="41" t="s">
        <v>55</v>
      </c>
      <c r="B479" s="84">
        <v>80</v>
      </c>
      <c r="C479" s="79">
        <v>10</v>
      </c>
      <c r="D479" s="3">
        <f t="shared" si="28"/>
        <v>10</v>
      </c>
      <c r="E479" s="3" t="str">
        <f t="shared" si="29"/>
        <v/>
      </c>
      <c r="F479" s="3" t="str">
        <f t="shared" si="30"/>
        <v/>
      </c>
      <c r="G479" s="3" t="str">
        <f t="shared" si="31"/>
        <v/>
      </c>
    </row>
    <row r="480" spans="1:7" x14ac:dyDescent="0.25">
      <c r="A480" s="41" t="s">
        <v>55</v>
      </c>
      <c r="B480" s="84">
        <v>80</v>
      </c>
      <c r="C480" s="79">
        <v>9</v>
      </c>
      <c r="D480" s="3">
        <f t="shared" si="28"/>
        <v>9</v>
      </c>
      <c r="E480" s="3" t="str">
        <f t="shared" si="29"/>
        <v/>
      </c>
      <c r="F480" s="3" t="str">
        <f t="shared" si="30"/>
        <v/>
      </c>
      <c r="G480" s="3" t="str">
        <f t="shared" si="31"/>
        <v/>
      </c>
    </row>
    <row r="481" spans="1:7" x14ac:dyDescent="0.25">
      <c r="A481" s="41" t="s">
        <v>55</v>
      </c>
      <c r="B481" s="84">
        <v>240</v>
      </c>
      <c r="C481" s="79">
        <v>8</v>
      </c>
      <c r="D481" s="3">
        <f t="shared" si="28"/>
        <v>8</v>
      </c>
      <c r="E481" s="3" t="str">
        <f t="shared" si="29"/>
        <v/>
      </c>
      <c r="F481" s="3" t="str">
        <f t="shared" si="30"/>
        <v/>
      </c>
      <c r="G481" s="3" t="str">
        <f t="shared" si="31"/>
        <v/>
      </c>
    </row>
    <row r="482" spans="1:7" x14ac:dyDescent="0.25">
      <c r="A482" s="41" t="s">
        <v>55</v>
      </c>
      <c r="B482" s="84">
        <v>80</v>
      </c>
      <c r="C482" s="79">
        <v>10</v>
      </c>
      <c r="D482" s="3">
        <f t="shared" si="28"/>
        <v>10</v>
      </c>
      <c r="E482" s="3" t="str">
        <f t="shared" si="29"/>
        <v/>
      </c>
      <c r="F482" s="3" t="str">
        <f t="shared" si="30"/>
        <v/>
      </c>
      <c r="G482" s="3" t="str">
        <f t="shared" si="31"/>
        <v/>
      </c>
    </row>
    <row r="483" spans="1:7" x14ac:dyDescent="0.25">
      <c r="A483" s="41" t="s">
        <v>55</v>
      </c>
      <c r="B483" s="84">
        <v>100</v>
      </c>
      <c r="C483" s="79">
        <v>10</v>
      </c>
      <c r="D483" s="3">
        <f t="shared" si="28"/>
        <v>10</v>
      </c>
      <c r="E483" s="3" t="str">
        <f t="shared" si="29"/>
        <v/>
      </c>
      <c r="F483" s="3" t="str">
        <f t="shared" si="30"/>
        <v/>
      </c>
      <c r="G483" s="3" t="str">
        <f t="shared" si="31"/>
        <v/>
      </c>
    </row>
    <row r="484" spans="1:7" x14ac:dyDescent="0.25">
      <c r="A484" s="41" t="s">
        <v>55</v>
      </c>
      <c r="B484" s="84">
        <v>80</v>
      </c>
      <c r="C484" s="79">
        <v>10</v>
      </c>
      <c r="D484" s="3">
        <f t="shared" si="28"/>
        <v>10</v>
      </c>
      <c r="E484" s="3" t="str">
        <f t="shared" si="29"/>
        <v/>
      </c>
      <c r="F484" s="3" t="str">
        <f t="shared" si="30"/>
        <v/>
      </c>
      <c r="G484" s="3" t="str">
        <f t="shared" si="31"/>
        <v/>
      </c>
    </row>
    <row r="485" spans="1:7" x14ac:dyDescent="0.25">
      <c r="A485" s="41" t="s">
        <v>55</v>
      </c>
      <c r="B485" s="84">
        <v>50</v>
      </c>
      <c r="C485" s="79">
        <v>10</v>
      </c>
      <c r="D485" s="3">
        <f t="shared" si="28"/>
        <v>10</v>
      </c>
      <c r="E485" s="3" t="str">
        <f t="shared" si="29"/>
        <v/>
      </c>
      <c r="F485" s="3" t="str">
        <f t="shared" si="30"/>
        <v/>
      </c>
      <c r="G485" s="3" t="str">
        <f t="shared" si="31"/>
        <v/>
      </c>
    </row>
    <row r="486" spans="1:7" x14ac:dyDescent="0.25">
      <c r="A486" s="41" t="s">
        <v>55</v>
      </c>
      <c r="B486" s="84">
        <v>80</v>
      </c>
      <c r="C486" s="79">
        <v>10</v>
      </c>
      <c r="D486" s="3">
        <f t="shared" si="28"/>
        <v>10</v>
      </c>
      <c r="E486" s="3" t="str">
        <f t="shared" si="29"/>
        <v/>
      </c>
      <c r="F486" s="3" t="str">
        <f t="shared" si="30"/>
        <v/>
      </c>
      <c r="G486" s="3" t="str">
        <f t="shared" si="31"/>
        <v/>
      </c>
    </row>
    <row r="487" spans="1:7" x14ac:dyDescent="0.25">
      <c r="A487" s="41" t="s">
        <v>55</v>
      </c>
      <c r="B487" s="84">
        <v>80</v>
      </c>
      <c r="C487" s="79">
        <v>10</v>
      </c>
      <c r="D487" s="3">
        <f t="shared" si="28"/>
        <v>10</v>
      </c>
      <c r="E487" s="3" t="str">
        <f t="shared" si="29"/>
        <v/>
      </c>
      <c r="F487" s="3" t="str">
        <f t="shared" si="30"/>
        <v/>
      </c>
      <c r="G487" s="3" t="str">
        <f t="shared" si="31"/>
        <v/>
      </c>
    </row>
    <row r="488" spans="1:7" x14ac:dyDescent="0.25">
      <c r="A488" s="41" t="s">
        <v>55</v>
      </c>
      <c r="B488" s="84">
        <v>200</v>
      </c>
      <c r="C488" s="79">
        <v>10</v>
      </c>
      <c r="D488" s="3">
        <f t="shared" si="28"/>
        <v>10</v>
      </c>
      <c r="E488" s="3" t="str">
        <f t="shared" si="29"/>
        <v/>
      </c>
      <c r="F488" s="3" t="str">
        <f t="shared" si="30"/>
        <v/>
      </c>
      <c r="G488" s="3" t="str">
        <f t="shared" si="31"/>
        <v/>
      </c>
    </row>
    <row r="489" spans="1:7" x14ac:dyDescent="0.25">
      <c r="A489" s="41" t="s">
        <v>55</v>
      </c>
      <c r="B489" s="84">
        <v>160</v>
      </c>
      <c r="C489" s="79">
        <v>10</v>
      </c>
      <c r="D489" s="3">
        <f t="shared" si="28"/>
        <v>10</v>
      </c>
      <c r="E489" s="3" t="str">
        <f t="shared" si="29"/>
        <v/>
      </c>
      <c r="F489" s="3" t="str">
        <f t="shared" si="30"/>
        <v/>
      </c>
      <c r="G489" s="3" t="str">
        <f t="shared" si="31"/>
        <v/>
      </c>
    </row>
    <row r="490" spans="1:7" x14ac:dyDescent="0.25">
      <c r="A490" s="41" t="s">
        <v>55</v>
      </c>
      <c r="B490" s="84">
        <v>50</v>
      </c>
      <c r="C490" s="79">
        <v>10</v>
      </c>
      <c r="D490" s="3">
        <f t="shared" si="28"/>
        <v>10</v>
      </c>
      <c r="E490" s="3" t="str">
        <f t="shared" si="29"/>
        <v/>
      </c>
      <c r="F490" s="3" t="str">
        <f t="shared" si="30"/>
        <v/>
      </c>
      <c r="G490" s="3" t="str">
        <f t="shared" si="31"/>
        <v/>
      </c>
    </row>
    <row r="491" spans="1:7" x14ac:dyDescent="0.25">
      <c r="A491" s="41" t="s">
        <v>55</v>
      </c>
      <c r="B491" s="84">
        <v>320</v>
      </c>
      <c r="C491" s="79">
        <v>10</v>
      </c>
      <c r="D491" s="3">
        <f t="shared" si="28"/>
        <v>10</v>
      </c>
      <c r="E491" s="3" t="str">
        <f t="shared" si="29"/>
        <v/>
      </c>
      <c r="F491" s="3" t="str">
        <f t="shared" si="30"/>
        <v/>
      </c>
      <c r="G491" s="3" t="str">
        <f t="shared" si="31"/>
        <v/>
      </c>
    </row>
    <row r="492" spans="1:7" x14ac:dyDescent="0.25">
      <c r="A492" s="41" t="s">
        <v>55</v>
      </c>
      <c r="B492" s="84">
        <v>80</v>
      </c>
      <c r="C492" s="79">
        <v>10</v>
      </c>
      <c r="D492" s="3">
        <f t="shared" si="28"/>
        <v>10</v>
      </c>
      <c r="E492" s="3" t="str">
        <f t="shared" si="29"/>
        <v/>
      </c>
      <c r="F492" s="3" t="str">
        <f t="shared" si="30"/>
        <v/>
      </c>
      <c r="G492" s="3" t="str">
        <f t="shared" si="31"/>
        <v/>
      </c>
    </row>
    <row r="493" spans="1:7" x14ac:dyDescent="0.25">
      <c r="A493" s="41" t="s">
        <v>55</v>
      </c>
      <c r="B493" s="84">
        <v>80</v>
      </c>
      <c r="C493" s="79">
        <v>10</v>
      </c>
      <c r="D493" s="3">
        <f t="shared" si="28"/>
        <v>10</v>
      </c>
      <c r="E493" s="3" t="str">
        <f t="shared" si="29"/>
        <v/>
      </c>
      <c r="F493" s="3" t="str">
        <f t="shared" si="30"/>
        <v/>
      </c>
      <c r="G493" s="3" t="str">
        <f t="shared" si="31"/>
        <v/>
      </c>
    </row>
    <row r="494" spans="1:7" x14ac:dyDescent="0.25">
      <c r="A494" s="41" t="s">
        <v>55</v>
      </c>
      <c r="B494" s="84">
        <v>100</v>
      </c>
      <c r="C494" s="79">
        <v>10</v>
      </c>
      <c r="D494" s="3">
        <f t="shared" si="28"/>
        <v>10</v>
      </c>
      <c r="E494" s="3" t="str">
        <f t="shared" si="29"/>
        <v/>
      </c>
      <c r="F494" s="3" t="str">
        <f t="shared" si="30"/>
        <v/>
      </c>
      <c r="G494" s="3" t="str">
        <f t="shared" si="31"/>
        <v/>
      </c>
    </row>
    <row r="495" spans="1:7" x14ac:dyDescent="0.25">
      <c r="A495" s="41" t="s">
        <v>55</v>
      </c>
      <c r="B495" s="84">
        <v>50</v>
      </c>
      <c r="C495" s="79">
        <v>10</v>
      </c>
      <c r="D495" s="3">
        <f t="shared" si="28"/>
        <v>10</v>
      </c>
      <c r="E495" s="3" t="str">
        <f t="shared" si="29"/>
        <v/>
      </c>
      <c r="F495" s="3" t="str">
        <f t="shared" si="30"/>
        <v/>
      </c>
      <c r="G495" s="3" t="str">
        <f t="shared" si="31"/>
        <v/>
      </c>
    </row>
    <row r="496" spans="1:7" x14ac:dyDescent="0.25">
      <c r="A496" s="41" t="s">
        <v>55</v>
      </c>
      <c r="B496" s="84">
        <v>240</v>
      </c>
      <c r="C496" s="79">
        <v>10</v>
      </c>
      <c r="D496" s="3">
        <f t="shared" si="28"/>
        <v>10</v>
      </c>
      <c r="E496" s="3" t="str">
        <f t="shared" si="29"/>
        <v/>
      </c>
      <c r="F496" s="3" t="str">
        <f t="shared" si="30"/>
        <v/>
      </c>
      <c r="G496" s="3" t="str">
        <f t="shared" si="31"/>
        <v/>
      </c>
    </row>
    <row r="497" spans="1:7" x14ac:dyDescent="0.25">
      <c r="A497" s="41" t="s">
        <v>55</v>
      </c>
      <c r="B497" s="84">
        <v>100</v>
      </c>
      <c r="C497" s="79">
        <v>10</v>
      </c>
      <c r="D497" s="3">
        <f t="shared" si="28"/>
        <v>10</v>
      </c>
      <c r="E497" s="3" t="str">
        <f t="shared" si="29"/>
        <v/>
      </c>
      <c r="F497" s="3" t="str">
        <f t="shared" si="30"/>
        <v/>
      </c>
      <c r="G497" s="3" t="str">
        <f t="shared" si="31"/>
        <v/>
      </c>
    </row>
    <row r="498" spans="1:7" x14ac:dyDescent="0.25">
      <c r="A498" s="41" t="s">
        <v>55</v>
      </c>
      <c r="B498" s="84">
        <v>1235</v>
      </c>
      <c r="C498" s="79">
        <v>10</v>
      </c>
      <c r="D498" s="3" t="str">
        <f t="shared" si="28"/>
        <v/>
      </c>
      <c r="E498" s="3">
        <f t="shared" si="29"/>
        <v>10</v>
      </c>
      <c r="F498" s="3" t="str">
        <f t="shared" si="30"/>
        <v/>
      </c>
      <c r="G498" s="3" t="str">
        <f t="shared" si="31"/>
        <v/>
      </c>
    </row>
    <row r="499" spans="1:7" x14ac:dyDescent="0.25">
      <c r="A499" s="41" t="s">
        <v>55</v>
      </c>
      <c r="B499" s="84">
        <v>20</v>
      </c>
      <c r="C499" s="79">
        <v>10</v>
      </c>
      <c r="D499" s="3">
        <f t="shared" si="28"/>
        <v>10</v>
      </c>
      <c r="E499" s="3" t="str">
        <f t="shared" si="29"/>
        <v/>
      </c>
      <c r="F499" s="3" t="str">
        <f t="shared" si="30"/>
        <v/>
      </c>
      <c r="G499" s="3" t="str">
        <f t="shared" si="31"/>
        <v/>
      </c>
    </row>
    <row r="500" spans="1:7" x14ac:dyDescent="0.25">
      <c r="A500" s="41" t="s">
        <v>55</v>
      </c>
      <c r="B500" s="84">
        <v>15</v>
      </c>
      <c r="C500" s="79">
        <v>9</v>
      </c>
      <c r="D500" s="3">
        <f t="shared" si="28"/>
        <v>9</v>
      </c>
      <c r="E500" s="3" t="str">
        <f t="shared" si="29"/>
        <v/>
      </c>
      <c r="F500" s="3" t="str">
        <f t="shared" si="30"/>
        <v/>
      </c>
      <c r="G500" s="3" t="str">
        <f t="shared" si="31"/>
        <v/>
      </c>
    </row>
    <row r="501" spans="1:7" x14ac:dyDescent="0.25">
      <c r="A501" s="41" t="s">
        <v>55</v>
      </c>
      <c r="B501" s="84">
        <v>80</v>
      </c>
      <c r="C501" s="79">
        <v>10</v>
      </c>
      <c r="D501" s="3">
        <f t="shared" si="28"/>
        <v>10</v>
      </c>
      <c r="E501" s="3" t="str">
        <f t="shared" si="29"/>
        <v/>
      </c>
      <c r="F501" s="3" t="str">
        <f t="shared" si="30"/>
        <v/>
      </c>
      <c r="G501" s="3" t="str">
        <f t="shared" si="31"/>
        <v/>
      </c>
    </row>
    <row r="502" spans="1:7" x14ac:dyDescent="0.25">
      <c r="A502" s="41" t="s">
        <v>55</v>
      </c>
      <c r="B502" s="84">
        <v>80</v>
      </c>
      <c r="C502" s="79">
        <v>6</v>
      </c>
      <c r="D502" s="3">
        <f t="shared" si="28"/>
        <v>6</v>
      </c>
      <c r="E502" s="3" t="str">
        <f t="shared" si="29"/>
        <v/>
      </c>
      <c r="F502" s="3" t="str">
        <f t="shared" si="30"/>
        <v/>
      </c>
      <c r="G502" s="3" t="str">
        <f t="shared" si="31"/>
        <v/>
      </c>
    </row>
    <row r="503" spans="1:7" x14ac:dyDescent="0.25">
      <c r="A503" s="41" t="s">
        <v>55</v>
      </c>
      <c r="B503" s="84">
        <v>240</v>
      </c>
      <c r="C503" s="79">
        <v>10</v>
      </c>
      <c r="D503" s="3">
        <f t="shared" si="28"/>
        <v>10</v>
      </c>
      <c r="E503" s="3" t="str">
        <f t="shared" si="29"/>
        <v/>
      </c>
      <c r="F503" s="3" t="str">
        <f t="shared" si="30"/>
        <v/>
      </c>
      <c r="G503" s="3" t="str">
        <f t="shared" si="31"/>
        <v/>
      </c>
    </row>
    <row r="504" spans="1:7" x14ac:dyDescent="0.25">
      <c r="A504" s="41" t="s">
        <v>55</v>
      </c>
      <c r="B504" s="84">
        <v>80</v>
      </c>
      <c r="C504" s="79">
        <v>9</v>
      </c>
      <c r="D504" s="3">
        <f t="shared" si="28"/>
        <v>9</v>
      </c>
      <c r="E504" s="3" t="str">
        <f t="shared" si="29"/>
        <v/>
      </c>
      <c r="F504" s="3" t="str">
        <f t="shared" si="30"/>
        <v/>
      </c>
      <c r="G504" s="3" t="str">
        <f t="shared" si="31"/>
        <v/>
      </c>
    </row>
    <row r="505" spans="1:7" x14ac:dyDescent="0.25">
      <c r="A505" s="41" t="s">
        <v>55</v>
      </c>
      <c r="B505" s="84">
        <v>80</v>
      </c>
      <c r="C505" s="79">
        <v>10</v>
      </c>
      <c r="D505" s="3">
        <f t="shared" si="28"/>
        <v>10</v>
      </c>
      <c r="E505" s="3" t="str">
        <f t="shared" si="29"/>
        <v/>
      </c>
      <c r="F505" s="3" t="str">
        <f t="shared" si="30"/>
        <v/>
      </c>
      <c r="G505" s="3" t="str">
        <f t="shared" si="31"/>
        <v/>
      </c>
    </row>
    <row r="506" spans="1:7" x14ac:dyDescent="0.25">
      <c r="A506" s="41" t="s">
        <v>55</v>
      </c>
      <c r="B506" s="84">
        <v>80</v>
      </c>
      <c r="C506" s="79">
        <v>10</v>
      </c>
      <c r="D506" s="3">
        <f t="shared" si="28"/>
        <v>10</v>
      </c>
      <c r="E506" s="3" t="str">
        <f t="shared" si="29"/>
        <v/>
      </c>
      <c r="F506" s="3" t="str">
        <f t="shared" si="30"/>
        <v/>
      </c>
      <c r="G506" s="3" t="str">
        <f t="shared" si="31"/>
        <v/>
      </c>
    </row>
    <row r="507" spans="1:7" x14ac:dyDescent="0.25">
      <c r="A507" s="41" t="s">
        <v>55</v>
      </c>
      <c r="B507" s="84">
        <v>80</v>
      </c>
      <c r="C507" s="79">
        <v>10</v>
      </c>
      <c r="D507" s="3">
        <f t="shared" si="28"/>
        <v>10</v>
      </c>
      <c r="E507" s="3" t="str">
        <f t="shared" si="29"/>
        <v/>
      </c>
      <c r="F507" s="3" t="str">
        <f t="shared" si="30"/>
        <v/>
      </c>
      <c r="G507" s="3" t="str">
        <f t="shared" si="31"/>
        <v/>
      </c>
    </row>
    <row r="508" spans="1:7" x14ac:dyDescent="0.25">
      <c r="A508" s="41" t="s">
        <v>55</v>
      </c>
      <c r="B508" s="84">
        <v>80</v>
      </c>
      <c r="C508" s="79">
        <v>10</v>
      </c>
      <c r="D508" s="3">
        <f t="shared" si="28"/>
        <v>10</v>
      </c>
      <c r="E508" s="3" t="str">
        <f t="shared" si="29"/>
        <v/>
      </c>
      <c r="F508" s="3" t="str">
        <f t="shared" si="30"/>
        <v/>
      </c>
      <c r="G508" s="3" t="str">
        <f t="shared" si="31"/>
        <v/>
      </c>
    </row>
    <row r="509" spans="1:7" x14ac:dyDescent="0.25">
      <c r="A509" s="41" t="s">
        <v>55</v>
      </c>
      <c r="B509" s="84">
        <v>80</v>
      </c>
      <c r="C509" s="79">
        <v>10</v>
      </c>
      <c r="D509" s="3">
        <f t="shared" si="28"/>
        <v>10</v>
      </c>
      <c r="E509" s="3" t="str">
        <f t="shared" si="29"/>
        <v/>
      </c>
      <c r="F509" s="3" t="str">
        <f t="shared" si="30"/>
        <v/>
      </c>
      <c r="G509" s="3" t="str">
        <f t="shared" si="31"/>
        <v/>
      </c>
    </row>
    <row r="510" spans="1:7" x14ac:dyDescent="0.25">
      <c r="A510" s="41" t="s">
        <v>55</v>
      </c>
      <c r="B510" s="84">
        <v>80</v>
      </c>
      <c r="C510" s="79">
        <v>10</v>
      </c>
      <c r="D510" s="3">
        <f t="shared" si="28"/>
        <v>10</v>
      </c>
      <c r="E510" s="3" t="str">
        <f t="shared" si="29"/>
        <v/>
      </c>
      <c r="F510" s="3" t="str">
        <f t="shared" si="30"/>
        <v/>
      </c>
      <c r="G510" s="3" t="str">
        <f t="shared" si="31"/>
        <v/>
      </c>
    </row>
    <row r="511" spans="1:7" x14ac:dyDescent="0.25">
      <c r="A511" s="41" t="s">
        <v>55</v>
      </c>
      <c r="B511" s="84">
        <v>1800</v>
      </c>
      <c r="C511" s="79" t="s">
        <v>27</v>
      </c>
      <c r="D511" s="3" t="str">
        <f t="shared" si="28"/>
        <v/>
      </c>
      <c r="E511" s="3" t="str">
        <f t="shared" si="29"/>
        <v/>
      </c>
      <c r="F511" s="3" t="str">
        <f t="shared" si="30"/>
        <v/>
      </c>
      <c r="G511" s="3" t="str">
        <f t="shared" si="31"/>
        <v/>
      </c>
    </row>
    <row r="512" spans="1:7" x14ac:dyDescent="0.25">
      <c r="A512" s="41" t="s">
        <v>55</v>
      </c>
      <c r="B512" s="84">
        <v>200</v>
      </c>
      <c r="C512" s="79">
        <v>10</v>
      </c>
      <c r="D512" s="3">
        <f t="shared" si="28"/>
        <v>10</v>
      </c>
      <c r="E512" s="3" t="str">
        <f t="shared" si="29"/>
        <v/>
      </c>
      <c r="F512" s="3" t="str">
        <f t="shared" si="30"/>
        <v/>
      </c>
      <c r="G512" s="3" t="str">
        <f t="shared" si="31"/>
        <v/>
      </c>
    </row>
    <row r="513" spans="1:7" x14ac:dyDescent="0.25">
      <c r="A513" s="41" t="s">
        <v>55</v>
      </c>
      <c r="B513" s="84">
        <v>795</v>
      </c>
      <c r="C513" s="79">
        <v>9</v>
      </c>
      <c r="D513" s="3">
        <f t="shared" si="28"/>
        <v>9</v>
      </c>
      <c r="E513" s="3" t="str">
        <f t="shared" si="29"/>
        <v/>
      </c>
      <c r="F513" s="3" t="str">
        <f t="shared" si="30"/>
        <v/>
      </c>
      <c r="G513" s="3" t="str">
        <f t="shared" si="31"/>
        <v/>
      </c>
    </row>
    <row r="514" spans="1:7" x14ac:dyDescent="0.25">
      <c r="A514" s="41" t="s">
        <v>55</v>
      </c>
      <c r="B514" s="84">
        <v>1595</v>
      </c>
      <c r="C514" s="79">
        <v>10</v>
      </c>
      <c r="D514" s="3" t="str">
        <f t="shared" si="28"/>
        <v/>
      </c>
      <c r="E514" s="3">
        <f t="shared" si="29"/>
        <v>10</v>
      </c>
      <c r="F514" s="3" t="str">
        <f t="shared" si="30"/>
        <v/>
      </c>
      <c r="G514" s="3" t="str">
        <f t="shared" si="31"/>
        <v/>
      </c>
    </row>
    <row r="515" spans="1:7" x14ac:dyDescent="0.25">
      <c r="A515" s="41" t="s">
        <v>55</v>
      </c>
      <c r="B515" s="84">
        <v>385</v>
      </c>
      <c r="C515" s="79">
        <v>10</v>
      </c>
      <c r="D515" s="3">
        <f t="shared" ref="D515:D578" si="32">IF(AND(B515&gt;0,B515&lt;1000),C515,"")</f>
        <v>10</v>
      </c>
      <c r="E515" s="3" t="str">
        <f t="shared" ref="E515:E578" si="33">IF(AND(B515&gt;1000,B515&lt;2500),C515,"")</f>
        <v/>
      </c>
      <c r="F515" s="3" t="str">
        <f t="shared" ref="F515:F578" si="34">IF(AND(B515&gt;2500,B515&lt;5000),C515,"")</f>
        <v/>
      </c>
      <c r="G515" s="3" t="str">
        <f t="shared" ref="G515:G578" si="35">IF(B515&gt;=5000,C515,"")</f>
        <v/>
      </c>
    </row>
    <row r="516" spans="1:7" x14ac:dyDescent="0.25">
      <c r="A516" s="41" t="s">
        <v>55</v>
      </c>
      <c r="B516" s="84">
        <v>15</v>
      </c>
      <c r="C516" s="79">
        <v>9</v>
      </c>
      <c r="D516" s="3">
        <f t="shared" si="32"/>
        <v>9</v>
      </c>
      <c r="E516" s="3" t="str">
        <f t="shared" si="33"/>
        <v/>
      </c>
      <c r="F516" s="3" t="str">
        <f t="shared" si="34"/>
        <v/>
      </c>
      <c r="G516" s="3" t="str">
        <f t="shared" si="35"/>
        <v/>
      </c>
    </row>
    <row r="517" spans="1:7" x14ac:dyDescent="0.25">
      <c r="A517" s="41" t="s">
        <v>55</v>
      </c>
      <c r="B517" s="84">
        <v>3855</v>
      </c>
      <c r="C517" s="79">
        <v>10</v>
      </c>
      <c r="D517" s="3" t="str">
        <f t="shared" si="32"/>
        <v/>
      </c>
      <c r="E517" s="3" t="str">
        <f t="shared" si="33"/>
        <v/>
      </c>
      <c r="F517" s="3">
        <f t="shared" si="34"/>
        <v>10</v>
      </c>
      <c r="G517" s="3" t="str">
        <f t="shared" si="35"/>
        <v/>
      </c>
    </row>
    <row r="518" spans="1:7" x14ac:dyDescent="0.25">
      <c r="A518" s="41" t="s">
        <v>55</v>
      </c>
      <c r="B518" s="84">
        <v>580</v>
      </c>
      <c r="C518" s="79">
        <v>9</v>
      </c>
      <c r="D518" s="3">
        <f t="shared" si="32"/>
        <v>9</v>
      </c>
      <c r="E518" s="3" t="str">
        <f t="shared" si="33"/>
        <v/>
      </c>
      <c r="F518" s="3" t="str">
        <f t="shared" si="34"/>
        <v/>
      </c>
      <c r="G518" s="3" t="str">
        <f t="shared" si="35"/>
        <v/>
      </c>
    </row>
    <row r="519" spans="1:7" x14ac:dyDescent="0.25">
      <c r="A519" s="41" t="s">
        <v>55</v>
      </c>
      <c r="B519" s="84">
        <v>2700</v>
      </c>
      <c r="C519" s="79" t="s">
        <v>27</v>
      </c>
      <c r="D519" s="3" t="str">
        <f t="shared" si="32"/>
        <v/>
      </c>
      <c r="E519" s="3" t="str">
        <f t="shared" si="33"/>
        <v/>
      </c>
      <c r="F519" s="3" t="str">
        <f t="shared" si="34"/>
        <v/>
      </c>
      <c r="G519" s="3" t="str">
        <f t="shared" si="35"/>
        <v/>
      </c>
    </row>
    <row r="520" spans="1:7" x14ac:dyDescent="0.25">
      <c r="A520" s="41" t="s">
        <v>55</v>
      </c>
      <c r="B520" s="84">
        <v>80</v>
      </c>
      <c r="C520" s="79">
        <v>6</v>
      </c>
      <c r="D520" s="3">
        <f t="shared" si="32"/>
        <v>6</v>
      </c>
      <c r="E520" s="3" t="str">
        <f t="shared" si="33"/>
        <v/>
      </c>
      <c r="F520" s="3" t="str">
        <f t="shared" si="34"/>
        <v/>
      </c>
      <c r="G520" s="3" t="str">
        <f t="shared" si="35"/>
        <v/>
      </c>
    </row>
    <row r="521" spans="1:7" x14ac:dyDescent="0.25">
      <c r="A521" s="41" t="s">
        <v>55</v>
      </c>
      <c r="B521" s="84">
        <v>80</v>
      </c>
      <c r="C521" s="79">
        <v>8</v>
      </c>
      <c r="D521" s="3">
        <f t="shared" si="32"/>
        <v>8</v>
      </c>
      <c r="E521" s="3" t="str">
        <f t="shared" si="33"/>
        <v/>
      </c>
      <c r="F521" s="3" t="str">
        <f t="shared" si="34"/>
        <v/>
      </c>
      <c r="G521" s="3" t="str">
        <f t="shared" si="35"/>
        <v/>
      </c>
    </row>
    <row r="522" spans="1:7" x14ac:dyDescent="0.25">
      <c r="A522" s="41" t="s">
        <v>55</v>
      </c>
      <c r="B522" s="84">
        <v>385</v>
      </c>
      <c r="C522" s="79">
        <v>10</v>
      </c>
      <c r="D522" s="3">
        <f t="shared" si="32"/>
        <v>10</v>
      </c>
      <c r="E522" s="3" t="str">
        <f t="shared" si="33"/>
        <v/>
      </c>
      <c r="F522" s="3" t="str">
        <f t="shared" si="34"/>
        <v/>
      </c>
      <c r="G522" s="3" t="str">
        <f t="shared" si="35"/>
        <v/>
      </c>
    </row>
    <row r="523" spans="1:7" x14ac:dyDescent="0.25">
      <c r="A523" s="41" t="s">
        <v>55</v>
      </c>
      <c r="B523" s="84">
        <v>15</v>
      </c>
      <c r="C523" s="79">
        <v>6</v>
      </c>
      <c r="D523" s="3">
        <f t="shared" si="32"/>
        <v>6</v>
      </c>
      <c r="E523" s="3" t="str">
        <f t="shared" si="33"/>
        <v/>
      </c>
      <c r="F523" s="3" t="str">
        <f t="shared" si="34"/>
        <v/>
      </c>
      <c r="G523" s="3" t="str">
        <f t="shared" si="35"/>
        <v/>
      </c>
    </row>
    <row r="524" spans="1:7" x14ac:dyDescent="0.25">
      <c r="A524" s="41" t="s">
        <v>55</v>
      </c>
      <c r="B524" s="84">
        <v>2280</v>
      </c>
      <c r="C524" s="79">
        <v>10</v>
      </c>
      <c r="D524" s="3" t="str">
        <f t="shared" si="32"/>
        <v/>
      </c>
      <c r="E524" s="3">
        <f t="shared" si="33"/>
        <v>10</v>
      </c>
      <c r="F524" s="3" t="str">
        <f t="shared" si="34"/>
        <v/>
      </c>
      <c r="G524" s="3" t="str">
        <f t="shared" si="35"/>
        <v/>
      </c>
    </row>
    <row r="525" spans="1:7" x14ac:dyDescent="0.25">
      <c r="A525" s="41" t="s">
        <v>55</v>
      </c>
      <c r="B525" s="84">
        <v>80</v>
      </c>
      <c r="C525" s="79">
        <v>7</v>
      </c>
      <c r="D525" s="3">
        <f t="shared" si="32"/>
        <v>7</v>
      </c>
      <c r="E525" s="3" t="str">
        <f t="shared" si="33"/>
        <v/>
      </c>
      <c r="F525" s="3" t="str">
        <f t="shared" si="34"/>
        <v/>
      </c>
      <c r="G525" s="3" t="str">
        <f t="shared" si="35"/>
        <v/>
      </c>
    </row>
    <row r="526" spans="1:7" x14ac:dyDescent="0.25">
      <c r="A526" s="41" t="s">
        <v>55</v>
      </c>
      <c r="B526" s="84">
        <v>80</v>
      </c>
      <c r="C526" s="79">
        <v>8</v>
      </c>
      <c r="D526" s="3">
        <f t="shared" si="32"/>
        <v>8</v>
      </c>
      <c r="E526" s="3" t="str">
        <f t="shared" si="33"/>
        <v/>
      </c>
      <c r="F526" s="3" t="str">
        <f t="shared" si="34"/>
        <v/>
      </c>
      <c r="G526" s="3" t="str">
        <f t="shared" si="35"/>
        <v/>
      </c>
    </row>
    <row r="527" spans="1:7" x14ac:dyDescent="0.25">
      <c r="A527" s="41" t="s">
        <v>55</v>
      </c>
      <c r="B527" s="84">
        <v>100</v>
      </c>
      <c r="C527" s="79">
        <v>9</v>
      </c>
      <c r="D527" s="3">
        <f t="shared" si="32"/>
        <v>9</v>
      </c>
      <c r="E527" s="3" t="str">
        <f t="shared" si="33"/>
        <v/>
      </c>
      <c r="F527" s="3" t="str">
        <f t="shared" si="34"/>
        <v/>
      </c>
      <c r="G527" s="3" t="str">
        <f t="shared" si="35"/>
        <v/>
      </c>
    </row>
    <row r="528" spans="1:7" x14ac:dyDescent="0.25">
      <c r="A528" s="41" t="s">
        <v>55</v>
      </c>
      <c r="B528" s="84">
        <v>160</v>
      </c>
      <c r="C528" s="79">
        <v>8</v>
      </c>
      <c r="D528" s="3">
        <f t="shared" si="32"/>
        <v>8</v>
      </c>
      <c r="E528" s="3" t="str">
        <f t="shared" si="33"/>
        <v/>
      </c>
      <c r="F528" s="3" t="str">
        <f t="shared" si="34"/>
        <v/>
      </c>
      <c r="G528" s="3" t="str">
        <f t="shared" si="35"/>
        <v/>
      </c>
    </row>
    <row r="529" spans="1:7" x14ac:dyDescent="0.25">
      <c r="A529" s="41" t="s">
        <v>55</v>
      </c>
      <c r="B529" s="84">
        <v>80</v>
      </c>
      <c r="C529" s="79">
        <v>7</v>
      </c>
      <c r="D529" s="3">
        <f t="shared" si="32"/>
        <v>7</v>
      </c>
      <c r="E529" s="3" t="str">
        <f t="shared" si="33"/>
        <v/>
      </c>
      <c r="F529" s="3" t="str">
        <f t="shared" si="34"/>
        <v/>
      </c>
      <c r="G529" s="3" t="str">
        <f t="shared" si="35"/>
        <v/>
      </c>
    </row>
    <row r="530" spans="1:7" x14ac:dyDescent="0.25">
      <c r="A530" s="41" t="s">
        <v>55</v>
      </c>
      <c r="B530" s="84">
        <v>1735</v>
      </c>
      <c r="C530" s="79">
        <v>10</v>
      </c>
      <c r="D530" s="3" t="str">
        <f t="shared" si="32"/>
        <v/>
      </c>
      <c r="E530" s="3">
        <f t="shared" si="33"/>
        <v>10</v>
      </c>
      <c r="F530" s="3" t="str">
        <f t="shared" si="34"/>
        <v/>
      </c>
      <c r="G530" s="3" t="str">
        <f t="shared" si="35"/>
        <v/>
      </c>
    </row>
    <row r="531" spans="1:7" x14ac:dyDescent="0.25">
      <c r="A531" s="41" t="s">
        <v>55</v>
      </c>
      <c r="B531" s="84">
        <v>1800</v>
      </c>
      <c r="C531" s="79" t="s">
        <v>27</v>
      </c>
      <c r="D531" s="3" t="str">
        <f t="shared" si="32"/>
        <v/>
      </c>
      <c r="E531" s="3" t="str">
        <f t="shared" si="33"/>
        <v/>
      </c>
      <c r="F531" s="3" t="str">
        <f t="shared" si="34"/>
        <v/>
      </c>
      <c r="G531" s="3" t="str">
        <f t="shared" si="35"/>
        <v/>
      </c>
    </row>
    <row r="532" spans="1:7" x14ac:dyDescent="0.25">
      <c r="A532" s="41" t="s">
        <v>55</v>
      </c>
      <c r="B532" s="84">
        <v>1500</v>
      </c>
      <c r="C532" s="79" t="s">
        <v>27</v>
      </c>
      <c r="D532" s="3" t="str">
        <f t="shared" si="32"/>
        <v/>
      </c>
      <c r="E532" s="3" t="str">
        <f t="shared" si="33"/>
        <v/>
      </c>
      <c r="F532" s="3" t="str">
        <f t="shared" si="34"/>
        <v/>
      </c>
      <c r="G532" s="3" t="str">
        <f t="shared" si="35"/>
        <v/>
      </c>
    </row>
    <row r="533" spans="1:7" x14ac:dyDescent="0.25">
      <c r="A533" s="41" t="s">
        <v>55</v>
      </c>
      <c r="B533" s="84">
        <v>6000</v>
      </c>
      <c r="C533" s="79" t="s">
        <v>27</v>
      </c>
      <c r="D533" s="3" t="str">
        <f t="shared" si="32"/>
        <v/>
      </c>
      <c r="E533" s="3" t="str">
        <f t="shared" si="33"/>
        <v/>
      </c>
      <c r="F533" s="3" t="str">
        <f t="shared" si="34"/>
        <v/>
      </c>
      <c r="G533" s="3" t="str">
        <f t="shared" si="35"/>
        <v/>
      </c>
    </row>
    <row r="534" spans="1:7" x14ac:dyDescent="0.25">
      <c r="A534" s="41" t="s">
        <v>55</v>
      </c>
      <c r="B534" s="84">
        <v>8000</v>
      </c>
      <c r="C534" s="79">
        <v>10</v>
      </c>
      <c r="D534" s="3" t="str">
        <f t="shared" si="32"/>
        <v/>
      </c>
      <c r="E534" s="3" t="str">
        <f t="shared" si="33"/>
        <v/>
      </c>
      <c r="F534" s="3" t="str">
        <f t="shared" si="34"/>
        <v/>
      </c>
      <c r="G534" s="3">
        <f t="shared" si="35"/>
        <v>10</v>
      </c>
    </row>
    <row r="535" spans="1:7" x14ac:dyDescent="0.25">
      <c r="A535" s="41" t="s">
        <v>55</v>
      </c>
      <c r="B535" s="84">
        <v>240</v>
      </c>
      <c r="C535" s="79">
        <v>7</v>
      </c>
      <c r="D535" s="3">
        <f t="shared" si="32"/>
        <v>7</v>
      </c>
      <c r="E535" s="3" t="str">
        <f t="shared" si="33"/>
        <v/>
      </c>
      <c r="F535" s="3" t="str">
        <f t="shared" si="34"/>
        <v/>
      </c>
      <c r="G535" s="3" t="str">
        <f t="shared" si="35"/>
        <v/>
      </c>
    </row>
    <row r="536" spans="1:7" x14ac:dyDescent="0.25">
      <c r="A536" s="41" t="s">
        <v>55</v>
      </c>
      <c r="B536" s="84">
        <v>560</v>
      </c>
      <c r="C536" s="79">
        <v>10</v>
      </c>
      <c r="D536" s="3">
        <f t="shared" si="32"/>
        <v>10</v>
      </c>
      <c r="E536" s="3" t="str">
        <f t="shared" si="33"/>
        <v/>
      </c>
      <c r="F536" s="3" t="str">
        <f t="shared" si="34"/>
        <v/>
      </c>
      <c r="G536" s="3" t="str">
        <f t="shared" si="35"/>
        <v/>
      </c>
    </row>
    <row r="537" spans="1:7" x14ac:dyDescent="0.25">
      <c r="A537" s="41" t="s">
        <v>55</v>
      </c>
      <c r="B537" s="84">
        <v>720</v>
      </c>
      <c r="C537" s="79" t="s">
        <v>27</v>
      </c>
      <c r="D537" s="3" t="str">
        <f t="shared" si="32"/>
        <v/>
      </c>
      <c r="E537" s="3" t="str">
        <f t="shared" si="33"/>
        <v/>
      </c>
      <c r="F537" s="3" t="str">
        <f t="shared" si="34"/>
        <v/>
      </c>
      <c r="G537" s="3" t="str">
        <f t="shared" si="35"/>
        <v/>
      </c>
    </row>
    <row r="538" spans="1:7" x14ac:dyDescent="0.25">
      <c r="A538" s="41" t="s">
        <v>55</v>
      </c>
      <c r="B538" s="84">
        <v>530</v>
      </c>
      <c r="C538" s="79">
        <v>10</v>
      </c>
      <c r="D538" s="3">
        <f t="shared" si="32"/>
        <v>10</v>
      </c>
      <c r="E538" s="3" t="str">
        <f t="shared" si="33"/>
        <v/>
      </c>
      <c r="F538" s="3" t="str">
        <f t="shared" si="34"/>
        <v/>
      </c>
      <c r="G538" s="3" t="str">
        <f t="shared" si="35"/>
        <v/>
      </c>
    </row>
    <row r="539" spans="1:7" x14ac:dyDescent="0.25">
      <c r="A539" s="41" t="s">
        <v>154</v>
      </c>
      <c r="B539" s="84">
        <v>1100</v>
      </c>
      <c r="C539" s="79" t="s">
        <v>27</v>
      </c>
      <c r="D539" s="3" t="str">
        <f t="shared" si="32"/>
        <v/>
      </c>
      <c r="E539" s="3" t="str">
        <f t="shared" si="33"/>
        <v/>
      </c>
      <c r="F539" s="3" t="str">
        <f t="shared" si="34"/>
        <v/>
      </c>
      <c r="G539" s="3" t="str">
        <f t="shared" si="35"/>
        <v/>
      </c>
    </row>
    <row r="540" spans="1:7" x14ac:dyDescent="0.25">
      <c r="A540" s="41" t="s">
        <v>154</v>
      </c>
      <c r="B540" s="84">
        <v>5766</v>
      </c>
      <c r="C540" s="79" t="s">
        <v>27</v>
      </c>
      <c r="D540" s="3" t="str">
        <f t="shared" si="32"/>
        <v/>
      </c>
      <c r="E540" s="3" t="str">
        <f t="shared" si="33"/>
        <v/>
      </c>
      <c r="F540" s="3" t="str">
        <f t="shared" si="34"/>
        <v/>
      </c>
      <c r="G540" s="3" t="str">
        <f t="shared" si="35"/>
        <v/>
      </c>
    </row>
    <row r="541" spans="1:7" x14ac:dyDescent="0.25">
      <c r="A541" s="41" t="s">
        <v>154</v>
      </c>
      <c r="B541" s="84">
        <v>200</v>
      </c>
      <c r="C541" s="79" t="s">
        <v>27</v>
      </c>
      <c r="D541" s="3" t="str">
        <f t="shared" si="32"/>
        <v/>
      </c>
      <c r="E541" s="3" t="str">
        <f t="shared" si="33"/>
        <v/>
      </c>
      <c r="F541" s="3" t="str">
        <f t="shared" si="34"/>
        <v/>
      </c>
      <c r="G541" s="3" t="str">
        <f t="shared" si="35"/>
        <v/>
      </c>
    </row>
    <row r="542" spans="1:7" x14ac:dyDescent="0.25">
      <c r="A542" s="41" t="s">
        <v>72</v>
      </c>
      <c r="B542" s="84">
        <v>960</v>
      </c>
      <c r="C542" s="79" t="s">
        <v>27</v>
      </c>
      <c r="D542" s="3" t="str">
        <f t="shared" si="32"/>
        <v/>
      </c>
      <c r="E542" s="3" t="str">
        <f t="shared" si="33"/>
        <v/>
      </c>
      <c r="F542" s="3" t="str">
        <f t="shared" si="34"/>
        <v/>
      </c>
      <c r="G542" s="3" t="str">
        <f t="shared" si="35"/>
        <v/>
      </c>
    </row>
    <row r="543" spans="1:7" x14ac:dyDescent="0.25">
      <c r="A543" s="41" t="s">
        <v>72</v>
      </c>
      <c r="B543" s="84">
        <v>1290</v>
      </c>
      <c r="C543" s="79" t="s">
        <v>27</v>
      </c>
      <c r="D543" s="3" t="str">
        <f t="shared" si="32"/>
        <v/>
      </c>
      <c r="E543" s="3" t="str">
        <f t="shared" si="33"/>
        <v/>
      </c>
      <c r="F543" s="3" t="str">
        <f t="shared" si="34"/>
        <v/>
      </c>
      <c r="G543" s="3" t="str">
        <f t="shared" si="35"/>
        <v/>
      </c>
    </row>
    <row r="544" spans="1:7" x14ac:dyDescent="0.25">
      <c r="A544" s="41" t="s">
        <v>76</v>
      </c>
      <c r="B544" s="84">
        <v>1</v>
      </c>
      <c r="C544" s="79">
        <v>10</v>
      </c>
      <c r="D544" s="3">
        <f t="shared" si="32"/>
        <v>10</v>
      </c>
      <c r="E544" s="3" t="str">
        <f t="shared" si="33"/>
        <v/>
      </c>
      <c r="F544" s="3" t="str">
        <f t="shared" si="34"/>
        <v/>
      </c>
      <c r="G544" s="3" t="str">
        <f t="shared" si="35"/>
        <v/>
      </c>
    </row>
    <row r="545" spans="1:7" x14ac:dyDescent="0.25">
      <c r="A545" s="41" t="s">
        <v>76</v>
      </c>
      <c r="B545" s="84">
        <v>2628</v>
      </c>
      <c r="C545" s="79">
        <v>8</v>
      </c>
      <c r="D545" s="3" t="str">
        <f t="shared" si="32"/>
        <v/>
      </c>
      <c r="E545" s="3" t="str">
        <f t="shared" si="33"/>
        <v/>
      </c>
      <c r="F545" s="3">
        <f t="shared" si="34"/>
        <v>8</v>
      </c>
      <c r="G545" s="3" t="str">
        <f t="shared" si="35"/>
        <v/>
      </c>
    </row>
    <row r="546" spans="1:7" x14ac:dyDescent="0.25">
      <c r="A546" s="41" t="s">
        <v>76</v>
      </c>
      <c r="B546" s="84">
        <v>3620</v>
      </c>
      <c r="C546" s="79" t="s">
        <v>27</v>
      </c>
      <c r="D546" s="3" t="str">
        <f t="shared" si="32"/>
        <v/>
      </c>
      <c r="E546" s="3" t="str">
        <f t="shared" si="33"/>
        <v/>
      </c>
      <c r="F546" s="3" t="str">
        <f t="shared" si="34"/>
        <v/>
      </c>
      <c r="G546" s="3" t="str">
        <f t="shared" si="35"/>
        <v/>
      </c>
    </row>
    <row r="547" spans="1:7" x14ac:dyDescent="0.25">
      <c r="A547" s="41" t="s">
        <v>76</v>
      </c>
      <c r="B547" s="84">
        <v>2790.18</v>
      </c>
      <c r="C547" s="79" t="s">
        <v>27</v>
      </c>
      <c r="D547" s="3" t="str">
        <f t="shared" si="32"/>
        <v/>
      </c>
      <c r="E547" s="3" t="str">
        <f t="shared" si="33"/>
        <v/>
      </c>
      <c r="F547" s="3" t="str">
        <f t="shared" si="34"/>
        <v/>
      </c>
      <c r="G547" s="3" t="str">
        <f t="shared" si="35"/>
        <v/>
      </c>
    </row>
    <row r="548" spans="1:7" x14ac:dyDescent="0.25">
      <c r="A548" s="41" t="s">
        <v>76</v>
      </c>
      <c r="B548" s="84">
        <v>1530</v>
      </c>
      <c r="C548" s="79">
        <v>9</v>
      </c>
      <c r="D548" s="3" t="str">
        <f t="shared" si="32"/>
        <v/>
      </c>
      <c r="E548" s="3">
        <f t="shared" si="33"/>
        <v>9</v>
      </c>
      <c r="F548" s="3" t="str">
        <f t="shared" si="34"/>
        <v/>
      </c>
      <c r="G548" s="3" t="str">
        <f t="shared" si="35"/>
        <v/>
      </c>
    </row>
    <row r="549" spans="1:7" x14ac:dyDescent="0.25">
      <c r="A549" s="41" t="s">
        <v>76</v>
      </c>
      <c r="B549" s="84">
        <v>711</v>
      </c>
      <c r="C549" s="79" t="s">
        <v>27</v>
      </c>
      <c r="D549" s="3" t="str">
        <f t="shared" si="32"/>
        <v/>
      </c>
      <c r="E549" s="3" t="str">
        <f t="shared" si="33"/>
        <v/>
      </c>
      <c r="F549" s="3" t="str">
        <f t="shared" si="34"/>
        <v/>
      </c>
      <c r="G549" s="3" t="str">
        <f t="shared" si="35"/>
        <v/>
      </c>
    </row>
    <row r="550" spans="1:7" x14ac:dyDescent="0.25">
      <c r="A550" s="41" t="s">
        <v>76</v>
      </c>
      <c r="B550" s="84">
        <v>701.19</v>
      </c>
      <c r="C550" s="79" t="s">
        <v>27</v>
      </c>
      <c r="D550" s="3" t="str">
        <f t="shared" si="32"/>
        <v/>
      </c>
      <c r="E550" s="3" t="str">
        <f t="shared" si="33"/>
        <v/>
      </c>
      <c r="F550" s="3" t="str">
        <f t="shared" si="34"/>
        <v/>
      </c>
      <c r="G550" s="3" t="str">
        <f t="shared" si="35"/>
        <v/>
      </c>
    </row>
    <row r="551" spans="1:7" x14ac:dyDescent="0.25">
      <c r="A551" s="41" t="s">
        <v>76</v>
      </c>
      <c r="B551" s="84">
        <v>1200</v>
      </c>
      <c r="C551" s="79">
        <v>10</v>
      </c>
      <c r="D551" s="3" t="str">
        <f t="shared" si="32"/>
        <v/>
      </c>
      <c r="E551" s="3">
        <f t="shared" si="33"/>
        <v>10</v>
      </c>
      <c r="F551" s="3" t="str">
        <f t="shared" si="34"/>
        <v/>
      </c>
      <c r="G551" s="3" t="str">
        <f t="shared" si="35"/>
        <v/>
      </c>
    </row>
    <row r="552" spans="1:7" x14ac:dyDescent="0.25">
      <c r="A552" s="41" t="s">
        <v>76</v>
      </c>
      <c r="B552" s="84">
        <v>1700</v>
      </c>
      <c r="C552" s="79" t="s">
        <v>27</v>
      </c>
      <c r="D552" s="3" t="str">
        <f t="shared" si="32"/>
        <v/>
      </c>
      <c r="E552" s="3" t="str">
        <f t="shared" si="33"/>
        <v/>
      </c>
      <c r="F552" s="3" t="str">
        <f t="shared" si="34"/>
        <v/>
      </c>
      <c r="G552" s="3" t="str">
        <f t="shared" si="35"/>
        <v/>
      </c>
    </row>
    <row r="553" spans="1:7" x14ac:dyDescent="0.25">
      <c r="A553" s="41" t="s">
        <v>76</v>
      </c>
      <c r="B553" s="84">
        <v>1</v>
      </c>
      <c r="C553" s="79" t="s">
        <v>27</v>
      </c>
      <c r="D553" s="3" t="str">
        <f t="shared" si="32"/>
        <v/>
      </c>
      <c r="E553" s="3" t="str">
        <f t="shared" si="33"/>
        <v/>
      </c>
      <c r="F553" s="3" t="str">
        <f t="shared" si="34"/>
        <v/>
      </c>
      <c r="G553" s="3" t="str">
        <f t="shared" si="35"/>
        <v/>
      </c>
    </row>
    <row r="554" spans="1:7" x14ac:dyDescent="0.25">
      <c r="A554" s="41" t="s">
        <v>76</v>
      </c>
      <c r="B554" s="84">
        <v>1800</v>
      </c>
      <c r="C554" s="79" t="s">
        <v>27</v>
      </c>
      <c r="D554" s="3" t="str">
        <f t="shared" si="32"/>
        <v/>
      </c>
      <c r="E554" s="3" t="str">
        <f t="shared" si="33"/>
        <v/>
      </c>
      <c r="F554" s="3" t="str">
        <f t="shared" si="34"/>
        <v/>
      </c>
      <c r="G554" s="3" t="str">
        <f t="shared" si="35"/>
        <v/>
      </c>
    </row>
    <row r="555" spans="1:7" x14ac:dyDescent="0.25">
      <c r="A555" s="41" t="s">
        <v>76</v>
      </c>
      <c r="B555" s="84">
        <v>2160</v>
      </c>
      <c r="C555" s="79" t="s">
        <v>27</v>
      </c>
      <c r="D555" s="3" t="str">
        <f t="shared" si="32"/>
        <v/>
      </c>
      <c r="E555" s="3" t="str">
        <f t="shared" si="33"/>
        <v/>
      </c>
      <c r="F555" s="3" t="str">
        <f t="shared" si="34"/>
        <v/>
      </c>
      <c r="G555" s="3" t="str">
        <f t="shared" si="35"/>
        <v/>
      </c>
    </row>
    <row r="556" spans="1:7" x14ac:dyDescent="0.25">
      <c r="A556" s="41" t="s">
        <v>76</v>
      </c>
      <c r="B556" s="84">
        <v>710</v>
      </c>
      <c r="C556" s="79" t="s">
        <v>27</v>
      </c>
      <c r="D556" s="3" t="str">
        <f t="shared" si="32"/>
        <v/>
      </c>
      <c r="E556" s="3" t="str">
        <f t="shared" si="33"/>
        <v/>
      </c>
      <c r="F556" s="3" t="str">
        <f t="shared" si="34"/>
        <v/>
      </c>
      <c r="G556" s="3" t="str">
        <f t="shared" si="35"/>
        <v/>
      </c>
    </row>
    <row r="557" spans="1:7" x14ac:dyDescent="0.25">
      <c r="A557" s="41" t="s">
        <v>76</v>
      </c>
      <c r="B557" s="84">
        <v>1500</v>
      </c>
      <c r="C557" s="79" t="s">
        <v>27</v>
      </c>
      <c r="D557" s="3" t="str">
        <f t="shared" si="32"/>
        <v/>
      </c>
      <c r="E557" s="3" t="str">
        <f t="shared" si="33"/>
        <v/>
      </c>
      <c r="F557" s="3" t="str">
        <f t="shared" si="34"/>
        <v/>
      </c>
      <c r="G557" s="3" t="str">
        <f t="shared" si="35"/>
        <v/>
      </c>
    </row>
    <row r="558" spans="1:7" x14ac:dyDescent="0.25">
      <c r="A558" s="41" t="s">
        <v>76</v>
      </c>
      <c r="B558" s="84">
        <v>1</v>
      </c>
      <c r="C558" s="79">
        <v>9</v>
      </c>
      <c r="D558" s="3">
        <f t="shared" si="32"/>
        <v>9</v>
      </c>
      <c r="E558" s="3" t="str">
        <f t="shared" si="33"/>
        <v/>
      </c>
      <c r="F558" s="3" t="str">
        <f t="shared" si="34"/>
        <v/>
      </c>
      <c r="G558" s="3" t="str">
        <f t="shared" si="35"/>
        <v/>
      </c>
    </row>
    <row r="559" spans="1:7" x14ac:dyDescent="0.25">
      <c r="A559" s="41" t="s">
        <v>76</v>
      </c>
      <c r="B559" s="84">
        <v>1806</v>
      </c>
      <c r="C559" s="79" t="s">
        <v>27</v>
      </c>
      <c r="D559" s="3" t="str">
        <f t="shared" si="32"/>
        <v/>
      </c>
      <c r="E559" s="3" t="str">
        <f t="shared" si="33"/>
        <v/>
      </c>
      <c r="F559" s="3" t="str">
        <f t="shared" si="34"/>
        <v/>
      </c>
      <c r="G559" s="3" t="str">
        <f t="shared" si="35"/>
        <v/>
      </c>
    </row>
    <row r="560" spans="1:7" x14ac:dyDescent="0.25">
      <c r="A560" s="41" t="s">
        <v>76</v>
      </c>
      <c r="B560" s="84">
        <v>1</v>
      </c>
      <c r="C560" s="79">
        <v>9</v>
      </c>
      <c r="D560" s="3">
        <f t="shared" si="32"/>
        <v>9</v>
      </c>
      <c r="E560" s="3" t="str">
        <f t="shared" si="33"/>
        <v/>
      </c>
      <c r="F560" s="3" t="str">
        <f t="shared" si="34"/>
        <v/>
      </c>
      <c r="G560" s="3" t="str">
        <f t="shared" si="35"/>
        <v/>
      </c>
    </row>
    <row r="561" spans="1:7" x14ac:dyDescent="0.25">
      <c r="A561" s="41" t="s">
        <v>76</v>
      </c>
      <c r="B561" s="84">
        <v>1</v>
      </c>
      <c r="C561" s="79" t="s">
        <v>27</v>
      </c>
      <c r="D561" s="3" t="str">
        <f t="shared" si="32"/>
        <v/>
      </c>
      <c r="E561" s="3" t="str">
        <f t="shared" si="33"/>
        <v/>
      </c>
      <c r="F561" s="3" t="str">
        <f t="shared" si="34"/>
        <v/>
      </c>
      <c r="G561" s="3" t="str">
        <f t="shared" si="35"/>
        <v/>
      </c>
    </row>
    <row r="562" spans="1:7" x14ac:dyDescent="0.25">
      <c r="A562" s="41" t="s">
        <v>76</v>
      </c>
      <c r="B562" s="84">
        <v>1845</v>
      </c>
      <c r="C562" s="79" t="s">
        <v>27</v>
      </c>
      <c r="D562" s="3" t="str">
        <f t="shared" si="32"/>
        <v/>
      </c>
      <c r="E562" s="3" t="str">
        <f t="shared" si="33"/>
        <v/>
      </c>
      <c r="F562" s="3" t="str">
        <f t="shared" si="34"/>
        <v/>
      </c>
      <c r="G562" s="3" t="str">
        <f t="shared" si="35"/>
        <v/>
      </c>
    </row>
    <row r="563" spans="1:7" x14ac:dyDescent="0.25">
      <c r="A563" s="41" t="s">
        <v>76</v>
      </c>
      <c r="B563" s="84">
        <v>7125</v>
      </c>
      <c r="C563" s="79" t="s">
        <v>27</v>
      </c>
      <c r="D563" s="3" t="str">
        <f t="shared" si="32"/>
        <v/>
      </c>
      <c r="E563" s="3" t="str">
        <f t="shared" si="33"/>
        <v/>
      </c>
      <c r="F563" s="3" t="str">
        <f t="shared" si="34"/>
        <v/>
      </c>
      <c r="G563" s="3" t="str">
        <f t="shared" si="35"/>
        <v/>
      </c>
    </row>
    <row r="564" spans="1:7" x14ac:dyDescent="0.25">
      <c r="A564" s="41" t="s">
        <v>76</v>
      </c>
      <c r="B564" s="84">
        <v>1</v>
      </c>
      <c r="C564" s="79">
        <v>9</v>
      </c>
      <c r="D564" s="3">
        <f t="shared" si="32"/>
        <v>9</v>
      </c>
      <c r="E564" s="3" t="str">
        <f t="shared" si="33"/>
        <v/>
      </c>
      <c r="F564" s="3" t="str">
        <f t="shared" si="34"/>
        <v/>
      </c>
      <c r="G564" s="3" t="str">
        <f t="shared" si="35"/>
        <v/>
      </c>
    </row>
    <row r="565" spans="1:7" x14ac:dyDescent="0.25">
      <c r="A565" s="41" t="s">
        <v>76</v>
      </c>
      <c r="B565" s="84">
        <v>1800</v>
      </c>
      <c r="C565" s="79" t="s">
        <v>27</v>
      </c>
      <c r="D565" s="3" t="str">
        <f t="shared" si="32"/>
        <v/>
      </c>
      <c r="E565" s="3" t="str">
        <f t="shared" si="33"/>
        <v/>
      </c>
      <c r="F565" s="3" t="str">
        <f t="shared" si="34"/>
        <v/>
      </c>
      <c r="G565" s="3" t="str">
        <f t="shared" si="35"/>
        <v/>
      </c>
    </row>
    <row r="566" spans="1:7" x14ac:dyDescent="0.25">
      <c r="A566" s="41" t="s">
        <v>76</v>
      </c>
      <c r="B566" s="84">
        <v>1500</v>
      </c>
      <c r="C566" s="79">
        <v>9</v>
      </c>
      <c r="D566" s="3" t="str">
        <f t="shared" si="32"/>
        <v/>
      </c>
      <c r="E566" s="3">
        <f t="shared" si="33"/>
        <v>9</v>
      </c>
      <c r="F566" s="3" t="str">
        <f t="shared" si="34"/>
        <v/>
      </c>
      <c r="G566" s="3" t="str">
        <f t="shared" si="35"/>
        <v/>
      </c>
    </row>
    <row r="567" spans="1:7" x14ac:dyDescent="0.25">
      <c r="A567" s="41" t="s">
        <v>76</v>
      </c>
      <c r="B567" s="84">
        <v>11000</v>
      </c>
      <c r="C567" s="79" t="s">
        <v>27</v>
      </c>
      <c r="D567" s="3" t="str">
        <f t="shared" si="32"/>
        <v/>
      </c>
      <c r="E567" s="3" t="str">
        <f t="shared" si="33"/>
        <v/>
      </c>
      <c r="F567" s="3" t="str">
        <f t="shared" si="34"/>
        <v/>
      </c>
      <c r="G567" s="3" t="str">
        <f t="shared" si="35"/>
        <v/>
      </c>
    </row>
    <row r="568" spans="1:7" x14ac:dyDescent="0.25">
      <c r="A568" s="41" t="s">
        <v>76</v>
      </c>
      <c r="B568" s="84">
        <v>1</v>
      </c>
      <c r="C568" s="79" t="s">
        <v>27</v>
      </c>
      <c r="D568" s="3" t="str">
        <f t="shared" si="32"/>
        <v/>
      </c>
      <c r="E568" s="3" t="str">
        <f t="shared" si="33"/>
        <v/>
      </c>
      <c r="F568" s="3" t="str">
        <f t="shared" si="34"/>
        <v/>
      </c>
      <c r="G568" s="3" t="str">
        <f t="shared" si="35"/>
        <v/>
      </c>
    </row>
    <row r="569" spans="1:7" x14ac:dyDescent="0.25">
      <c r="A569" s="41" t="s">
        <v>47</v>
      </c>
      <c r="B569" s="84">
        <v>1813.63</v>
      </c>
      <c r="C569" s="79">
        <v>10</v>
      </c>
      <c r="D569" s="3" t="str">
        <f t="shared" si="32"/>
        <v/>
      </c>
      <c r="E569" s="3">
        <f t="shared" si="33"/>
        <v>10</v>
      </c>
      <c r="F569" s="3" t="str">
        <f t="shared" si="34"/>
        <v/>
      </c>
      <c r="G569" s="3" t="str">
        <f t="shared" si="35"/>
        <v/>
      </c>
    </row>
    <row r="570" spans="1:7" x14ac:dyDescent="0.25">
      <c r="A570" s="41" t="s">
        <v>47</v>
      </c>
      <c r="B570" s="84">
        <v>3630</v>
      </c>
      <c r="C570" s="79" t="s">
        <v>27</v>
      </c>
      <c r="D570" s="3" t="str">
        <f t="shared" si="32"/>
        <v/>
      </c>
      <c r="E570" s="3" t="str">
        <f t="shared" si="33"/>
        <v/>
      </c>
      <c r="F570" s="3" t="str">
        <f t="shared" si="34"/>
        <v/>
      </c>
      <c r="G570" s="3" t="str">
        <f t="shared" si="35"/>
        <v/>
      </c>
    </row>
    <row r="571" spans="1:7" x14ac:dyDescent="0.25">
      <c r="A571" s="41" t="s">
        <v>47</v>
      </c>
      <c r="B571" s="84">
        <v>615</v>
      </c>
      <c r="C571" s="79">
        <v>7</v>
      </c>
      <c r="D571" s="3">
        <f t="shared" si="32"/>
        <v>7</v>
      </c>
      <c r="E571" s="3" t="str">
        <f t="shared" si="33"/>
        <v/>
      </c>
      <c r="F571" s="3" t="str">
        <f t="shared" si="34"/>
        <v/>
      </c>
      <c r="G571" s="3" t="str">
        <f t="shared" si="35"/>
        <v/>
      </c>
    </row>
    <row r="572" spans="1:7" x14ac:dyDescent="0.25">
      <c r="A572" s="41" t="s">
        <v>47</v>
      </c>
      <c r="B572" s="84">
        <v>265</v>
      </c>
      <c r="C572" s="79" t="s">
        <v>27</v>
      </c>
      <c r="D572" s="3" t="str">
        <f t="shared" si="32"/>
        <v/>
      </c>
      <c r="E572" s="3" t="str">
        <f t="shared" si="33"/>
        <v/>
      </c>
      <c r="F572" s="3" t="str">
        <f t="shared" si="34"/>
        <v/>
      </c>
      <c r="G572" s="3" t="str">
        <f t="shared" si="35"/>
        <v/>
      </c>
    </row>
    <row r="573" spans="1:7" x14ac:dyDescent="0.25">
      <c r="A573" s="41" t="s">
        <v>47</v>
      </c>
      <c r="B573" s="84">
        <v>125</v>
      </c>
      <c r="C573" s="79">
        <v>10</v>
      </c>
      <c r="D573" s="3">
        <f t="shared" si="32"/>
        <v>10</v>
      </c>
      <c r="E573" s="3" t="str">
        <f t="shared" si="33"/>
        <v/>
      </c>
      <c r="F573" s="3" t="str">
        <f t="shared" si="34"/>
        <v/>
      </c>
      <c r="G573" s="3" t="str">
        <f t="shared" si="35"/>
        <v/>
      </c>
    </row>
    <row r="574" spans="1:7" x14ac:dyDescent="0.25">
      <c r="A574" s="41" t="s">
        <v>47</v>
      </c>
      <c r="B574" s="84">
        <v>125</v>
      </c>
      <c r="C574" s="79">
        <v>10</v>
      </c>
      <c r="D574" s="3">
        <f t="shared" si="32"/>
        <v>10</v>
      </c>
      <c r="E574" s="3" t="str">
        <f t="shared" si="33"/>
        <v/>
      </c>
      <c r="F574" s="3" t="str">
        <f t="shared" si="34"/>
        <v/>
      </c>
      <c r="G574" s="3" t="str">
        <f t="shared" si="35"/>
        <v/>
      </c>
    </row>
    <row r="575" spans="1:7" x14ac:dyDescent="0.25">
      <c r="A575" s="41" t="s">
        <v>47</v>
      </c>
      <c r="B575" s="84">
        <v>100</v>
      </c>
      <c r="C575" s="79">
        <v>10</v>
      </c>
      <c r="D575" s="3">
        <f t="shared" si="32"/>
        <v>10</v>
      </c>
      <c r="E575" s="3" t="str">
        <f t="shared" si="33"/>
        <v/>
      </c>
      <c r="F575" s="3" t="str">
        <f t="shared" si="34"/>
        <v/>
      </c>
      <c r="G575" s="3" t="str">
        <f t="shared" si="35"/>
        <v/>
      </c>
    </row>
    <row r="576" spans="1:7" x14ac:dyDescent="0.25">
      <c r="A576" s="41" t="s">
        <v>47</v>
      </c>
      <c r="B576" s="84">
        <v>800</v>
      </c>
      <c r="C576" s="79" t="s">
        <v>27</v>
      </c>
      <c r="D576" s="3" t="str">
        <f t="shared" si="32"/>
        <v/>
      </c>
      <c r="E576" s="3" t="str">
        <f t="shared" si="33"/>
        <v/>
      </c>
      <c r="F576" s="3" t="str">
        <f t="shared" si="34"/>
        <v/>
      </c>
      <c r="G576" s="3" t="str">
        <f t="shared" si="35"/>
        <v/>
      </c>
    </row>
    <row r="577" spans="1:7" x14ac:dyDescent="0.25">
      <c r="A577" s="41" t="s">
        <v>47</v>
      </c>
      <c r="B577" s="84">
        <v>582</v>
      </c>
      <c r="C577" s="79" t="s">
        <v>27</v>
      </c>
      <c r="D577" s="3" t="str">
        <f t="shared" si="32"/>
        <v/>
      </c>
      <c r="E577" s="3" t="str">
        <f t="shared" si="33"/>
        <v/>
      </c>
      <c r="F577" s="3" t="str">
        <f t="shared" si="34"/>
        <v/>
      </c>
      <c r="G577" s="3" t="str">
        <f t="shared" si="35"/>
        <v/>
      </c>
    </row>
    <row r="578" spans="1:7" x14ac:dyDescent="0.25">
      <c r="A578" s="41" t="s">
        <v>47</v>
      </c>
      <c r="B578" s="84">
        <v>700</v>
      </c>
      <c r="C578" s="79" t="s">
        <v>27</v>
      </c>
      <c r="D578" s="3" t="str">
        <f t="shared" si="32"/>
        <v/>
      </c>
      <c r="E578" s="3" t="str">
        <f t="shared" si="33"/>
        <v/>
      </c>
      <c r="F578" s="3" t="str">
        <f t="shared" si="34"/>
        <v/>
      </c>
      <c r="G578" s="3" t="str">
        <f t="shared" si="35"/>
        <v/>
      </c>
    </row>
    <row r="579" spans="1:7" x14ac:dyDescent="0.25">
      <c r="A579" s="41" t="s">
        <v>47</v>
      </c>
      <c r="B579" s="84">
        <v>3450.15</v>
      </c>
      <c r="C579" s="79" t="s">
        <v>27</v>
      </c>
      <c r="D579" s="3" t="str">
        <f t="shared" ref="D579:D642" si="36">IF(AND(B579&gt;0,B579&lt;1000),C579,"")</f>
        <v/>
      </c>
      <c r="E579" s="3" t="str">
        <f t="shared" ref="E579:E642" si="37">IF(AND(B579&gt;1000,B579&lt;2500),C579,"")</f>
        <v/>
      </c>
      <c r="F579" s="3" t="str">
        <f t="shared" ref="F579:F642" si="38">IF(AND(B579&gt;2500,B579&lt;5000),C579,"")</f>
        <v/>
      </c>
      <c r="G579" s="3" t="str">
        <f t="shared" ref="G579:G642" si="39">IF(B579&gt;=5000,C579,"")</f>
        <v/>
      </c>
    </row>
    <row r="580" spans="1:7" x14ac:dyDescent="0.25">
      <c r="A580" s="41" t="s">
        <v>37</v>
      </c>
      <c r="B580" s="84">
        <v>7000</v>
      </c>
      <c r="C580" s="79" t="s">
        <v>27</v>
      </c>
      <c r="D580" s="3" t="str">
        <f t="shared" si="36"/>
        <v/>
      </c>
      <c r="E580" s="3" t="str">
        <f t="shared" si="37"/>
        <v/>
      </c>
      <c r="F580" s="3" t="str">
        <f t="shared" si="38"/>
        <v/>
      </c>
      <c r="G580" s="3" t="str">
        <f t="shared" si="39"/>
        <v/>
      </c>
    </row>
    <row r="581" spans="1:7" x14ac:dyDescent="0.25">
      <c r="A581" s="41" t="s">
        <v>37</v>
      </c>
      <c r="B581" s="84">
        <v>4800</v>
      </c>
      <c r="C581" s="79" t="s">
        <v>27</v>
      </c>
      <c r="D581" s="3" t="str">
        <f t="shared" si="36"/>
        <v/>
      </c>
      <c r="E581" s="3" t="str">
        <f t="shared" si="37"/>
        <v/>
      </c>
      <c r="F581" s="3" t="str">
        <f t="shared" si="38"/>
        <v/>
      </c>
      <c r="G581" s="3" t="str">
        <f t="shared" si="39"/>
        <v/>
      </c>
    </row>
    <row r="582" spans="1:7" x14ac:dyDescent="0.25">
      <c r="A582" s="41" t="s">
        <v>37</v>
      </c>
      <c r="B582" s="84">
        <v>479.16</v>
      </c>
      <c r="C582" s="79">
        <v>9</v>
      </c>
      <c r="D582" s="3">
        <f t="shared" si="36"/>
        <v>9</v>
      </c>
      <c r="E582" s="3" t="str">
        <f t="shared" si="37"/>
        <v/>
      </c>
      <c r="F582" s="3" t="str">
        <f t="shared" si="38"/>
        <v/>
      </c>
      <c r="G582" s="3" t="str">
        <f t="shared" si="39"/>
        <v/>
      </c>
    </row>
    <row r="583" spans="1:7" x14ac:dyDescent="0.25">
      <c r="A583" s="41" t="s">
        <v>86</v>
      </c>
      <c r="B583" s="84">
        <v>13030</v>
      </c>
      <c r="C583" s="79" t="s">
        <v>27</v>
      </c>
      <c r="D583" s="3" t="str">
        <f t="shared" si="36"/>
        <v/>
      </c>
      <c r="E583" s="3" t="str">
        <f t="shared" si="37"/>
        <v/>
      </c>
      <c r="F583" s="3" t="str">
        <f t="shared" si="38"/>
        <v/>
      </c>
      <c r="G583" s="3" t="str">
        <f t="shared" si="39"/>
        <v/>
      </c>
    </row>
    <row r="584" spans="1:7" x14ac:dyDescent="0.25">
      <c r="A584" s="41" t="s">
        <v>86</v>
      </c>
      <c r="B584" s="84">
        <v>3300</v>
      </c>
      <c r="C584" s="79" t="s">
        <v>27</v>
      </c>
      <c r="D584" s="3" t="str">
        <f t="shared" si="36"/>
        <v/>
      </c>
      <c r="E584" s="3" t="str">
        <f t="shared" si="37"/>
        <v/>
      </c>
      <c r="F584" s="3" t="str">
        <f t="shared" si="38"/>
        <v/>
      </c>
      <c r="G584" s="3" t="str">
        <f t="shared" si="39"/>
        <v/>
      </c>
    </row>
    <row r="585" spans="1:7" x14ac:dyDescent="0.25">
      <c r="A585" s="41" t="s">
        <v>86</v>
      </c>
      <c r="B585" s="84">
        <v>800</v>
      </c>
      <c r="C585" s="79" t="s">
        <v>27</v>
      </c>
      <c r="D585" s="3" t="str">
        <f t="shared" si="36"/>
        <v/>
      </c>
      <c r="E585" s="3" t="str">
        <f t="shared" si="37"/>
        <v/>
      </c>
      <c r="F585" s="3" t="str">
        <f t="shared" si="38"/>
        <v/>
      </c>
      <c r="G585" s="3" t="str">
        <f t="shared" si="39"/>
        <v/>
      </c>
    </row>
    <row r="586" spans="1:7" x14ac:dyDescent="0.25">
      <c r="A586" s="41" t="s">
        <v>86</v>
      </c>
      <c r="B586" s="84">
        <v>1800</v>
      </c>
      <c r="C586" s="79" t="s">
        <v>27</v>
      </c>
      <c r="D586" s="3" t="str">
        <f t="shared" si="36"/>
        <v/>
      </c>
      <c r="E586" s="3" t="str">
        <f t="shared" si="37"/>
        <v/>
      </c>
      <c r="F586" s="3" t="str">
        <f t="shared" si="38"/>
        <v/>
      </c>
      <c r="G586" s="3" t="str">
        <f t="shared" si="39"/>
        <v/>
      </c>
    </row>
    <row r="587" spans="1:7" x14ac:dyDescent="0.25">
      <c r="A587" s="41" t="s">
        <v>86</v>
      </c>
      <c r="B587" s="84">
        <v>550</v>
      </c>
      <c r="C587" s="79" t="s">
        <v>27</v>
      </c>
      <c r="D587" s="3" t="str">
        <f t="shared" si="36"/>
        <v/>
      </c>
      <c r="E587" s="3" t="str">
        <f t="shared" si="37"/>
        <v/>
      </c>
      <c r="F587" s="3" t="str">
        <f t="shared" si="38"/>
        <v/>
      </c>
      <c r="G587" s="3" t="str">
        <f t="shared" si="39"/>
        <v/>
      </c>
    </row>
    <row r="588" spans="1:7" x14ac:dyDescent="0.25">
      <c r="A588" s="41" t="s">
        <v>86</v>
      </c>
      <c r="B588" s="84">
        <v>800</v>
      </c>
      <c r="C588" s="79" t="s">
        <v>27</v>
      </c>
      <c r="D588" s="3" t="str">
        <f t="shared" si="36"/>
        <v/>
      </c>
      <c r="E588" s="3" t="str">
        <f t="shared" si="37"/>
        <v/>
      </c>
      <c r="F588" s="3" t="str">
        <f t="shared" si="38"/>
        <v/>
      </c>
      <c r="G588" s="3" t="str">
        <f t="shared" si="39"/>
        <v/>
      </c>
    </row>
    <row r="589" spans="1:7" x14ac:dyDescent="0.25">
      <c r="A589" s="41" t="s">
        <v>86</v>
      </c>
      <c r="B589" s="84">
        <v>600</v>
      </c>
      <c r="C589" s="79" t="s">
        <v>27</v>
      </c>
      <c r="D589" s="3" t="str">
        <f t="shared" si="36"/>
        <v/>
      </c>
      <c r="E589" s="3" t="str">
        <f t="shared" si="37"/>
        <v/>
      </c>
      <c r="F589" s="3" t="str">
        <f t="shared" si="38"/>
        <v/>
      </c>
      <c r="G589" s="3" t="str">
        <f t="shared" si="39"/>
        <v/>
      </c>
    </row>
    <row r="590" spans="1:7" x14ac:dyDescent="0.25">
      <c r="A590" s="41" t="s">
        <v>86</v>
      </c>
      <c r="B590" s="84">
        <v>5000</v>
      </c>
      <c r="C590" s="79" t="s">
        <v>27</v>
      </c>
      <c r="D590" s="3" t="str">
        <f t="shared" si="36"/>
        <v/>
      </c>
      <c r="E590" s="3" t="str">
        <f t="shared" si="37"/>
        <v/>
      </c>
      <c r="F590" s="3" t="str">
        <f t="shared" si="38"/>
        <v/>
      </c>
      <c r="G590" s="3" t="str">
        <f t="shared" si="39"/>
        <v/>
      </c>
    </row>
    <row r="591" spans="1:7" x14ac:dyDescent="0.25">
      <c r="A591" s="41" t="s">
        <v>86</v>
      </c>
      <c r="B591" s="84">
        <v>1812</v>
      </c>
      <c r="C591" s="79" t="s">
        <v>27</v>
      </c>
      <c r="D591" s="3" t="str">
        <f t="shared" si="36"/>
        <v/>
      </c>
      <c r="E591" s="3" t="str">
        <f t="shared" si="37"/>
        <v/>
      </c>
      <c r="F591" s="3" t="str">
        <f t="shared" si="38"/>
        <v/>
      </c>
      <c r="G591" s="3" t="str">
        <f t="shared" si="39"/>
        <v/>
      </c>
    </row>
    <row r="592" spans="1:7" x14ac:dyDescent="0.25">
      <c r="A592" s="41" t="s">
        <v>65</v>
      </c>
      <c r="B592" s="84">
        <v>1500</v>
      </c>
      <c r="C592" s="79">
        <v>9</v>
      </c>
      <c r="D592" s="3" t="str">
        <f t="shared" si="36"/>
        <v/>
      </c>
      <c r="E592" s="3">
        <f t="shared" si="37"/>
        <v>9</v>
      </c>
      <c r="F592" s="3" t="str">
        <f t="shared" si="38"/>
        <v/>
      </c>
      <c r="G592" s="3" t="str">
        <f t="shared" si="39"/>
        <v/>
      </c>
    </row>
    <row r="593" spans="1:7" x14ac:dyDescent="0.25">
      <c r="A593" s="41" t="s">
        <v>65</v>
      </c>
      <c r="B593" s="84">
        <v>1400</v>
      </c>
      <c r="C593" s="79" t="s">
        <v>27</v>
      </c>
      <c r="D593" s="3" t="str">
        <f t="shared" si="36"/>
        <v/>
      </c>
      <c r="E593" s="3" t="str">
        <f t="shared" si="37"/>
        <v/>
      </c>
      <c r="F593" s="3" t="str">
        <f t="shared" si="38"/>
        <v/>
      </c>
      <c r="G593" s="3" t="str">
        <f t="shared" si="39"/>
        <v/>
      </c>
    </row>
    <row r="594" spans="1:7" x14ac:dyDescent="0.25">
      <c r="A594" s="41" t="s">
        <v>65</v>
      </c>
      <c r="B594" s="84">
        <v>1625</v>
      </c>
      <c r="C594" s="79" t="s">
        <v>27</v>
      </c>
      <c r="D594" s="3" t="str">
        <f t="shared" si="36"/>
        <v/>
      </c>
      <c r="E594" s="3" t="str">
        <f t="shared" si="37"/>
        <v/>
      </c>
      <c r="F594" s="3" t="str">
        <f t="shared" si="38"/>
        <v/>
      </c>
      <c r="G594" s="3" t="str">
        <f t="shared" si="39"/>
        <v/>
      </c>
    </row>
    <row r="595" spans="1:7" x14ac:dyDescent="0.25">
      <c r="A595" s="41" t="s">
        <v>65</v>
      </c>
      <c r="B595" s="84">
        <v>16850</v>
      </c>
      <c r="C595" s="79" t="s">
        <v>27</v>
      </c>
      <c r="D595" s="3" t="str">
        <f t="shared" si="36"/>
        <v/>
      </c>
      <c r="E595" s="3" t="str">
        <f t="shared" si="37"/>
        <v/>
      </c>
      <c r="F595" s="3" t="str">
        <f t="shared" si="38"/>
        <v/>
      </c>
      <c r="G595" s="3" t="str">
        <f t="shared" si="39"/>
        <v/>
      </c>
    </row>
    <row r="596" spans="1:7" x14ac:dyDescent="0.25">
      <c r="A596" s="41" t="s">
        <v>65</v>
      </c>
      <c r="B596" s="84">
        <v>21251.64</v>
      </c>
      <c r="C596" s="79" t="s">
        <v>27</v>
      </c>
      <c r="D596" s="3" t="str">
        <f t="shared" si="36"/>
        <v/>
      </c>
      <c r="E596" s="3" t="str">
        <f t="shared" si="37"/>
        <v/>
      </c>
      <c r="F596" s="3" t="str">
        <f t="shared" si="38"/>
        <v/>
      </c>
      <c r="G596" s="3" t="str">
        <f t="shared" si="39"/>
        <v/>
      </c>
    </row>
    <row r="597" spans="1:7" x14ac:dyDescent="0.25">
      <c r="A597" s="41" t="s">
        <v>65</v>
      </c>
      <c r="B597" s="84">
        <v>2500</v>
      </c>
      <c r="C597" s="79" t="s">
        <v>27</v>
      </c>
      <c r="D597" s="3" t="str">
        <f t="shared" si="36"/>
        <v/>
      </c>
      <c r="E597" s="3" t="str">
        <f t="shared" si="37"/>
        <v/>
      </c>
      <c r="F597" s="3" t="str">
        <f t="shared" si="38"/>
        <v/>
      </c>
      <c r="G597" s="3" t="str">
        <f t="shared" si="39"/>
        <v/>
      </c>
    </row>
    <row r="598" spans="1:7" x14ac:dyDescent="0.25">
      <c r="A598" s="41" t="s">
        <v>142</v>
      </c>
      <c r="B598" s="84">
        <v>300</v>
      </c>
      <c r="C598" s="79" t="s">
        <v>27</v>
      </c>
      <c r="D598" s="3" t="str">
        <f t="shared" si="36"/>
        <v/>
      </c>
      <c r="E598" s="3" t="str">
        <f t="shared" si="37"/>
        <v/>
      </c>
      <c r="F598" s="3" t="str">
        <f t="shared" si="38"/>
        <v/>
      </c>
      <c r="G598" s="3" t="str">
        <f t="shared" si="39"/>
        <v/>
      </c>
    </row>
    <row r="599" spans="1:7" x14ac:dyDescent="0.25">
      <c r="A599" s="41" t="s">
        <v>142</v>
      </c>
      <c r="B599" s="84">
        <v>300</v>
      </c>
      <c r="C599" s="79" t="s">
        <v>27</v>
      </c>
      <c r="D599" s="3" t="str">
        <f t="shared" si="36"/>
        <v/>
      </c>
      <c r="E599" s="3" t="str">
        <f t="shared" si="37"/>
        <v/>
      </c>
      <c r="F599" s="3" t="str">
        <f t="shared" si="38"/>
        <v/>
      </c>
      <c r="G599" s="3" t="str">
        <f t="shared" si="39"/>
        <v/>
      </c>
    </row>
    <row r="600" spans="1:7" x14ac:dyDescent="0.25">
      <c r="A600" s="41" t="s">
        <v>142</v>
      </c>
      <c r="B600" s="84">
        <v>900</v>
      </c>
      <c r="C600" s="79" t="s">
        <v>27</v>
      </c>
      <c r="D600" s="3" t="str">
        <f t="shared" si="36"/>
        <v/>
      </c>
      <c r="E600" s="3" t="str">
        <f t="shared" si="37"/>
        <v/>
      </c>
      <c r="F600" s="3" t="str">
        <f t="shared" si="38"/>
        <v/>
      </c>
      <c r="G600" s="3" t="str">
        <f t="shared" si="39"/>
        <v/>
      </c>
    </row>
    <row r="601" spans="1:7" x14ac:dyDescent="0.25">
      <c r="A601" s="41" t="s">
        <v>142</v>
      </c>
      <c r="B601" s="84">
        <v>900</v>
      </c>
      <c r="C601" s="79" t="s">
        <v>27</v>
      </c>
      <c r="D601" s="3" t="str">
        <f t="shared" si="36"/>
        <v/>
      </c>
      <c r="E601" s="3" t="str">
        <f t="shared" si="37"/>
        <v/>
      </c>
      <c r="F601" s="3" t="str">
        <f t="shared" si="38"/>
        <v/>
      </c>
      <c r="G601" s="3" t="str">
        <f t="shared" si="39"/>
        <v/>
      </c>
    </row>
    <row r="602" spans="1:7" x14ac:dyDescent="0.25">
      <c r="A602" s="41" t="s">
        <v>142</v>
      </c>
      <c r="B602" s="84">
        <v>900</v>
      </c>
      <c r="C602" s="79" t="s">
        <v>27</v>
      </c>
      <c r="D602" s="3" t="str">
        <f t="shared" si="36"/>
        <v/>
      </c>
      <c r="E602" s="3" t="str">
        <f t="shared" si="37"/>
        <v/>
      </c>
      <c r="F602" s="3" t="str">
        <f t="shared" si="38"/>
        <v/>
      </c>
      <c r="G602" s="3" t="str">
        <f t="shared" si="39"/>
        <v/>
      </c>
    </row>
    <row r="603" spans="1:7" x14ac:dyDescent="0.25">
      <c r="A603" s="41" t="s">
        <v>142</v>
      </c>
      <c r="B603" s="84">
        <v>900</v>
      </c>
      <c r="C603" s="79" t="s">
        <v>27</v>
      </c>
      <c r="D603" s="3" t="str">
        <f t="shared" si="36"/>
        <v/>
      </c>
      <c r="E603" s="3" t="str">
        <f t="shared" si="37"/>
        <v/>
      </c>
      <c r="F603" s="3" t="str">
        <f t="shared" si="38"/>
        <v/>
      </c>
      <c r="G603" s="3" t="str">
        <f t="shared" si="39"/>
        <v/>
      </c>
    </row>
    <row r="604" spans="1:7" x14ac:dyDescent="0.25">
      <c r="A604" s="41" t="s">
        <v>107</v>
      </c>
      <c r="B604" s="84">
        <v>11396.38</v>
      </c>
      <c r="C604" s="79">
        <v>9</v>
      </c>
      <c r="D604" s="3" t="str">
        <f t="shared" si="36"/>
        <v/>
      </c>
      <c r="E604" s="3" t="str">
        <f t="shared" si="37"/>
        <v/>
      </c>
      <c r="F604" s="3" t="str">
        <f t="shared" si="38"/>
        <v/>
      </c>
      <c r="G604" s="3">
        <f t="shared" si="39"/>
        <v>9</v>
      </c>
    </row>
    <row r="605" spans="1:7" x14ac:dyDescent="0.25">
      <c r="A605" s="41" t="s">
        <v>107</v>
      </c>
      <c r="B605" s="84">
        <v>8500</v>
      </c>
      <c r="C605" s="79" t="s">
        <v>27</v>
      </c>
      <c r="D605" s="3" t="str">
        <f t="shared" si="36"/>
        <v/>
      </c>
      <c r="E605" s="3" t="str">
        <f t="shared" si="37"/>
        <v/>
      </c>
      <c r="F605" s="3" t="str">
        <f t="shared" si="38"/>
        <v/>
      </c>
      <c r="G605" s="3" t="str">
        <f t="shared" si="39"/>
        <v/>
      </c>
    </row>
    <row r="606" spans="1:7" x14ac:dyDescent="0.25">
      <c r="A606" s="41" t="s">
        <v>107</v>
      </c>
      <c r="B606" s="84">
        <v>8500.57</v>
      </c>
      <c r="C606" s="79" t="s">
        <v>27</v>
      </c>
      <c r="D606" s="3" t="str">
        <f t="shared" si="36"/>
        <v/>
      </c>
      <c r="E606" s="3" t="str">
        <f t="shared" si="37"/>
        <v/>
      </c>
      <c r="F606" s="3" t="str">
        <f t="shared" si="38"/>
        <v/>
      </c>
      <c r="G606" s="3" t="str">
        <f t="shared" si="39"/>
        <v/>
      </c>
    </row>
    <row r="607" spans="1:7" x14ac:dyDescent="0.25">
      <c r="A607" s="41" t="s">
        <v>107</v>
      </c>
      <c r="B607" s="84">
        <v>5500</v>
      </c>
      <c r="C607" s="79" t="s">
        <v>27</v>
      </c>
      <c r="D607" s="3" t="str">
        <f t="shared" si="36"/>
        <v/>
      </c>
      <c r="E607" s="3" t="str">
        <f t="shared" si="37"/>
        <v/>
      </c>
      <c r="F607" s="3" t="str">
        <f t="shared" si="38"/>
        <v/>
      </c>
      <c r="G607" s="3" t="str">
        <f t="shared" si="39"/>
        <v/>
      </c>
    </row>
    <row r="608" spans="1:7" x14ac:dyDescent="0.25">
      <c r="A608" s="41" t="s">
        <v>107</v>
      </c>
      <c r="B608" s="84">
        <v>3400</v>
      </c>
      <c r="C608" s="79" t="s">
        <v>27</v>
      </c>
      <c r="D608" s="3" t="str">
        <f t="shared" si="36"/>
        <v/>
      </c>
      <c r="E608" s="3" t="str">
        <f t="shared" si="37"/>
        <v/>
      </c>
      <c r="F608" s="3" t="str">
        <f t="shared" si="38"/>
        <v/>
      </c>
      <c r="G608" s="3" t="str">
        <f t="shared" si="39"/>
        <v/>
      </c>
    </row>
    <row r="609" spans="1:7" x14ac:dyDescent="0.25">
      <c r="A609" s="41" t="s">
        <v>107</v>
      </c>
      <c r="B609" s="84">
        <v>2648.1</v>
      </c>
      <c r="C609" s="79" t="s">
        <v>27</v>
      </c>
      <c r="D609" s="3" t="str">
        <f t="shared" si="36"/>
        <v/>
      </c>
      <c r="E609" s="3" t="str">
        <f t="shared" si="37"/>
        <v/>
      </c>
      <c r="F609" s="3" t="str">
        <f t="shared" si="38"/>
        <v/>
      </c>
      <c r="G609" s="3" t="str">
        <f t="shared" si="39"/>
        <v/>
      </c>
    </row>
    <row r="610" spans="1:7" x14ac:dyDescent="0.25">
      <c r="A610" s="41" t="s">
        <v>107</v>
      </c>
      <c r="B610" s="84">
        <v>6300</v>
      </c>
      <c r="C610" s="79">
        <v>8</v>
      </c>
      <c r="D610" s="3" t="str">
        <f t="shared" si="36"/>
        <v/>
      </c>
      <c r="E610" s="3" t="str">
        <f t="shared" si="37"/>
        <v/>
      </c>
      <c r="F610" s="3" t="str">
        <f t="shared" si="38"/>
        <v/>
      </c>
      <c r="G610" s="3">
        <f t="shared" si="39"/>
        <v>8</v>
      </c>
    </row>
    <row r="611" spans="1:7" x14ac:dyDescent="0.25">
      <c r="A611" s="41" t="s">
        <v>107</v>
      </c>
      <c r="B611" s="84">
        <v>4000</v>
      </c>
      <c r="C611" s="79" t="s">
        <v>27</v>
      </c>
      <c r="D611" s="3" t="str">
        <f t="shared" si="36"/>
        <v/>
      </c>
      <c r="E611" s="3" t="str">
        <f t="shared" si="37"/>
        <v/>
      </c>
      <c r="F611" s="3" t="str">
        <f t="shared" si="38"/>
        <v/>
      </c>
      <c r="G611" s="3" t="str">
        <f t="shared" si="39"/>
        <v/>
      </c>
    </row>
    <row r="612" spans="1:7" x14ac:dyDescent="0.25">
      <c r="A612" s="41" t="s">
        <v>107</v>
      </c>
      <c r="B612" s="84">
        <v>2881.44</v>
      </c>
      <c r="C612" s="79" t="s">
        <v>27</v>
      </c>
      <c r="D612" s="3" t="str">
        <f t="shared" si="36"/>
        <v/>
      </c>
      <c r="E612" s="3" t="str">
        <f t="shared" si="37"/>
        <v/>
      </c>
      <c r="F612" s="3" t="str">
        <f t="shared" si="38"/>
        <v/>
      </c>
      <c r="G612" s="3" t="str">
        <f t="shared" si="39"/>
        <v/>
      </c>
    </row>
    <row r="613" spans="1:7" x14ac:dyDescent="0.25">
      <c r="A613" s="41" t="s">
        <v>107</v>
      </c>
      <c r="B613" s="84">
        <v>9625</v>
      </c>
      <c r="C613" s="79" t="s">
        <v>27</v>
      </c>
      <c r="D613" s="3" t="str">
        <f t="shared" si="36"/>
        <v/>
      </c>
      <c r="E613" s="3" t="str">
        <f t="shared" si="37"/>
        <v/>
      </c>
      <c r="F613" s="3" t="str">
        <f t="shared" si="38"/>
        <v/>
      </c>
      <c r="G613" s="3" t="str">
        <f t="shared" si="39"/>
        <v/>
      </c>
    </row>
    <row r="614" spans="1:7" x14ac:dyDescent="0.25">
      <c r="A614" s="41" t="s">
        <v>107</v>
      </c>
      <c r="B614" s="84">
        <v>2963.1</v>
      </c>
      <c r="C614" s="79" t="s">
        <v>27</v>
      </c>
      <c r="D614" s="3" t="str">
        <f t="shared" si="36"/>
        <v/>
      </c>
      <c r="E614" s="3" t="str">
        <f t="shared" si="37"/>
        <v/>
      </c>
      <c r="F614" s="3" t="str">
        <f t="shared" si="38"/>
        <v/>
      </c>
      <c r="G614" s="3" t="str">
        <f t="shared" si="39"/>
        <v/>
      </c>
    </row>
    <row r="615" spans="1:7" x14ac:dyDescent="0.25">
      <c r="A615" s="41" t="s">
        <v>107</v>
      </c>
      <c r="B615" s="84">
        <v>5050.2</v>
      </c>
      <c r="C615" s="79" t="s">
        <v>27</v>
      </c>
      <c r="D615" s="3" t="str">
        <f t="shared" si="36"/>
        <v/>
      </c>
      <c r="E615" s="3" t="str">
        <f t="shared" si="37"/>
        <v/>
      </c>
      <c r="F615" s="3" t="str">
        <f t="shared" si="38"/>
        <v/>
      </c>
      <c r="G615" s="3" t="str">
        <f t="shared" si="39"/>
        <v/>
      </c>
    </row>
    <row r="616" spans="1:7" x14ac:dyDescent="0.25">
      <c r="A616" s="41" t="s">
        <v>107</v>
      </c>
      <c r="B616" s="84">
        <v>5000.57</v>
      </c>
      <c r="C616" s="79">
        <v>10</v>
      </c>
      <c r="D616" s="3" t="str">
        <f t="shared" si="36"/>
        <v/>
      </c>
      <c r="E616" s="3" t="str">
        <f t="shared" si="37"/>
        <v/>
      </c>
      <c r="F616" s="3" t="str">
        <f t="shared" si="38"/>
        <v/>
      </c>
      <c r="G616" s="3">
        <f t="shared" si="39"/>
        <v>10</v>
      </c>
    </row>
    <row r="617" spans="1:7" x14ac:dyDescent="0.25">
      <c r="A617" s="41" t="s">
        <v>107</v>
      </c>
      <c r="B617" s="84">
        <v>1990</v>
      </c>
      <c r="C617" s="79" t="s">
        <v>27</v>
      </c>
      <c r="D617" s="3" t="str">
        <f t="shared" si="36"/>
        <v/>
      </c>
      <c r="E617" s="3" t="str">
        <f t="shared" si="37"/>
        <v/>
      </c>
      <c r="F617" s="3" t="str">
        <f t="shared" si="38"/>
        <v/>
      </c>
      <c r="G617" s="3" t="str">
        <f t="shared" si="39"/>
        <v/>
      </c>
    </row>
    <row r="618" spans="1:7" x14ac:dyDescent="0.25">
      <c r="A618" s="41" t="s">
        <v>107</v>
      </c>
      <c r="B618" s="84">
        <v>5100</v>
      </c>
      <c r="C618" s="79">
        <v>10</v>
      </c>
      <c r="D618" s="3" t="str">
        <f t="shared" si="36"/>
        <v/>
      </c>
      <c r="E618" s="3" t="str">
        <f t="shared" si="37"/>
        <v/>
      </c>
      <c r="F618" s="3" t="str">
        <f t="shared" si="38"/>
        <v/>
      </c>
      <c r="G618" s="3">
        <f t="shared" si="39"/>
        <v>10</v>
      </c>
    </row>
    <row r="619" spans="1:7" x14ac:dyDescent="0.25">
      <c r="A619" s="41" t="s">
        <v>107</v>
      </c>
      <c r="B619" s="84">
        <v>10956</v>
      </c>
      <c r="C619" s="79">
        <v>10</v>
      </c>
      <c r="D619" s="3" t="str">
        <f t="shared" si="36"/>
        <v/>
      </c>
      <c r="E619" s="3" t="str">
        <f t="shared" si="37"/>
        <v/>
      </c>
      <c r="F619" s="3" t="str">
        <f t="shared" si="38"/>
        <v/>
      </c>
      <c r="G619" s="3">
        <f t="shared" si="39"/>
        <v>10</v>
      </c>
    </row>
    <row r="620" spans="1:7" x14ac:dyDescent="0.25">
      <c r="A620" s="41" t="s">
        <v>107</v>
      </c>
      <c r="B620" s="84">
        <v>4850</v>
      </c>
      <c r="C620" s="79" t="s">
        <v>27</v>
      </c>
      <c r="D620" s="3" t="str">
        <f t="shared" si="36"/>
        <v/>
      </c>
      <c r="E620" s="3" t="str">
        <f t="shared" si="37"/>
        <v/>
      </c>
      <c r="F620" s="3" t="str">
        <f t="shared" si="38"/>
        <v/>
      </c>
      <c r="G620" s="3" t="str">
        <f t="shared" si="39"/>
        <v/>
      </c>
    </row>
    <row r="621" spans="1:7" x14ac:dyDescent="0.25">
      <c r="A621" s="41" t="s">
        <v>107</v>
      </c>
      <c r="B621" s="84">
        <v>3122</v>
      </c>
      <c r="C621" s="79" t="s">
        <v>27</v>
      </c>
      <c r="D621" s="3" t="str">
        <f t="shared" si="36"/>
        <v/>
      </c>
      <c r="E621" s="3" t="str">
        <f t="shared" si="37"/>
        <v/>
      </c>
      <c r="F621" s="3" t="str">
        <f t="shared" si="38"/>
        <v/>
      </c>
      <c r="G621" s="3" t="str">
        <f t="shared" si="39"/>
        <v/>
      </c>
    </row>
    <row r="622" spans="1:7" x14ac:dyDescent="0.25">
      <c r="A622" s="41" t="s">
        <v>107</v>
      </c>
      <c r="B622" s="84">
        <v>2020</v>
      </c>
      <c r="C622" s="79" t="s">
        <v>27</v>
      </c>
      <c r="D622" s="3" t="str">
        <f t="shared" si="36"/>
        <v/>
      </c>
      <c r="E622" s="3" t="str">
        <f t="shared" si="37"/>
        <v/>
      </c>
      <c r="F622" s="3" t="str">
        <f t="shared" si="38"/>
        <v/>
      </c>
      <c r="G622" s="3" t="str">
        <f t="shared" si="39"/>
        <v/>
      </c>
    </row>
    <row r="623" spans="1:7" x14ac:dyDescent="0.25">
      <c r="A623" s="41" t="s">
        <v>107</v>
      </c>
      <c r="B623" s="84">
        <v>5040</v>
      </c>
      <c r="C623" s="79" t="s">
        <v>27</v>
      </c>
      <c r="D623" s="3" t="str">
        <f t="shared" si="36"/>
        <v/>
      </c>
      <c r="E623" s="3" t="str">
        <f t="shared" si="37"/>
        <v/>
      </c>
      <c r="F623" s="3" t="str">
        <f t="shared" si="38"/>
        <v/>
      </c>
      <c r="G623" s="3" t="str">
        <f t="shared" si="39"/>
        <v/>
      </c>
    </row>
    <row r="624" spans="1:7" x14ac:dyDescent="0.25">
      <c r="A624" s="41" t="s">
        <v>107</v>
      </c>
      <c r="B624" s="84">
        <v>4642.5200000000004</v>
      </c>
      <c r="C624" s="79" t="s">
        <v>27</v>
      </c>
      <c r="D624" s="3" t="str">
        <f t="shared" si="36"/>
        <v/>
      </c>
      <c r="E624" s="3" t="str">
        <f t="shared" si="37"/>
        <v/>
      </c>
      <c r="F624" s="3" t="str">
        <f t="shared" si="38"/>
        <v/>
      </c>
      <c r="G624" s="3" t="str">
        <f t="shared" si="39"/>
        <v/>
      </c>
    </row>
    <row r="625" spans="1:7" x14ac:dyDescent="0.25">
      <c r="A625" s="41" t="s">
        <v>107</v>
      </c>
      <c r="B625" s="84">
        <v>3511.98</v>
      </c>
      <c r="C625" s="79" t="s">
        <v>27</v>
      </c>
      <c r="D625" s="3" t="str">
        <f t="shared" si="36"/>
        <v/>
      </c>
      <c r="E625" s="3" t="str">
        <f t="shared" si="37"/>
        <v/>
      </c>
      <c r="F625" s="3" t="str">
        <f t="shared" si="38"/>
        <v/>
      </c>
      <c r="G625" s="3" t="str">
        <f t="shared" si="39"/>
        <v/>
      </c>
    </row>
    <row r="626" spans="1:7" x14ac:dyDescent="0.25">
      <c r="A626" s="41" t="s">
        <v>107</v>
      </c>
      <c r="B626" s="84">
        <v>3000</v>
      </c>
      <c r="C626" s="79" t="s">
        <v>27</v>
      </c>
      <c r="D626" s="3" t="str">
        <f t="shared" si="36"/>
        <v/>
      </c>
      <c r="E626" s="3" t="str">
        <f t="shared" si="37"/>
        <v/>
      </c>
      <c r="F626" s="3" t="str">
        <f t="shared" si="38"/>
        <v/>
      </c>
      <c r="G626" s="3" t="str">
        <f t="shared" si="39"/>
        <v/>
      </c>
    </row>
    <row r="627" spans="1:7" x14ac:dyDescent="0.25">
      <c r="A627" s="41" t="s">
        <v>107</v>
      </c>
      <c r="B627" s="84">
        <v>4200</v>
      </c>
      <c r="C627" s="79" t="s">
        <v>27</v>
      </c>
      <c r="D627" s="3" t="str">
        <f t="shared" si="36"/>
        <v/>
      </c>
      <c r="E627" s="3" t="str">
        <f t="shared" si="37"/>
        <v/>
      </c>
      <c r="F627" s="3" t="str">
        <f t="shared" si="38"/>
        <v/>
      </c>
      <c r="G627" s="3" t="str">
        <f t="shared" si="39"/>
        <v/>
      </c>
    </row>
    <row r="628" spans="1:7" x14ac:dyDescent="0.25">
      <c r="A628" s="41" t="s">
        <v>107</v>
      </c>
      <c r="B628" s="84">
        <v>4115.9399999999996</v>
      </c>
      <c r="C628" s="79" t="s">
        <v>27</v>
      </c>
      <c r="D628" s="3" t="str">
        <f t="shared" si="36"/>
        <v/>
      </c>
      <c r="E628" s="3" t="str">
        <f t="shared" si="37"/>
        <v/>
      </c>
      <c r="F628" s="3" t="str">
        <f t="shared" si="38"/>
        <v/>
      </c>
      <c r="G628" s="3" t="str">
        <f t="shared" si="39"/>
        <v/>
      </c>
    </row>
    <row r="629" spans="1:7" x14ac:dyDescent="0.25">
      <c r="A629" s="41" t="s">
        <v>107</v>
      </c>
      <c r="B629" s="84">
        <v>6756.87</v>
      </c>
      <c r="C629" s="79" t="s">
        <v>27</v>
      </c>
      <c r="D629" s="3" t="str">
        <f t="shared" si="36"/>
        <v/>
      </c>
      <c r="E629" s="3" t="str">
        <f t="shared" si="37"/>
        <v/>
      </c>
      <c r="F629" s="3" t="str">
        <f t="shared" si="38"/>
        <v/>
      </c>
      <c r="G629" s="3" t="str">
        <f t="shared" si="39"/>
        <v/>
      </c>
    </row>
    <row r="630" spans="1:7" x14ac:dyDescent="0.25">
      <c r="A630" s="41" t="s">
        <v>107</v>
      </c>
      <c r="B630" s="84">
        <v>2857.9</v>
      </c>
      <c r="C630" s="79" t="s">
        <v>27</v>
      </c>
      <c r="D630" s="3" t="str">
        <f t="shared" si="36"/>
        <v/>
      </c>
      <c r="E630" s="3" t="str">
        <f t="shared" si="37"/>
        <v/>
      </c>
      <c r="F630" s="3" t="str">
        <f t="shared" si="38"/>
        <v/>
      </c>
      <c r="G630" s="3" t="str">
        <f t="shared" si="39"/>
        <v/>
      </c>
    </row>
    <row r="631" spans="1:7" x14ac:dyDescent="0.25">
      <c r="A631" s="41" t="s">
        <v>89</v>
      </c>
      <c r="B631" s="84">
        <v>2140</v>
      </c>
      <c r="C631" s="79" t="s">
        <v>27</v>
      </c>
      <c r="D631" s="3" t="str">
        <f t="shared" si="36"/>
        <v/>
      </c>
      <c r="E631" s="3" t="str">
        <f t="shared" si="37"/>
        <v/>
      </c>
      <c r="F631" s="3" t="str">
        <f t="shared" si="38"/>
        <v/>
      </c>
      <c r="G631" s="3" t="str">
        <f t="shared" si="39"/>
        <v/>
      </c>
    </row>
    <row r="632" spans="1:7" x14ac:dyDescent="0.25">
      <c r="A632" s="41" t="s">
        <v>89</v>
      </c>
      <c r="B632" s="84">
        <v>2200</v>
      </c>
      <c r="C632" s="79" t="s">
        <v>27</v>
      </c>
      <c r="D632" s="3" t="str">
        <f t="shared" si="36"/>
        <v/>
      </c>
      <c r="E632" s="3" t="str">
        <f t="shared" si="37"/>
        <v/>
      </c>
      <c r="F632" s="3" t="str">
        <f t="shared" si="38"/>
        <v/>
      </c>
      <c r="G632" s="3" t="str">
        <f t="shared" si="39"/>
        <v/>
      </c>
    </row>
    <row r="633" spans="1:7" x14ac:dyDescent="0.25">
      <c r="A633" s="41" t="s">
        <v>89</v>
      </c>
      <c r="B633" s="84">
        <v>750</v>
      </c>
      <c r="C633" s="79" t="s">
        <v>27</v>
      </c>
      <c r="D633" s="3" t="str">
        <f t="shared" si="36"/>
        <v/>
      </c>
      <c r="E633" s="3" t="str">
        <f t="shared" si="37"/>
        <v/>
      </c>
      <c r="F633" s="3" t="str">
        <f t="shared" si="38"/>
        <v/>
      </c>
      <c r="G633" s="3" t="str">
        <f t="shared" si="39"/>
        <v/>
      </c>
    </row>
    <row r="634" spans="1:7" x14ac:dyDescent="0.25">
      <c r="A634" s="41" t="s">
        <v>89</v>
      </c>
      <c r="B634" s="84">
        <v>400</v>
      </c>
      <c r="C634" s="79" t="s">
        <v>27</v>
      </c>
      <c r="D634" s="3" t="str">
        <f t="shared" si="36"/>
        <v/>
      </c>
      <c r="E634" s="3" t="str">
        <f t="shared" si="37"/>
        <v/>
      </c>
      <c r="F634" s="3" t="str">
        <f t="shared" si="38"/>
        <v/>
      </c>
      <c r="G634" s="3" t="str">
        <f t="shared" si="39"/>
        <v/>
      </c>
    </row>
    <row r="635" spans="1:7" x14ac:dyDescent="0.25">
      <c r="A635" s="41" t="s">
        <v>89</v>
      </c>
      <c r="B635" s="84">
        <v>750</v>
      </c>
      <c r="C635" s="79" t="s">
        <v>27</v>
      </c>
      <c r="D635" s="3" t="str">
        <f t="shared" si="36"/>
        <v/>
      </c>
      <c r="E635" s="3" t="str">
        <f t="shared" si="37"/>
        <v/>
      </c>
      <c r="F635" s="3" t="str">
        <f t="shared" si="38"/>
        <v/>
      </c>
      <c r="G635" s="3" t="str">
        <f t="shared" si="39"/>
        <v/>
      </c>
    </row>
    <row r="636" spans="1:7" x14ac:dyDescent="0.25">
      <c r="A636" s="41" t="s">
        <v>89</v>
      </c>
      <c r="B636" s="84">
        <v>450</v>
      </c>
      <c r="C636" s="79" t="s">
        <v>27</v>
      </c>
      <c r="D636" s="3" t="str">
        <f t="shared" si="36"/>
        <v/>
      </c>
      <c r="E636" s="3" t="str">
        <f t="shared" si="37"/>
        <v/>
      </c>
      <c r="F636" s="3" t="str">
        <f t="shared" si="38"/>
        <v/>
      </c>
      <c r="G636" s="3" t="str">
        <f t="shared" si="39"/>
        <v/>
      </c>
    </row>
    <row r="637" spans="1:7" x14ac:dyDescent="0.25">
      <c r="A637" s="41" t="s">
        <v>89</v>
      </c>
      <c r="B637" s="84">
        <v>355</v>
      </c>
      <c r="C637" s="79" t="s">
        <v>27</v>
      </c>
      <c r="D637" s="3" t="str">
        <f t="shared" si="36"/>
        <v/>
      </c>
      <c r="E637" s="3" t="str">
        <f t="shared" si="37"/>
        <v/>
      </c>
      <c r="F637" s="3" t="str">
        <f t="shared" si="38"/>
        <v/>
      </c>
      <c r="G637" s="3" t="str">
        <f t="shared" si="39"/>
        <v/>
      </c>
    </row>
    <row r="638" spans="1:7" x14ac:dyDescent="0.25">
      <c r="A638" s="41" t="s">
        <v>89</v>
      </c>
      <c r="B638" s="84">
        <v>200</v>
      </c>
      <c r="C638" s="79">
        <v>10</v>
      </c>
      <c r="D638" s="3">
        <f t="shared" si="36"/>
        <v>10</v>
      </c>
      <c r="E638" s="3" t="str">
        <f t="shared" si="37"/>
        <v/>
      </c>
      <c r="F638" s="3" t="str">
        <f t="shared" si="38"/>
        <v/>
      </c>
      <c r="G638" s="3" t="str">
        <f t="shared" si="39"/>
        <v/>
      </c>
    </row>
    <row r="639" spans="1:7" x14ac:dyDescent="0.25">
      <c r="A639" s="41" t="s">
        <v>89</v>
      </c>
      <c r="B639" s="84">
        <v>500</v>
      </c>
      <c r="C639" s="79" t="s">
        <v>27</v>
      </c>
      <c r="D639" s="3" t="str">
        <f t="shared" si="36"/>
        <v/>
      </c>
      <c r="E639" s="3" t="str">
        <f t="shared" si="37"/>
        <v/>
      </c>
      <c r="F639" s="3" t="str">
        <f t="shared" si="38"/>
        <v/>
      </c>
      <c r="G639" s="3" t="str">
        <f t="shared" si="39"/>
        <v/>
      </c>
    </row>
    <row r="640" spans="1:7" x14ac:dyDescent="0.25">
      <c r="A640" s="41" t="s">
        <v>89</v>
      </c>
      <c r="B640" s="84">
        <v>440</v>
      </c>
      <c r="C640" s="79" t="s">
        <v>27</v>
      </c>
      <c r="D640" s="3" t="str">
        <f t="shared" si="36"/>
        <v/>
      </c>
      <c r="E640" s="3" t="str">
        <f t="shared" si="37"/>
        <v/>
      </c>
      <c r="F640" s="3" t="str">
        <f t="shared" si="38"/>
        <v/>
      </c>
      <c r="G640" s="3" t="str">
        <f t="shared" si="39"/>
        <v/>
      </c>
    </row>
    <row r="641" spans="1:7" x14ac:dyDescent="0.25">
      <c r="A641" s="41" t="s">
        <v>89</v>
      </c>
      <c r="B641" s="84">
        <v>2350</v>
      </c>
      <c r="C641" s="79" t="s">
        <v>27</v>
      </c>
      <c r="D641" s="3" t="str">
        <f t="shared" si="36"/>
        <v/>
      </c>
      <c r="E641" s="3" t="str">
        <f t="shared" si="37"/>
        <v/>
      </c>
      <c r="F641" s="3" t="str">
        <f t="shared" si="38"/>
        <v/>
      </c>
      <c r="G641" s="3" t="str">
        <f t="shared" si="39"/>
        <v/>
      </c>
    </row>
    <row r="642" spans="1:7" x14ac:dyDescent="0.25">
      <c r="A642" s="41" t="s">
        <v>89</v>
      </c>
      <c r="B642" s="84">
        <v>200</v>
      </c>
      <c r="C642" s="79" t="s">
        <v>27</v>
      </c>
      <c r="D642" s="3" t="str">
        <f t="shared" si="36"/>
        <v/>
      </c>
      <c r="E642" s="3" t="str">
        <f t="shared" si="37"/>
        <v/>
      </c>
      <c r="F642" s="3" t="str">
        <f t="shared" si="38"/>
        <v/>
      </c>
      <c r="G642" s="3" t="str">
        <f t="shared" si="39"/>
        <v/>
      </c>
    </row>
    <row r="643" spans="1:7" x14ac:dyDescent="0.25">
      <c r="A643" s="41" t="s">
        <v>127</v>
      </c>
      <c r="B643" s="84">
        <v>135500</v>
      </c>
      <c r="C643" s="79" t="s">
        <v>27</v>
      </c>
      <c r="D643" s="3" t="str">
        <f t="shared" ref="D643:D706" si="40">IF(AND(B643&gt;0,B643&lt;1000),C643,"")</f>
        <v/>
      </c>
      <c r="E643" s="3" t="str">
        <f t="shared" ref="E643:E706" si="41">IF(AND(B643&gt;1000,B643&lt;2500),C643,"")</f>
        <v/>
      </c>
      <c r="F643" s="3" t="str">
        <f t="shared" ref="F643:F706" si="42">IF(AND(B643&gt;2500,B643&lt;5000),C643,"")</f>
        <v/>
      </c>
      <c r="G643" s="3" t="str">
        <f t="shared" ref="G643:G706" si="43">IF(B643&gt;=5000,C643,"")</f>
        <v/>
      </c>
    </row>
    <row r="644" spans="1:7" x14ac:dyDescent="0.25">
      <c r="A644" s="41" t="s">
        <v>127</v>
      </c>
      <c r="B644" s="84">
        <v>1100</v>
      </c>
      <c r="C644" s="79" t="s">
        <v>27</v>
      </c>
      <c r="D644" s="3" t="str">
        <f t="shared" si="40"/>
        <v/>
      </c>
      <c r="E644" s="3" t="str">
        <f t="shared" si="41"/>
        <v/>
      </c>
      <c r="F644" s="3" t="str">
        <f t="shared" si="42"/>
        <v/>
      </c>
      <c r="G644" s="3" t="str">
        <f t="shared" si="43"/>
        <v/>
      </c>
    </row>
    <row r="645" spans="1:7" x14ac:dyDescent="0.25">
      <c r="A645" s="41" t="s">
        <v>127</v>
      </c>
      <c r="B645" s="84">
        <v>8000</v>
      </c>
      <c r="C645" s="79">
        <v>10</v>
      </c>
      <c r="D645" s="3" t="str">
        <f t="shared" si="40"/>
        <v/>
      </c>
      <c r="E645" s="3" t="str">
        <f t="shared" si="41"/>
        <v/>
      </c>
      <c r="F645" s="3" t="str">
        <f t="shared" si="42"/>
        <v/>
      </c>
      <c r="G645" s="3">
        <f t="shared" si="43"/>
        <v>10</v>
      </c>
    </row>
    <row r="646" spans="1:7" x14ac:dyDescent="0.25">
      <c r="A646" s="41" t="s">
        <v>127</v>
      </c>
      <c r="B646" s="84">
        <v>2800</v>
      </c>
      <c r="C646" s="79">
        <v>10</v>
      </c>
      <c r="D646" s="3" t="str">
        <f t="shared" si="40"/>
        <v/>
      </c>
      <c r="E646" s="3" t="str">
        <f t="shared" si="41"/>
        <v/>
      </c>
      <c r="F646" s="3">
        <f t="shared" si="42"/>
        <v>10</v>
      </c>
      <c r="G646" s="3" t="str">
        <f t="shared" si="43"/>
        <v/>
      </c>
    </row>
    <row r="647" spans="1:7" x14ac:dyDescent="0.25">
      <c r="A647" s="41" t="s">
        <v>127</v>
      </c>
      <c r="B647" s="84">
        <v>9500</v>
      </c>
      <c r="C647" s="79">
        <v>3</v>
      </c>
      <c r="D647" s="3" t="str">
        <f t="shared" si="40"/>
        <v/>
      </c>
      <c r="E647" s="3" t="str">
        <f t="shared" si="41"/>
        <v/>
      </c>
      <c r="F647" s="3" t="str">
        <f t="shared" si="42"/>
        <v/>
      </c>
      <c r="G647" s="3">
        <f t="shared" si="43"/>
        <v>3</v>
      </c>
    </row>
    <row r="648" spans="1:7" x14ac:dyDescent="0.25">
      <c r="A648" s="41" t="s">
        <v>127</v>
      </c>
      <c r="B648" s="84">
        <v>349.95</v>
      </c>
      <c r="C648" s="79">
        <v>10</v>
      </c>
      <c r="D648" s="3">
        <f t="shared" si="40"/>
        <v>10</v>
      </c>
      <c r="E648" s="3" t="str">
        <f t="shared" si="41"/>
        <v/>
      </c>
      <c r="F648" s="3" t="str">
        <f t="shared" si="42"/>
        <v/>
      </c>
      <c r="G648" s="3" t="str">
        <f t="shared" si="43"/>
        <v/>
      </c>
    </row>
    <row r="649" spans="1:7" x14ac:dyDescent="0.25">
      <c r="A649" s="41" t="s">
        <v>127</v>
      </c>
      <c r="B649" s="84">
        <v>3800</v>
      </c>
      <c r="C649" s="79" t="s">
        <v>27</v>
      </c>
      <c r="D649" s="3" t="str">
        <f t="shared" si="40"/>
        <v/>
      </c>
      <c r="E649" s="3" t="str">
        <f t="shared" si="41"/>
        <v/>
      </c>
      <c r="F649" s="3" t="str">
        <f t="shared" si="42"/>
        <v/>
      </c>
      <c r="G649" s="3" t="str">
        <f t="shared" si="43"/>
        <v/>
      </c>
    </row>
    <row r="650" spans="1:7" x14ac:dyDescent="0.25">
      <c r="A650" s="41" t="s">
        <v>122</v>
      </c>
      <c r="B650" s="84">
        <v>800</v>
      </c>
      <c r="C650" s="79">
        <v>10</v>
      </c>
      <c r="D650" s="3">
        <f t="shared" si="40"/>
        <v>10</v>
      </c>
      <c r="E650" s="3" t="str">
        <f t="shared" si="41"/>
        <v/>
      </c>
      <c r="F650" s="3" t="str">
        <f t="shared" si="42"/>
        <v/>
      </c>
      <c r="G650" s="3" t="str">
        <f t="shared" si="43"/>
        <v/>
      </c>
    </row>
    <row r="651" spans="1:7" x14ac:dyDescent="0.25">
      <c r="A651" s="41" t="s">
        <v>122</v>
      </c>
      <c r="B651" s="84">
        <v>4500</v>
      </c>
      <c r="C651" s="79" t="s">
        <v>27</v>
      </c>
      <c r="D651" s="3" t="str">
        <f t="shared" si="40"/>
        <v/>
      </c>
      <c r="E651" s="3" t="str">
        <f t="shared" si="41"/>
        <v/>
      </c>
      <c r="F651" s="3" t="str">
        <f t="shared" si="42"/>
        <v/>
      </c>
      <c r="G651" s="3" t="str">
        <f t="shared" si="43"/>
        <v/>
      </c>
    </row>
    <row r="652" spans="1:7" x14ac:dyDescent="0.25">
      <c r="A652" s="41" t="s">
        <v>122</v>
      </c>
      <c r="B652" s="84">
        <v>2220</v>
      </c>
      <c r="C652" s="79" t="s">
        <v>27</v>
      </c>
      <c r="D652" s="3" t="str">
        <f t="shared" si="40"/>
        <v/>
      </c>
      <c r="E652" s="3" t="str">
        <f t="shared" si="41"/>
        <v/>
      </c>
      <c r="F652" s="3" t="str">
        <f t="shared" si="42"/>
        <v/>
      </c>
      <c r="G652" s="3" t="str">
        <f t="shared" si="43"/>
        <v/>
      </c>
    </row>
    <row r="653" spans="1:7" x14ac:dyDescent="0.25">
      <c r="A653" s="41" t="s">
        <v>122</v>
      </c>
      <c r="B653" s="84">
        <v>3300</v>
      </c>
      <c r="C653" s="79">
        <v>9</v>
      </c>
      <c r="D653" s="3" t="str">
        <f t="shared" si="40"/>
        <v/>
      </c>
      <c r="E653" s="3" t="str">
        <f t="shared" si="41"/>
        <v/>
      </c>
      <c r="F653" s="3">
        <f t="shared" si="42"/>
        <v>9</v>
      </c>
      <c r="G653" s="3" t="str">
        <f t="shared" si="43"/>
        <v/>
      </c>
    </row>
    <row r="654" spans="1:7" x14ac:dyDescent="0.25">
      <c r="A654" s="41" t="s">
        <v>122</v>
      </c>
      <c r="B654" s="84">
        <v>3152</v>
      </c>
      <c r="C654" s="79" t="s">
        <v>27</v>
      </c>
      <c r="D654" s="3" t="str">
        <f t="shared" si="40"/>
        <v/>
      </c>
      <c r="E654" s="3" t="str">
        <f t="shared" si="41"/>
        <v/>
      </c>
      <c r="F654" s="3" t="str">
        <f t="shared" si="42"/>
        <v/>
      </c>
      <c r="G654" s="3" t="str">
        <f t="shared" si="43"/>
        <v/>
      </c>
    </row>
    <row r="655" spans="1:7" x14ac:dyDescent="0.25">
      <c r="A655" s="41" t="s">
        <v>122</v>
      </c>
      <c r="B655" s="84">
        <v>2580</v>
      </c>
      <c r="C655" s="79" t="s">
        <v>27</v>
      </c>
      <c r="D655" s="3" t="str">
        <f t="shared" si="40"/>
        <v/>
      </c>
      <c r="E655" s="3" t="str">
        <f t="shared" si="41"/>
        <v/>
      </c>
      <c r="F655" s="3" t="str">
        <f t="shared" si="42"/>
        <v/>
      </c>
      <c r="G655" s="3" t="str">
        <f t="shared" si="43"/>
        <v/>
      </c>
    </row>
    <row r="656" spans="1:7" x14ac:dyDescent="0.25">
      <c r="A656" s="41" t="s">
        <v>122</v>
      </c>
      <c r="B656" s="84">
        <v>1485</v>
      </c>
      <c r="C656" s="79" t="s">
        <v>27</v>
      </c>
      <c r="D656" s="3" t="str">
        <f t="shared" si="40"/>
        <v/>
      </c>
      <c r="E656" s="3" t="str">
        <f t="shared" si="41"/>
        <v/>
      </c>
      <c r="F656" s="3" t="str">
        <f t="shared" si="42"/>
        <v/>
      </c>
      <c r="G656" s="3" t="str">
        <f t="shared" si="43"/>
        <v/>
      </c>
    </row>
    <row r="657" spans="1:7" x14ac:dyDescent="0.25">
      <c r="A657" s="41" t="s">
        <v>122</v>
      </c>
      <c r="B657" s="84">
        <v>748</v>
      </c>
      <c r="C657" s="79" t="s">
        <v>27</v>
      </c>
      <c r="D657" s="3" t="str">
        <f t="shared" si="40"/>
        <v/>
      </c>
      <c r="E657" s="3" t="str">
        <f t="shared" si="41"/>
        <v/>
      </c>
      <c r="F657" s="3" t="str">
        <f t="shared" si="42"/>
        <v/>
      </c>
      <c r="G657" s="3" t="str">
        <f t="shared" si="43"/>
        <v/>
      </c>
    </row>
    <row r="658" spans="1:7" x14ac:dyDescent="0.25">
      <c r="A658" s="41" t="s">
        <v>122</v>
      </c>
      <c r="B658" s="84">
        <v>3500</v>
      </c>
      <c r="C658" s="79" t="s">
        <v>27</v>
      </c>
      <c r="D658" s="3" t="str">
        <f t="shared" si="40"/>
        <v/>
      </c>
      <c r="E658" s="3" t="str">
        <f t="shared" si="41"/>
        <v/>
      </c>
      <c r="F658" s="3" t="str">
        <f t="shared" si="42"/>
        <v/>
      </c>
      <c r="G658" s="3" t="str">
        <f t="shared" si="43"/>
        <v/>
      </c>
    </row>
    <row r="659" spans="1:7" x14ac:dyDescent="0.25">
      <c r="A659" s="41" t="s">
        <v>122</v>
      </c>
      <c r="B659" s="84">
        <v>3900</v>
      </c>
      <c r="C659" s="79" t="s">
        <v>27</v>
      </c>
      <c r="D659" s="3" t="str">
        <f t="shared" si="40"/>
        <v/>
      </c>
      <c r="E659" s="3" t="str">
        <f t="shared" si="41"/>
        <v/>
      </c>
      <c r="F659" s="3" t="str">
        <f t="shared" si="42"/>
        <v/>
      </c>
      <c r="G659" s="3" t="str">
        <f t="shared" si="43"/>
        <v/>
      </c>
    </row>
    <row r="660" spans="1:7" x14ac:dyDescent="0.25">
      <c r="A660" s="41" t="s">
        <v>90</v>
      </c>
      <c r="B660" s="84">
        <v>576</v>
      </c>
      <c r="C660" s="79" t="s">
        <v>27</v>
      </c>
      <c r="D660" s="3" t="str">
        <f t="shared" si="40"/>
        <v/>
      </c>
      <c r="E660" s="3" t="str">
        <f t="shared" si="41"/>
        <v/>
      </c>
      <c r="F660" s="3" t="str">
        <f t="shared" si="42"/>
        <v/>
      </c>
      <c r="G660" s="3" t="str">
        <f t="shared" si="43"/>
        <v/>
      </c>
    </row>
    <row r="661" spans="1:7" x14ac:dyDescent="0.25">
      <c r="A661" s="41" t="s">
        <v>90</v>
      </c>
      <c r="B661" s="84">
        <v>40</v>
      </c>
      <c r="C661" s="79" t="s">
        <v>27</v>
      </c>
      <c r="D661" s="3" t="str">
        <f t="shared" si="40"/>
        <v/>
      </c>
      <c r="E661" s="3" t="str">
        <f t="shared" si="41"/>
        <v/>
      </c>
      <c r="F661" s="3" t="str">
        <f t="shared" si="42"/>
        <v/>
      </c>
      <c r="G661" s="3" t="str">
        <f t="shared" si="43"/>
        <v/>
      </c>
    </row>
    <row r="662" spans="1:7" x14ac:dyDescent="0.25">
      <c r="A662" s="41" t="s">
        <v>106</v>
      </c>
      <c r="B662" s="84">
        <v>236.6</v>
      </c>
      <c r="C662" s="79">
        <v>8</v>
      </c>
      <c r="D662" s="3">
        <f t="shared" si="40"/>
        <v>8</v>
      </c>
      <c r="E662" s="3" t="str">
        <f t="shared" si="41"/>
        <v/>
      </c>
      <c r="F662" s="3" t="str">
        <f t="shared" si="42"/>
        <v/>
      </c>
      <c r="G662" s="3" t="str">
        <f t="shared" si="43"/>
        <v/>
      </c>
    </row>
    <row r="663" spans="1:7" x14ac:dyDescent="0.25">
      <c r="A663" s="41" t="s">
        <v>106</v>
      </c>
      <c r="B663" s="84">
        <v>353.76</v>
      </c>
      <c r="C663" s="79" t="s">
        <v>27</v>
      </c>
      <c r="D663" s="3" t="str">
        <f t="shared" si="40"/>
        <v/>
      </c>
      <c r="E663" s="3" t="str">
        <f t="shared" si="41"/>
        <v/>
      </c>
      <c r="F663" s="3" t="str">
        <f t="shared" si="42"/>
        <v/>
      </c>
      <c r="G663" s="3" t="str">
        <f t="shared" si="43"/>
        <v/>
      </c>
    </row>
    <row r="664" spans="1:7" x14ac:dyDescent="0.25">
      <c r="A664" s="41" t="s">
        <v>106</v>
      </c>
      <c r="B664" s="84">
        <v>650.5</v>
      </c>
      <c r="C664" s="79" t="s">
        <v>27</v>
      </c>
      <c r="D664" s="3" t="str">
        <f t="shared" si="40"/>
        <v/>
      </c>
      <c r="E664" s="3" t="str">
        <f t="shared" si="41"/>
        <v/>
      </c>
      <c r="F664" s="3" t="str">
        <f t="shared" si="42"/>
        <v/>
      </c>
      <c r="G664" s="3" t="str">
        <f t="shared" si="43"/>
        <v/>
      </c>
    </row>
    <row r="665" spans="1:7" x14ac:dyDescent="0.25">
      <c r="A665" s="41" t="s">
        <v>106</v>
      </c>
      <c r="B665" s="84">
        <v>30</v>
      </c>
      <c r="C665" s="79" t="s">
        <v>27</v>
      </c>
      <c r="D665" s="3" t="str">
        <f t="shared" si="40"/>
        <v/>
      </c>
      <c r="E665" s="3" t="str">
        <f t="shared" si="41"/>
        <v/>
      </c>
      <c r="F665" s="3" t="str">
        <f t="shared" si="42"/>
        <v/>
      </c>
      <c r="G665" s="3" t="str">
        <f t="shared" si="43"/>
        <v/>
      </c>
    </row>
    <row r="666" spans="1:7" x14ac:dyDescent="0.25">
      <c r="A666" s="41" t="s">
        <v>106</v>
      </c>
      <c r="B666" s="84">
        <v>143</v>
      </c>
      <c r="C666" s="79" t="s">
        <v>27</v>
      </c>
      <c r="D666" s="3" t="str">
        <f t="shared" si="40"/>
        <v/>
      </c>
      <c r="E666" s="3" t="str">
        <f t="shared" si="41"/>
        <v/>
      </c>
      <c r="F666" s="3" t="str">
        <f t="shared" si="42"/>
        <v/>
      </c>
      <c r="G666" s="3" t="str">
        <f t="shared" si="43"/>
        <v/>
      </c>
    </row>
    <row r="667" spans="1:7" x14ac:dyDescent="0.25">
      <c r="A667" s="41" t="s">
        <v>106</v>
      </c>
      <c r="B667" s="84">
        <v>168.45</v>
      </c>
      <c r="C667" s="79" t="s">
        <v>27</v>
      </c>
      <c r="D667" s="3" t="str">
        <f t="shared" si="40"/>
        <v/>
      </c>
      <c r="E667" s="3" t="str">
        <f t="shared" si="41"/>
        <v/>
      </c>
      <c r="F667" s="3" t="str">
        <f t="shared" si="42"/>
        <v/>
      </c>
      <c r="G667" s="3" t="str">
        <f t="shared" si="43"/>
        <v/>
      </c>
    </row>
    <row r="668" spans="1:7" x14ac:dyDescent="0.25">
      <c r="A668" s="41" t="s">
        <v>106</v>
      </c>
      <c r="B668" s="84">
        <v>954.2</v>
      </c>
      <c r="C668" s="79" t="s">
        <v>27</v>
      </c>
      <c r="D668" s="3" t="str">
        <f t="shared" si="40"/>
        <v/>
      </c>
      <c r="E668" s="3" t="str">
        <f t="shared" si="41"/>
        <v/>
      </c>
      <c r="F668" s="3" t="str">
        <f t="shared" si="42"/>
        <v/>
      </c>
      <c r="G668" s="3" t="str">
        <f t="shared" si="43"/>
        <v/>
      </c>
    </row>
    <row r="669" spans="1:7" x14ac:dyDescent="0.25">
      <c r="A669" s="41" t="s">
        <v>106</v>
      </c>
      <c r="B669" s="84">
        <v>335.88</v>
      </c>
      <c r="C669" s="79" t="s">
        <v>27</v>
      </c>
      <c r="D669" s="3" t="str">
        <f t="shared" si="40"/>
        <v/>
      </c>
      <c r="E669" s="3" t="str">
        <f t="shared" si="41"/>
        <v/>
      </c>
      <c r="F669" s="3" t="str">
        <f t="shared" si="42"/>
        <v/>
      </c>
      <c r="G669" s="3" t="str">
        <f t="shared" si="43"/>
        <v/>
      </c>
    </row>
    <row r="670" spans="1:7" x14ac:dyDescent="0.25">
      <c r="A670" s="41" t="s">
        <v>106</v>
      </c>
      <c r="B670" s="84">
        <v>200</v>
      </c>
      <c r="C670" s="79" t="s">
        <v>27</v>
      </c>
      <c r="D670" s="3" t="str">
        <f t="shared" si="40"/>
        <v/>
      </c>
      <c r="E670" s="3" t="str">
        <f t="shared" si="41"/>
        <v/>
      </c>
      <c r="F670" s="3" t="str">
        <f t="shared" si="42"/>
        <v/>
      </c>
      <c r="G670" s="3" t="str">
        <f t="shared" si="43"/>
        <v/>
      </c>
    </row>
    <row r="671" spans="1:7" x14ac:dyDescent="0.25">
      <c r="A671" s="41" t="s">
        <v>106</v>
      </c>
      <c r="B671" s="84">
        <v>298.89999999999998</v>
      </c>
      <c r="C671" s="79" t="s">
        <v>27</v>
      </c>
      <c r="D671" s="3" t="str">
        <f t="shared" si="40"/>
        <v/>
      </c>
      <c r="E671" s="3" t="str">
        <f t="shared" si="41"/>
        <v/>
      </c>
      <c r="F671" s="3" t="str">
        <f t="shared" si="42"/>
        <v/>
      </c>
      <c r="G671" s="3" t="str">
        <f t="shared" si="43"/>
        <v/>
      </c>
    </row>
    <row r="672" spans="1:7" x14ac:dyDescent="0.25">
      <c r="A672" s="41" t="s">
        <v>106</v>
      </c>
      <c r="B672" s="84">
        <v>335.45</v>
      </c>
      <c r="C672" s="79" t="s">
        <v>27</v>
      </c>
      <c r="D672" s="3" t="str">
        <f t="shared" si="40"/>
        <v/>
      </c>
      <c r="E672" s="3" t="str">
        <f t="shared" si="41"/>
        <v/>
      </c>
      <c r="F672" s="3" t="str">
        <f t="shared" si="42"/>
        <v/>
      </c>
      <c r="G672" s="3" t="str">
        <f t="shared" si="43"/>
        <v/>
      </c>
    </row>
    <row r="673" spans="1:7" x14ac:dyDescent="0.25">
      <c r="A673" s="41" t="s">
        <v>106</v>
      </c>
      <c r="B673" s="84">
        <v>600</v>
      </c>
      <c r="C673" s="79">
        <v>10</v>
      </c>
      <c r="D673" s="3">
        <f t="shared" si="40"/>
        <v>10</v>
      </c>
      <c r="E673" s="3" t="str">
        <f t="shared" si="41"/>
        <v/>
      </c>
      <c r="F673" s="3" t="str">
        <f t="shared" si="42"/>
        <v/>
      </c>
      <c r="G673" s="3" t="str">
        <f t="shared" si="43"/>
        <v/>
      </c>
    </row>
    <row r="674" spans="1:7" x14ac:dyDescent="0.25">
      <c r="A674" s="41" t="s">
        <v>106</v>
      </c>
      <c r="B674" s="84">
        <v>5504</v>
      </c>
      <c r="C674" s="79" t="s">
        <v>27</v>
      </c>
      <c r="D674" s="3" t="str">
        <f t="shared" si="40"/>
        <v/>
      </c>
      <c r="E674" s="3" t="str">
        <f t="shared" si="41"/>
        <v/>
      </c>
      <c r="F674" s="3" t="str">
        <f t="shared" si="42"/>
        <v/>
      </c>
      <c r="G674" s="3" t="str">
        <f t="shared" si="43"/>
        <v/>
      </c>
    </row>
    <row r="675" spans="1:7" x14ac:dyDescent="0.25">
      <c r="A675" s="41" t="s">
        <v>106</v>
      </c>
      <c r="B675" s="84">
        <v>300</v>
      </c>
      <c r="C675" s="79">
        <v>10</v>
      </c>
      <c r="D675" s="3">
        <f t="shared" si="40"/>
        <v>10</v>
      </c>
      <c r="E675" s="3" t="str">
        <f t="shared" si="41"/>
        <v/>
      </c>
      <c r="F675" s="3" t="str">
        <f t="shared" si="42"/>
        <v/>
      </c>
      <c r="G675" s="3" t="str">
        <f t="shared" si="43"/>
        <v/>
      </c>
    </row>
    <row r="676" spans="1:7" x14ac:dyDescent="0.25">
      <c r="A676" s="41" t="s">
        <v>106</v>
      </c>
      <c r="B676" s="84">
        <v>236.6</v>
      </c>
      <c r="C676" s="79">
        <v>8</v>
      </c>
      <c r="D676" s="3">
        <f t="shared" si="40"/>
        <v>8</v>
      </c>
      <c r="E676" s="3" t="str">
        <f t="shared" si="41"/>
        <v/>
      </c>
      <c r="F676" s="3" t="str">
        <f t="shared" si="42"/>
        <v/>
      </c>
      <c r="G676" s="3" t="str">
        <f t="shared" si="43"/>
        <v/>
      </c>
    </row>
    <row r="677" spans="1:7" x14ac:dyDescent="0.25">
      <c r="A677" s="41" t="s">
        <v>106</v>
      </c>
      <c r="B677" s="84">
        <v>724.5</v>
      </c>
      <c r="C677" s="79" t="s">
        <v>27</v>
      </c>
      <c r="D677" s="3" t="str">
        <f t="shared" si="40"/>
        <v/>
      </c>
      <c r="E677" s="3" t="str">
        <f t="shared" si="41"/>
        <v/>
      </c>
      <c r="F677" s="3" t="str">
        <f t="shared" si="42"/>
        <v/>
      </c>
      <c r="G677" s="3" t="str">
        <f t="shared" si="43"/>
        <v/>
      </c>
    </row>
    <row r="678" spans="1:7" x14ac:dyDescent="0.25">
      <c r="A678" s="41" t="s">
        <v>106</v>
      </c>
      <c r="B678" s="84">
        <v>25</v>
      </c>
      <c r="C678" s="79" t="s">
        <v>27</v>
      </c>
      <c r="D678" s="3" t="str">
        <f t="shared" si="40"/>
        <v/>
      </c>
      <c r="E678" s="3" t="str">
        <f t="shared" si="41"/>
        <v/>
      </c>
      <c r="F678" s="3" t="str">
        <f t="shared" si="42"/>
        <v/>
      </c>
      <c r="G678" s="3" t="str">
        <f t="shared" si="43"/>
        <v/>
      </c>
    </row>
    <row r="679" spans="1:7" x14ac:dyDescent="0.25">
      <c r="A679" s="41" t="s">
        <v>110</v>
      </c>
      <c r="B679" s="84">
        <v>7350</v>
      </c>
      <c r="C679" s="79" t="s">
        <v>27</v>
      </c>
      <c r="D679" s="3" t="str">
        <f t="shared" si="40"/>
        <v/>
      </c>
      <c r="E679" s="3" t="str">
        <f t="shared" si="41"/>
        <v/>
      </c>
      <c r="F679" s="3" t="str">
        <f t="shared" si="42"/>
        <v/>
      </c>
      <c r="G679" s="3" t="str">
        <f t="shared" si="43"/>
        <v/>
      </c>
    </row>
    <row r="680" spans="1:7" x14ac:dyDescent="0.25">
      <c r="A680" s="41" t="s">
        <v>110</v>
      </c>
      <c r="B680" s="84">
        <v>5000</v>
      </c>
      <c r="C680" s="79" t="s">
        <v>27</v>
      </c>
      <c r="D680" s="3" t="str">
        <f t="shared" si="40"/>
        <v/>
      </c>
      <c r="E680" s="3" t="str">
        <f t="shared" si="41"/>
        <v/>
      </c>
      <c r="F680" s="3" t="str">
        <f t="shared" si="42"/>
        <v/>
      </c>
      <c r="G680" s="3" t="str">
        <f t="shared" si="43"/>
        <v/>
      </c>
    </row>
    <row r="681" spans="1:7" x14ac:dyDescent="0.25">
      <c r="A681" s="41" t="s">
        <v>110</v>
      </c>
      <c r="B681" s="84">
        <v>4000</v>
      </c>
      <c r="C681" s="79" t="s">
        <v>27</v>
      </c>
      <c r="D681" s="3" t="str">
        <f t="shared" si="40"/>
        <v/>
      </c>
      <c r="E681" s="3" t="str">
        <f t="shared" si="41"/>
        <v/>
      </c>
      <c r="F681" s="3" t="str">
        <f t="shared" si="42"/>
        <v/>
      </c>
      <c r="G681" s="3" t="str">
        <f t="shared" si="43"/>
        <v/>
      </c>
    </row>
    <row r="682" spans="1:7" x14ac:dyDescent="0.25">
      <c r="A682" s="41" t="s">
        <v>110</v>
      </c>
      <c r="B682" s="84">
        <v>20500</v>
      </c>
      <c r="C682" s="79" t="s">
        <v>27</v>
      </c>
      <c r="D682" s="3" t="str">
        <f t="shared" si="40"/>
        <v/>
      </c>
      <c r="E682" s="3" t="str">
        <f t="shared" si="41"/>
        <v/>
      </c>
      <c r="F682" s="3" t="str">
        <f t="shared" si="42"/>
        <v/>
      </c>
      <c r="G682" s="3" t="str">
        <f t="shared" si="43"/>
        <v/>
      </c>
    </row>
    <row r="683" spans="1:7" x14ac:dyDescent="0.25">
      <c r="A683" s="41" t="s">
        <v>110</v>
      </c>
      <c r="B683" s="84">
        <v>35246</v>
      </c>
      <c r="C683" s="79" t="s">
        <v>27</v>
      </c>
      <c r="D683" s="3" t="str">
        <f t="shared" si="40"/>
        <v/>
      </c>
      <c r="E683" s="3" t="str">
        <f t="shared" si="41"/>
        <v/>
      </c>
      <c r="F683" s="3" t="str">
        <f t="shared" si="42"/>
        <v/>
      </c>
      <c r="G683" s="3" t="str">
        <f t="shared" si="43"/>
        <v/>
      </c>
    </row>
    <row r="684" spans="1:7" x14ac:dyDescent="0.25">
      <c r="A684" s="41" t="s">
        <v>110</v>
      </c>
      <c r="B684" s="84">
        <v>6370</v>
      </c>
      <c r="C684" s="79" t="s">
        <v>27</v>
      </c>
      <c r="D684" s="3" t="str">
        <f t="shared" si="40"/>
        <v/>
      </c>
      <c r="E684" s="3" t="str">
        <f t="shared" si="41"/>
        <v/>
      </c>
      <c r="F684" s="3" t="str">
        <f t="shared" si="42"/>
        <v/>
      </c>
      <c r="G684" s="3" t="str">
        <f t="shared" si="43"/>
        <v/>
      </c>
    </row>
    <row r="685" spans="1:7" x14ac:dyDescent="0.25">
      <c r="A685" s="41" t="s">
        <v>110</v>
      </c>
      <c r="B685" s="84">
        <v>8820</v>
      </c>
      <c r="C685" s="79">
        <v>9</v>
      </c>
      <c r="D685" s="3" t="str">
        <f t="shared" si="40"/>
        <v/>
      </c>
      <c r="E685" s="3" t="str">
        <f t="shared" si="41"/>
        <v/>
      </c>
      <c r="F685" s="3" t="str">
        <f t="shared" si="42"/>
        <v/>
      </c>
      <c r="G685" s="3">
        <f t="shared" si="43"/>
        <v>9</v>
      </c>
    </row>
    <row r="686" spans="1:7" x14ac:dyDescent="0.25">
      <c r="A686" s="41" t="s">
        <v>110</v>
      </c>
      <c r="B686" s="84">
        <v>9625</v>
      </c>
      <c r="C686" s="79" t="s">
        <v>27</v>
      </c>
      <c r="D686" s="3" t="str">
        <f t="shared" si="40"/>
        <v/>
      </c>
      <c r="E686" s="3" t="str">
        <f t="shared" si="41"/>
        <v/>
      </c>
      <c r="F686" s="3" t="str">
        <f t="shared" si="42"/>
        <v/>
      </c>
      <c r="G686" s="3" t="str">
        <f t="shared" si="43"/>
        <v/>
      </c>
    </row>
    <row r="687" spans="1:7" x14ac:dyDescent="0.25">
      <c r="A687" s="41" t="s">
        <v>110</v>
      </c>
      <c r="B687" s="84">
        <v>20646</v>
      </c>
      <c r="C687" s="79" t="s">
        <v>27</v>
      </c>
      <c r="D687" s="3" t="str">
        <f t="shared" si="40"/>
        <v/>
      </c>
      <c r="E687" s="3" t="str">
        <f t="shared" si="41"/>
        <v/>
      </c>
      <c r="F687" s="3" t="str">
        <f t="shared" si="42"/>
        <v/>
      </c>
      <c r="G687" s="3" t="str">
        <f t="shared" si="43"/>
        <v/>
      </c>
    </row>
    <row r="688" spans="1:7" x14ac:dyDescent="0.25">
      <c r="A688" s="41" t="s">
        <v>110</v>
      </c>
      <c r="B688" s="84">
        <v>5238</v>
      </c>
      <c r="C688" s="79" t="s">
        <v>27</v>
      </c>
      <c r="D688" s="3" t="str">
        <f t="shared" si="40"/>
        <v/>
      </c>
      <c r="E688" s="3" t="str">
        <f t="shared" si="41"/>
        <v/>
      </c>
      <c r="F688" s="3" t="str">
        <f t="shared" si="42"/>
        <v/>
      </c>
      <c r="G688" s="3" t="str">
        <f t="shared" si="43"/>
        <v/>
      </c>
    </row>
    <row r="689" spans="1:7" x14ac:dyDescent="0.25">
      <c r="A689" s="41" t="s">
        <v>110</v>
      </c>
      <c r="B689" s="84">
        <v>7000</v>
      </c>
      <c r="C689" s="79" t="s">
        <v>27</v>
      </c>
      <c r="D689" s="3" t="str">
        <f t="shared" si="40"/>
        <v/>
      </c>
      <c r="E689" s="3" t="str">
        <f t="shared" si="41"/>
        <v/>
      </c>
      <c r="F689" s="3" t="str">
        <f t="shared" si="42"/>
        <v/>
      </c>
      <c r="G689" s="3" t="str">
        <f t="shared" si="43"/>
        <v/>
      </c>
    </row>
    <row r="690" spans="1:7" x14ac:dyDescent="0.25">
      <c r="A690" s="41" t="s">
        <v>110</v>
      </c>
      <c r="B690" s="84">
        <v>3500</v>
      </c>
      <c r="C690" s="79" t="s">
        <v>27</v>
      </c>
      <c r="D690" s="3" t="str">
        <f t="shared" si="40"/>
        <v/>
      </c>
      <c r="E690" s="3" t="str">
        <f t="shared" si="41"/>
        <v/>
      </c>
      <c r="F690" s="3" t="str">
        <f t="shared" si="42"/>
        <v/>
      </c>
      <c r="G690" s="3" t="str">
        <f t="shared" si="43"/>
        <v/>
      </c>
    </row>
    <row r="691" spans="1:7" x14ac:dyDescent="0.25">
      <c r="A691" s="41" t="s">
        <v>110</v>
      </c>
      <c r="B691" s="84">
        <v>4872</v>
      </c>
      <c r="C691" s="79" t="s">
        <v>27</v>
      </c>
      <c r="D691" s="3" t="str">
        <f t="shared" si="40"/>
        <v/>
      </c>
      <c r="E691" s="3" t="str">
        <f t="shared" si="41"/>
        <v/>
      </c>
      <c r="F691" s="3" t="str">
        <f t="shared" si="42"/>
        <v/>
      </c>
      <c r="G691" s="3" t="str">
        <f t="shared" si="43"/>
        <v/>
      </c>
    </row>
    <row r="692" spans="1:7" x14ac:dyDescent="0.25">
      <c r="A692" s="41" t="s">
        <v>110</v>
      </c>
      <c r="B692" s="84">
        <v>3500</v>
      </c>
      <c r="C692" s="79">
        <v>9</v>
      </c>
      <c r="D692" s="3" t="str">
        <f t="shared" si="40"/>
        <v/>
      </c>
      <c r="E692" s="3" t="str">
        <f t="shared" si="41"/>
        <v/>
      </c>
      <c r="F692" s="3">
        <f t="shared" si="42"/>
        <v>9</v>
      </c>
      <c r="G692" s="3" t="str">
        <f t="shared" si="43"/>
        <v/>
      </c>
    </row>
    <row r="693" spans="1:7" x14ac:dyDescent="0.25">
      <c r="A693" s="41" t="s">
        <v>110</v>
      </c>
      <c r="B693" s="84">
        <v>5000.04</v>
      </c>
      <c r="C693" s="79" t="s">
        <v>27</v>
      </c>
      <c r="D693" s="3" t="str">
        <f t="shared" si="40"/>
        <v/>
      </c>
      <c r="E693" s="3" t="str">
        <f t="shared" si="41"/>
        <v/>
      </c>
      <c r="F693" s="3" t="str">
        <f t="shared" si="42"/>
        <v/>
      </c>
      <c r="G693" s="3" t="str">
        <f t="shared" si="43"/>
        <v/>
      </c>
    </row>
    <row r="694" spans="1:7" x14ac:dyDescent="0.25">
      <c r="A694" s="41" t="s">
        <v>110</v>
      </c>
      <c r="B694" s="84">
        <v>9300</v>
      </c>
      <c r="C694" s="79" t="s">
        <v>27</v>
      </c>
      <c r="D694" s="3" t="str">
        <f t="shared" si="40"/>
        <v/>
      </c>
      <c r="E694" s="3" t="str">
        <f t="shared" si="41"/>
        <v/>
      </c>
      <c r="F694" s="3" t="str">
        <f t="shared" si="42"/>
        <v/>
      </c>
      <c r="G694" s="3" t="str">
        <f t="shared" si="43"/>
        <v/>
      </c>
    </row>
    <row r="695" spans="1:7" x14ac:dyDescent="0.25">
      <c r="A695" s="41" t="s">
        <v>110</v>
      </c>
      <c r="B695" s="84">
        <v>3600</v>
      </c>
      <c r="C695" s="79" t="s">
        <v>27</v>
      </c>
      <c r="D695" s="3" t="str">
        <f t="shared" si="40"/>
        <v/>
      </c>
      <c r="E695" s="3" t="str">
        <f t="shared" si="41"/>
        <v/>
      </c>
      <c r="F695" s="3" t="str">
        <f t="shared" si="42"/>
        <v/>
      </c>
      <c r="G695" s="3" t="str">
        <f t="shared" si="43"/>
        <v/>
      </c>
    </row>
    <row r="696" spans="1:7" x14ac:dyDescent="0.25">
      <c r="A696" s="41" t="s">
        <v>110</v>
      </c>
      <c r="B696" s="84">
        <v>5040</v>
      </c>
      <c r="C696" s="79" t="s">
        <v>27</v>
      </c>
      <c r="D696" s="3" t="str">
        <f t="shared" si="40"/>
        <v/>
      </c>
      <c r="E696" s="3" t="str">
        <f t="shared" si="41"/>
        <v/>
      </c>
      <c r="F696" s="3" t="str">
        <f t="shared" si="42"/>
        <v/>
      </c>
      <c r="G696" s="3" t="str">
        <f t="shared" si="43"/>
        <v/>
      </c>
    </row>
    <row r="697" spans="1:7" x14ac:dyDescent="0.25">
      <c r="A697" s="41" t="s">
        <v>110</v>
      </c>
      <c r="B697" s="84">
        <v>1200</v>
      </c>
      <c r="C697" s="79" t="s">
        <v>27</v>
      </c>
      <c r="D697" s="3" t="str">
        <f t="shared" si="40"/>
        <v/>
      </c>
      <c r="E697" s="3" t="str">
        <f t="shared" si="41"/>
        <v/>
      </c>
      <c r="F697" s="3" t="str">
        <f t="shared" si="42"/>
        <v/>
      </c>
      <c r="G697" s="3" t="str">
        <f t="shared" si="43"/>
        <v/>
      </c>
    </row>
    <row r="698" spans="1:7" x14ac:dyDescent="0.25">
      <c r="A698" s="41" t="s">
        <v>110</v>
      </c>
      <c r="B698" s="84">
        <v>4250</v>
      </c>
      <c r="C698" s="79" t="s">
        <v>27</v>
      </c>
      <c r="D698" s="3" t="str">
        <f t="shared" si="40"/>
        <v/>
      </c>
      <c r="E698" s="3" t="str">
        <f t="shared" si="41"/>
        <v/>
      </c>
      <c r="F698" s="3" t="str">
        <f t="shared" si="42"/>
        <v/>
      </c>
      <c r="G698" s="3" t="str">
        <f t="shared" si="43"/>
        <v/>
      </c>
    </row>
    <row r="699" spans="1:7" x14ac:dyDescent="0.25">
      <c r="A699" s="41" t="s">
        <v>32</v>
      </c>
      <c r="B699" s="84">
        <v>4800</v>
      </c>
      <c r="C699" s="79" t="s">
        <v>27</v>
      </c>
      <c r="D699" s="3" t="str">
        <f t="shared" si="40"/>
        <v/>
      </c>
      <c r="E699" s="3" t="str">
        <f t="shared" si="41"/>
        <v/>
      </c>
      <c r="F699" s="3" t="str">
        <f t="shared" si="42"/>
        <v/>
      </c>
      <c r="G699" s="3" t="str">
        <f t="shared" si="43"/>
        <v/>
      </c>
    </row>
    <row r="700" spans="1:7" x14ac:dyDescent="0.25">
      <c r="A700" s="41" t="s">
        <v>32</v>
      </c>
      <c r="B700" s="84">
        <v>1271.6199999999999</v>
      </c>
      <c r="C700" s="79">
        <v>8</v>
      </c>
      <c r="D700" s="3" t="str">
        <f t="shared" si="40"/>
        <v/>
      </c>
      <c r="E700" s="3">
        <f t="shared" si="41"/>
        <v>8</v>
      </c>
      <c r="F700" s="3" t="str">
        <f t="shared" si="42"/>
        <v/>
      </c>
      <c r="G700" s="3" t="str">
        <f t="shared" si="43"/>
        <v/>
      </c>
    </row>
    <row r="701" spans="1:7" x14ac:dyDescent="0.25">
      <c r="A701" s="41" t="s">
        <v>32</v>
      </c>
      <c r="B701" s="84">
        <v>900</v>
      </c>
      <c r="C701" s="79" t="s">
        <v>27</v>
      </c>
      <c r="D701" s="3" t="str">
        <f t="shared" si="40"/>
        <v/>
      </c>
      <c r="E701" s="3" t="str">
        <f t="shared" si="41"/>
        <v/>
      </c>
      <c r="F701" s="3" t="str">
        <f t="shared" si="42"/>
        <v/>
      </c>
      <c r="G701" s="3" t="str">
        <f t="shared" si="43"/>
        <v/>
      </c>
    </row>
    <row r="702" spans="1:7" x14ac:dyDescent="0.25">
      <c r="A702" s="41" t="s">
        <v>150</v>
      </c>
      <c r="B702" s="84">
        <v>2700</v>
      </c>
      <c r="C702" s="79" t="s">
        <v>27</v>
      </c>
      <c r="D702" s="3" t="str">
        <f t="shared" si="40"/>
        <v/>
      </c>
      <c r="E702" s="3" t="str">
        <f t="shared" si="41"/>
        <v/>
      </c>
      <c r="F702" s="3" t="str">
        <f t="shared" si="42"/>
        <v/>
      </c>
      <c r="G702" s="3" t="str">
        <f t="shared" si="43"/>
        <v/>
      </c>
    </row>
    <row r="703" spans="1:7" x14ac:dyDescent="0.25">
      <c r="A703" s="41" t="s">
        <v>150</v>
      </c>
      <c r="B703" s="84">
        <v>350</v>
      </c>
      <c r="C703" s="79">
        <v>10</v>
      </c>
      <c r="D703" s="3">
        <f t="shared" si="40"/>
        <v>10</v>
      </c>
      <c r="E703" s="3" t="str">
        <f t="shared" si="41"/>
        <v/>
      </c>
      <c r="F703" s="3" t="str">
        <f t="shared" si="42"/>
        <v/>
      </c>
      <c r="G703" s="3" t="str">
        <f t="shared" si="43"/>
        <v/>
      </c>
    </row>
    <row r="704" spans="1:7" x14ac:dyDescent="0.25">
      <c r="A704" s="41" t="s">
        <v>150</v>
      </c>
      <c r="B704" s="84">
        <v>2000</v>
      </c>
      <c r="C704" s="79">
        <v>10</v>
      </c>
      <c r="D704" s="3" t="str">
        <f t="shared" si="40"/>
        <v/>
      </c>
      <c r="E704" s="3">
        <f t="shared" si="41"/>
        <v>10</v>
      </c>
      <c r="F704" s="3" t="str">
        <f t="shared" si="42"/>
        <v/>
      </c>
      <c r="G704" s="3" t="str">
        <f t="shared" si="43"/>
        <v/>
      </c>
    </row>
    <row r="705" spans="1:7" x14ac:dyDescent="0.25">
      <c r="A705" s="41" t="s">
        <v>150</v>
      </c>
      <c r="B705" s="84">
        <v>900</v>
      </c>
      <c r="C705" s="79">
        <v>8</v>
      </c>
      <c r="D705" s="3">
        <f t="shared" si="40"/>
        <v>8</v>
      </c>
      <c r="E705" s="3" t="str">
        <f t="shared" si="41"/>
        <v/>
      </c>
      <c r="F705" s="3" t="str">
        <f t="shared" si="42"/>
        <v/>
      </c>
      <c r="G705" s="3" t="str">
        <f t="shared" si="43"/>
        <v/>
      </c>
    </row>
    <row r="706" spans="1:7" x14ac:dyDescent="0.25">
      <c r="A706" s="41" t="s">
        <v>150</v>
      </c>
      <c r="B706" s="84">
        <v>200</v>
      </c>
      <c r="C706" s="79">
        <v>10</v>
      </c>
      <c r="D706" s="3">
        <f t="shared" si="40"/>
        <v>10</v>
      </c>
      <c r="E706" s="3" t="str">
        <f t="shared" si="41"/>
        <v/>
      </c>
      <c r="F706" s="3" t="str">
        <f t="shared" si="42"/>
        <v/>
      </c>
      <c r="G706" s="3" t="str">
        <f t="shared" si="43"/>
        <v/>
      </c>
    </row>
    <row r="707" spans="1:7" x14ac:dyDescent="0.25">
      <c r="A707" s="41" t="s">
        <v>150</v>
      </c>
      <c r="B707" s="84">
        <v>1500</v>
      </c>
      <c r="C707" s="79">
        <v>7</v>
      </c>
      <c r="D707" s="3" t="str">
        <f t="shared" ref="D707:D770" si="44">IF(AND(B707&gt;0,B707&lt;1000),C707,"")</f>
        <v/>
      </c>
      <c r="E707" s="3">
        <f t="shared" ref="E707:E770" si="45">IF(AND(B707&gt;1000,B707&lt;2500),C707,"")</f>
        <v>7</v>
      </c>
      <c r="F707" s="3" t="str">
        <f t="shared" ref="F707:F770" si="46">IF(AND(B707&gt;2500,B707&lt;5000),C707,"")</f>
        <v/>
      </c>
      <c r="G707" s="3" t="str">
        <f t="shared" ref="G707:G770" si="47">IF(B707&gt;=5000,C707,"")</f>
        <v/>
      </c>
    </row>
    <row r="708" spans="1:7" x14ac:dyDescent="0.25">
      <c r="A708" s="41" t="s">
        <v>150</v>
      </c>
      <c r="B708" s="84">
        <v>300</v>
      </c>
      <c r="C708" s="79" t="s">
        <v>27</v>
      </c>
      <c r="D708" s="3" t="str">
        <f t="shared" si="44"/>
        <v/>
      </c>
      <c r="E708" s="3" t="str">
        <f t="shared" si="45"/>
        <v/>
      </c>
      <c r="F708" s="3" t="str">
        <f t="shared" si="46"/>
        <v/>
      </c>
      <c r="G708" s="3" t="str">
        <f t="shared" si="47"/>
        <v/>
      </c>
    </row>
    <row r="709" spans="1:7" x14ac:dyDescent="0.25">
      <c r="A709" s="41" t="s">
        <v>150</v>
      </c>
      <c r="B709" s="84">
        <v>3300</v>
      </c>
      <c r="C709" s="79" t="s">
        <v>27</v>
      </c>
      <c r="D709" s="3" t="str">
        <f t="shared" si="44"/>
        <v/>
      </c>
      <c r="E709" s="3" t="str">
        <f t="shared" si="45"/>
        <v/>
      </c>
      <c r="F709" s="3" t="str">
        <f t="shared" si="46"/>
        <v/>
      </c>
      <c r="G709" s="3" t="str">
        <f t="shared" si="47"/>
        <v/>
      </c>
    </row>
    <row r="710" spans="1:7" x14ac:dyDescent="0.25">
      <c r="A710" s="41" t="s">
        <v>150</v>
      </c>
      <c r="B710" s="84">
        <v>500</v>
      </c>
      <c r="C710" s="79" t="s">
        <v>27</v>
      </c>
      <c r="D710" s="3" t="str">
        <f t="shared" si="44"/>
        <v/>
      </c>
      <c r="E710" s="3" t="str">
        <f t="shared" si="45"/>
        <v/>
      </c>
      <c r="F710" s="3" t="str">
        <f t="shared" si="46"/>
        <v/>
      </c>
      <c r="G710" s="3" t="str">
        <f t="shared" si="47"/>
        <v/>
      </c>
    </row>
    <row r="711" spans="1:7" x14ac:dyDescent="0.25">
      <c r="A711" s="41" t="s">
        <v>150</v>
      </c>
      <c r="B711" s="84">
        <v>3000</v>
      </c>
      <c r="C711" s="79">
        <v>7</v>
      </c>
      <c r="D711" s="3" t="str">
        <f t="shared" si="44"/>
        <v/>
      </c>
      <c r="E711" s="3" t="str">
        <f t="shared" si="45"/>
        <v/>
      </c>
      <c r="F711" s="3">
        <f t="shared" si="46"/>
        <v>7</v>
      </c>
      <c r="G711" s="3" t="str">
        <f t="shared" si="47"/>
        <v/>
      </c>
    </row>
    <row r="712" spans="1:7" x14ac:dyDescent="0.25">
      <c r="A712" s="41" t="s">
        <v>150</v>
      </c>
      <c r="B712" s="84">
        <v>2500</v>
      </c>
      <c r="C712" s="79">
        <v>9</v>
      </c>
      <c r="D712" s="3" t="str">
        <f t="shared" si="44"/>
        <v/>
      </c>
      <c r="E712" s="3" t="str">
        <f t="shared" si="45"/>
        <v/>
      </c>
      <c r="F712" s="3" t="str">
        <f t="shared" si="46"/>
        <v/>
      </c>
      <c r="G712" s="3" t="str">
        <f t="shared" si="47"/>
        <v/>
      </c>
    </row>
    <row r="713" spans="1:7" x14ac:dyDescent="0.25">
      <c r="A713" s="41" t="s">
        <v>150</v>
      </c>
      <c r="B713" s="84">
        <v>2600</v>
      </c>
      <c r="C713" s="79" t="s">
        <v>27</v>
      </c>
      <c r="D713" s="3" t="str">
        <f t="shared" si="44"/>
        <v/>
      </c>
      <c r="E713" s="3" t="str">
        <f t="shared" si="45"/>
        <v/>
      </c>
      <c r="F713" s="3" t="str">
        <f t="shared" si="46"/>
        <v/>
      </c>
      <c r="G713" s="3" t="str">
        <f t="shared" si="47"/>
        <v/>
      </c>
    </row>
    <row r="714" spans="1:7" x14ac:dyDescent="0.25">
      <c r="A714" s="41" t="s">
        <v>150</v>
      </c>
      <c r="B714" s="84">
        <v>3850</v>
      </c>
      <c r="C714" s="79" t="s">
        <v>27</v>
      </c>
      <c r="D714" s="3" t="str">
        <f t="shared" si="44"/>
        <v/>
      </c>
      <c r="E714" s="3" t="str">
        <f t="shared" si="45"/>
        <v/>
      </c>
      <c r="F714" s="3" t="str">
        <f t="shared" si="46"/>
        <v/>
      </c>
      <c r="G714" s="3" t="str">
        <f t="shared" si="47"/>
        <v/>
      </c>
    </row>
    <row r="715" spans="1:7" x14ac:dyDescent="0.25">
      <c r="A715" s="41" t="s">
        <v>150</v>
      </c>
      <c r="B715" s="84">
        <v>2900</v>
      </c>
      <c r="C715" s="79">
        <v>10</v>
      </c>
      <c r="D715" s="3" t="str">
        <f t="shared" si="44"/>
        <v/>
      </c>
      <c r="E715" s="3" t="str">
        <f t="shared" si="45"/>
        <v/>
      </c>
      <c r="F715" s="3">
        <f t="shared" si="46"/>
        <v>10</v>
      </c>
      <c r="G715" s="3" t="str">
        <f t="shared" si="47"/>
        <v/>
      </c>
    </row>
    <row r="716" spans="1:7" x14ac:dyDescent="0.25">
      <c r="A716" s="41" t="s">
        <v>71</v>
      </c>
      <c r="B716" s="84">
        <v>950</v>
      </c>
      <c r="C716" s="79" t="s">
        <v>27</v>
      </c>
      <c r="D716" s="3" t="str">
        <f t="shared" si="44"/>
        <v/>
      </c>
      <c r="E716" s="3" t="str">
        <f t="shared" si="45"/>
        <v/>
      </c>
      <c r="F716" s="3" t="str">
        <f t="shared" si="46"/>
        <v/>
      </c>
      <c r="G716" s="3" t="str">
        <f t="shared" si="47"/>
        <v/>
      </c>
    </row>
    <row r="717" spans="1:7" x14ac:dyDescent="0.25">
      <c r="A717" s="41" t="s">
        <v>71</v>
      </c>
      <c r="B717" s="84">
        <v>700</v>
      </c>
      <c r="C717" s="79" t="s">
        <v>27</v>
      </c>
      <c r="D717" s="3" t="str">
        <f t="shared" si="44"/>
        <v/>
      </c>
      <c r="E717" s="3" t="str">
        <f t="shared" si="45"/>
        <v/>
      </c>
      <c r="F717" s="3" t="str">
        <f t="shared" si="46"/>
        <v/>
      </c>
      <c r="G717" s="3" t="str">
        <f t="shared" si="47"/>
        <v/>
      </c>
    </row>
    <row r="718" spans="1:7" x14ac:dyDescent="0.25">
      <c r="A718" s="41" t="s">
        <v>71</v>
      </c>
      <c r="B718" s="84">
        <v>1150</v>
      </c>
      <c r="C718" s="79" t="s">
        <v>27</v>
      </c>
      <c r="D718" s="3" t="str">
        <f t="shared" si="44"/>
        <v/>
      </c>
      <c r="E718" s="3" t="str">
        <f t="shared" si="45"/>
        <v/>
      </c>
      <c r="F718" s="3" t="str">
        <f t="shared" si="46"/>
        <v/>
      </c>
      <c r="G718" s="3" t="str">
        <f t="shared" si="47"/>
        <v/>
      </c>
    </row>
    <row r="719" spans="1:7" x14ac:dyDescent="0.25">
      <c r="A719" s="41" t="s">
        <v>84</v>
      </c>
      <c r="B719" s="84">
        <v>1220</v>
      </c>
      <c r="C719" s="79" t="s">
        <v>27</v>
      </c>
      <c r="D719" s="3" t="str">
        <f t="shared" si="44"/>
        <v/>
      </c>
      <c r="E719" s="3" t="str">
        <f t="shared" si="45"/>
        <v/>
      </c>
      <c r="F719" s="3" t="str">
        <f t="shared" si="46"/>
        <v/>
      </c>
      <c r="G719" s="3" t="str">
        <f t="shared" si="47"/>
        <v/>
      </c>
    </row>
    <row r="720" spans="1:7" x14ac:dyDescent="0.25">
      <c r="A720" s="41" t="s">
        <v>84</v>
      </c>
      <c r="B720" s="84">
        <v>900</v>
      </c>
      <c r="C720" s="79" t="s">
        <v>27</v>
      </c>
      <c r="D720" s="3" t="str">
        <f t="shared" si="44"/>
        <v/>
      </c>
      <c r="E720" s="3" t="str">
        <f t="shared" si="45"/>
        <v/>
      </c>
      <c r="F720" s="3" t="str">
        <f t="shared" si="46"/>
        <v/>
      </c>
      <c r="G720" s="3" t="str">
        <f t="shared" si="47"/>
        <v/>
      </c>
    </row>
    <row r="721" spans="1:7" x14ac:dyDescent="0.25">
      <c r="A721" s="41" t="s">
        <v>84</v>
      </c>
      <c r="B721" s="84">
        <v>1112.4000000000001</v>
      </c>
      <c r="C721" s="79" t="s">
        <v>27</v>
      </c>
      <c r="D721" s="3" t="str">
        <f t="shared" si="44"/>
        <v/>
      </c>
      <c r="E721" s="3" t="str">
        <f t="shared" si="45"/>
        <v/>
      </c>
      <c r="F721" s="3" t="str">
        <f t="shared" si="46"/>
        <v/>
      </c>
      <c r="G721" s="3" t="str">
        <f t="shared" si="47"/>
        <v/>
      </c>
    </row>
    <row r="722" spans="1:7" x14ac:dyDescent="0.25">
      <c r="A722" s="41" t="s">
        <v>84</v>
      </c>
      <c r="B722" s="84">
        <v>800</v>
      </c>
      <c r="C722" s="79" t="s">
        <v>27</v>
      </c>
      <c r="D722" s="3" t="str">
        <f t="shared" si="44"/>
        <v/>
      </c>
      <c r="E722" s="3" t="str">
        <f t="shared" si="45"/>
        <v/>
      </c>
      <c r="F722" s="3" t="str">
        <f t="shared" si="46"/>
        <v/>
      </c>
      <c r="G722" s="3" t="str">
        <f t="shared" si="47"/>
        <v/>
      </c>
    </row>
    <row r="723" spans="1:7" x14ac:dyDescent="0.25">
      <c r="A723" s="41" t="s">
        <v>84</v>
      </c>
      <c r="B723" s="84">
        <v>4645</v>
      </c>
      <c r="C723" s="79" t="s">
        <v>27</v>
      </c>
      <c r="D723" s="3" t="str">
        <f t="shared" si="44"/>
        <v/>
      </c>
      <c r="E723" s="3" t="str">
        <f t="shared" si="45"/>
        <v/>
      </c>
      <c r="F723" s="3" t="str">
        <f t="shared" si="46"/>
        <v/>
      </c>
      <c r="G723" s="3" t="str">
        <f t="shared" si="47"/>
        <v/>
      </c>
    </row>
    <row r="724" spans="1:7" x14ac:dyDescent="0.25">
      <c r="A724" s="41" t="s">
        <v>81</v>
      </c>
      <c r="B724" s="84">
        <v>390</v>
      </c>
      <c r="C724" s="79" t="s">
        <v>27</v>
      </c>
      <c r="D724" s="3" t="str">
        <f t="shared" si="44"/>
        <v/>
      </c>
      <c r="E724" s="3" t="str">
        <f t="shared" si="45"/>
        <v/>
      </c>
      <c r="F724" s="3" t="str">
        <f t="shared" si="46"/>
        <v/>
      </c>
      <c r="G724" s="3" t="str">
        <f t="shared" si="47"/>
        <v/>
      </c>
    </row>
    <row r="725" spans="1:7" x14ac:dyDescent="0.25">
      <c r="A725" s="41" t="s">
        <v>81</v>
      </c>
      <c r="B725" s="84">
        <v>150</v>
      </c>
      <c r="C725" s="79">
        <v>10</v>
      </c>
      <c r="D725" s="3">
        <f t="shared" si="44"/>
        <v>10</v>
      </c>
      <c r="E725" s="3" t="str">
        <f t="shared" si="45"/>
        <v/>
      </c>
      <c r="F725" s="3" t="str">
        <f t="shared" si="46"/>
        <v/>
      </c>
      <c r="G725" s="3" t="str">
        <f t="shared" si="47"/>
        <v/>
      </c>
    </row>
    <row r="726" spans="1:7" x14ac:dyDescent="0.25">
      <c r="A726" s="41" t="s">
        <v>53</v>
      </c>
      <c r="B726" s="84">
        <v>250</v>
      </c>
      <c r="C726" s="79">
        <v>8</v>
      </c>
      <c r="D726" s="3">
        <f t="shared" si="44"/>
        <v>8</v>
      </c>
      <c r="E726" s="3" t="str">
        <f t="shared" si="45"/>
        <v/>
      </c>
      <c r="F726" s="3" t="str">
        <f t="shared" si="46"/>
        <v/>
      </c>
      <c r="G726" s="3" t="str">
        <f t="shared" si="47"/>
        <v/>
      </c>
    </row>
    <row r="727" spans="1:7" x14ac:dyDescent="0.25">
      <c r="A727" s="41" t="s">
        <v>53</v>
      </c>
      <c r="B727" s="84">
        <v>100</v>
      </c>
      <c r="C727" s="79">
        <v>9</v>
      </c>
      <c r="D727" s="3">
        <f t="shared" si="44"/>
        <v>9</v>
      </c>
      <c r="E727" s="3" t="str">
        <f t="shared" si="45"/>
        <v/>
      </c>
      <c r="F727" s="3" t="str">
        <f t="shared" si="46"/>
        <v/>
      </c>
      <c r="G727" s="3" t="str">
        <f t="shared" si="47"/>
        <v/>
      </c>
    </row>
    <row r="728" spans="1:7" x14ac:dyDescent="0.25">
      <c r="A728" s="41" t="s">
        <v>53</v>
      </c>
      <c r="B728" s="84">
        <v>350</v>
      </c>
      <c r="C728" s="79">
        <v>8</v>
      </c>
      <c r="D728" s="3">
        <f t="shared" si="44"/>
        <v>8</v>
      </c>
      <c r="E728" s="3" t="str">
        <f t="shared" si="45"/>
        <v/>
      </c>
      <c r="F728" s="3" t="str">
        <f t="shared" si="46"/>
        <v/>
      </c>
      <c r="G728" s="3" t="str">
        <f t="shared" si="47"/>
        <v/>
      </c>
    </row>
    <row r="729" spans="1:7" x14ac:dyDescent="0.25">
      <c r="A729" s="41" t="s">
        <v>53</v>
      </c>
      <c r="B729" s="84">
        <v>1038.5</v>
      </c>
      <c r="C729" s="79">
        <v>10</v>
      </c>
      <c r="D729" s="3" t="str">
        <f t="shared" si="44"/>
        <v/>
      </c>
      <c r="E729" s="3">
        <f t="shared" si="45"/>
        <v>10</v>
      </c>
      <c r="F729" s="3" t="str">
        <f t="shared" si="46"/>
        <v/>
      </c>
      <c r="G729" s="3" t="str">
        <f t="shared" si="47"/>
        <v/>
      </c>
    </row>
    <row r="730" spans="1:7" x14ac:dyDescent="0.25">
      <c r="A730" s="41" t="s">
        <v>53</v>
      </c>
      <c r="B730" s="84">
        <v>1800</v>
      </c>
      <c r="C730" s="79" t="s">
        <v>27</v>
      </c>
      <c r="D730" s="3" t="str">
        <f t="shared" si="44"/>
        <v/>
      </c>
      <c r="E730" s="3" t="str">
        <f t="shared" si="45"/>
        <v/>
      </c>
      <c r="F730" s="3" t="str">
        <f t="shared" si="46"/>
        <v/>
      </c>
      <c r="G730" s="3" t="str">
        <f t="shared" si="47"/>
        <v/>
      </c>
    </row>
    <row r="731" spans="1:7" x14ac:dyDescent="0.25">
      <c r="A731" s="41" t="s">
        <v>53</v>
      </c>
      <c r="B731" s="84">
        <v>450</v>
      </c>
      <c r="C731" s="79">
        <v>10</v>
      </c>
      <c r="D731" s="3">
        <f t="shared" si="44"/>
        <v>10</v>
      </c>
      <c r="E731" s="3" t="str">
        <f t="shared" si="45"/>
        <v/>
      </c>
      <c r="F731" s="3" t="str">
        <f t="shared" si="46"/>
        <v/>
      </c>
      <c r="G731" s="3" t="str">
        <f t="shared" si="47"/>
        <v/>
      </c>
    </row>
    <row r="732" spans="1:7" x14ac:dyDescent="0.25">
      <c r="A732" s="41" t="s">
        <v>53</v>
      </c>
      <c r="B732" s="84">
        <v>75</v>
      </c>
      <c r="C732" s="79" t="s">
        <v>27</v>
      </c>
      <c r="D732" s="3" t="str">
        <f t="shared" si="44"/>
        <v/>
      </c>
      <c r="E732" s="3" t="str">
        <f t="shared" si="45"/>
        <v/>
      </c>
      <c r="F732" s="3" t="str">
        <f t="shared" si="46"/>
        <v/>
      </c>
      <c r="G732" s="3" t="str">
        <f t="shared" si="47"/>
        <v/>
      </c>
    </row>
    <row r="733" spans="1:7" x14ac:dyDescent="0.25">
      <c r="A733" s="41" t="s">
        <v>53</v>
      </c>
      <c r="B733" s="84">
        <v>1196.54</v>
      </c>
      <c r="C733" s="79">
        <v>9</v>
      </c>
      <c r="D733" s="3" t="str">
        <f t="shared" si="44"/>
        <v/>
      </c>
      <c r="E733" s="3">
        <f t="shared" si="45"/>
        <v>9</v>
      </c>
      <c r="F733" s="3" t="str">
        <f t="shared" si="46"/>
        <v/>
      </c>
      <c r="G733" s="3" t="str">
        <f t="shared" si="47"/>
        <v/>
      </c>
    </row>
    <row r="734" spans="1:7" x14ac:dyDescent="0.25">
      <c r="A734" s="41" t="s">
        <v>109</v>
      </c>
      <c r="B734" s="84">
        <v>2245</v>
      </c>
      <c r="C734" s="79" t="s">
        <v>27</v>
      </c>
      <c r="D734" s="3" t="str">
        <f t="shared" si="44"/>
        <v/>
      </c>
      <c r="E734" s="3" t="str">
        <f t="shared" si="45"/>
        <v/>
      </c>
      <c r="F734" s="3" t="str">
        <f t="shared" si="46"/>
        <v/>
      </c>
      <c r="G734" s="3" t="str">
        <f t="shared" si="47"/>
        <v/>
      </c>
    </row>
    <row r="735" spans="1:7" x14ac:dyDescent="0.25">
      <c r="A735" s="41" t="s">
        <v>109</v>
      </c>
      <c r="B735" s="84">
        <v>1535</v>
      </c>
      <c r="C735" s="79">
        <v>8</v>
      </c>
      <c r="D735" s="3" t="str">
        <f t="shared" si="44"/>
        <v/>
      </c>
      <c r="E735" s="3">
        <f t="shared" si="45"/>
        <v>8</v>
      </c>
      <c r="F735" s="3" t="str">
        <f t="shared" si="46"/>
        <v/>
      </c>
      <c r="G735" s="3" t="str">
        <f t="shared" si="47"/>
        <v/>
      </c>
    </row>
    <row r="736" spans="1:7" x14ac:dyDescent="0.25">
      <c r="A736" s="41" t="s">
        <v>109</v>
      </c>
      <c r="B736" s="84">
        <v>1200</v>
      </c>
      <c r="C736" s="79">
        <v>10</v>
      </c>
      <c r="D736" s="3" t="str">
        <f t="shared" si="44"/>
        <v/>
      </c>
      <c r="E736" s="3">
        <f t="shared" si="45"/>
        <v>10</v>
      </c>
      <c r="F736" s="3" t="str">
        <f t="shared" si="46"/>
        <v/>
      </c>
      <c r="G736" s="3" t="str">
        <f t="shared" si="47"/>
        <v/>
      </c>
    </row>
    <row r="737" spans="1:7" x14ac:dyDescent="0.25">
      <c r="A737" s="41" t="s">
        <v>109</v>
      </c>
      <c r="B737" s="84">
        <v>850</v>
      </c>
      <c r="C737" s="79">
        <v>7</v>
      </c>
      <c r="D737" s="3">
        <f t="shared" si="44"/>
        <v>7</v>
      </c>
      <c r="E737" s="3" t="str">
        <f t="shared" si="45"/>
        <v/>
      </c>
      <c r="F737" s="3" t="str">
        <f t="shared" si="46"/>
        <v/>
      </c>
      <c r="G737" s="3" t="str">
        <f t="shared" si="47"/>
        <v/>
      </c>
    </row>
    <row r="738" spans="1:7" x14ac:dyDescent="0.25">
      <c r="A738" s="41" t="s">
        <v>109</v>
      </c>
      <c r="B738" s="84">
        <v>100</v>
      </c>
      <c r="C738" s="79">
        <v>10</v>
      </c>
      <c r="D738" s="3">
        <f t="shared" si="44"/>
        <v>10</v>
      </c>
      <c r="E738" s="3" t="str">
        <f t="shared" si="45"/>
        <v/>
      </c>
      <c r="F738" s="3" t="str">
        <f t="shared" si="46"/>
        <v/>
      </c>
      <c r="G738" s="3" t="str">
        <f t="shared" si="47"/>
        <v/>
      </c>
    </row>
    <row r="739" spans="1:7" x14ac:dyDescent="0.25">
      <c r="A739" s="41" t="s">
        <v>109</v>
      </c>
      <c r="B739" s="84">
        <v>1100</v>
      </c>
      <c r="C739" s="79" t="s">
        <v>27</v>
      </c>
      <c r="D739" s="3" t="str">
        <f t="shared" si="44"/>
        <v/>
      </c>
      <c r="E739" s="3" t="str">
        <f t="shared" si="45"/>
        <v/>
      </c>
      <c r="F739" s="3" t="str">
        <f t="shared" si="46"/>
        <v/>
      </c>
      <c r="G739" s="3" t="str">
        <f t="shared" si="47"/>
        <v/>
      </c>
    </row>
    <row r="740" spans="1:7" x14ac:dyDescent="0.25">
      <c r="A740" s="41" t="s">
        <v>109</v>
      </c>
      <c r="B740" s="84">
        <v>1035</v>
      </c>
      <c r="C740" s="79" t="s">
        <v>27</v>
      </c>
      <c r="D740" s="3" t="str">
        <f t="shared" si="44"/>
        <v/>
      </c>
      <c r="E740" s="3" t="str">
        <f t="shared" si="45"/>
        <v/>
      </c>
      <c r="F740" s="3" t="str">
        <f t="shared" si="46"/>
        <v/>
      </c>
      <c r="G740" s="3" t="str">
        <f t="shared" si="47"/>
        <v/>
      </c>
    </row>
    <row r="741" spans="1:7" x14ac:dyDescent="0.25">
      <c r="A741" s="41" t="s">
        <v>109</v>
      </c>
      <c r="B741" s="84">
        <v>360</v>
      </c>
      <c r="C741" s="79" t="s">
        <v>27</v>
      </c>
      <c r="D741" s="3" t="str">
        <f t="shared" si="44"/>
        <v/>
      </c>
      <c r="E741" s="3" t="str">
        <f t="shared" si="45"/>
        <v/>
      </c>
      <c r="F741" s="3" t="str">
        <f t="shared" si="46"/>
        <v/>
      </c>
      <c r="G741" s="3" t="str">
        <f t="shared" si="47"/>
        <v/>
      </c>
    </row>
    <row r="742" spans="1:7" x14ac:dyDescent="0.25">
      <c r="A742" s="41" t="s">
        <v>109</v>
      </c>
      <c r="B742" s="84">
        <v>800.1</v>
      </c>
      <c r="C742" s="79" t="s">
        <v>27</v>
      </c>
      <c r="D742" s="3" t="str">
        <f t="shared" si="44"/>
        <v/>
      </c>
      <c r="E742" s="3" t="str">
        <f t="shared" si="45"/>
        <v/>
      </c>
      <c r="F742" s="3" t="str">
        <f t="shared" si="46"/>
        <v/>
      </c>
      <c r="G742" s="3" t="str">
        <f t="shared" si="47"/>
        <v/>
      </c>
    </row>
    <row r="743" spans="1:7" x14ac:dyDescent="0.25">
      <c r="A743" s="41" t="s">
        <v>109</v>
      </c>
      <c r="B743" s="84">
        <v>885</v>
      </c>
      <c r="C743" s="79" t="s">
        <v>27</v>
      </c>
      <c r="D743" s="3" t="str">
        <f t="shared" si="44"/>
        <v/>
      </c>
      <c r="E743" s="3" t="str">
        <f t="shared" si="45"/>
        <v/>
      </c>
      <c r="F743" s="3" t="str">
        <f t="shared" si="46"/>
        <v/>
      </c>
      <c r="G743" s="3" t="str">
        <f t="shared" si="47"/>
        <v/>
      </c>
    </row>
    <row r="744" spans="1:7" x14ac:dyDescent="0.25">
      <c r="A744" s="41" t="s">
        <v>109</v>
      </c>
      <c r="B744" s="84">
        <v>1800</v>
      </c>
      <c r="C744" s="79" t="s">
        <v>27</v>
      </c>
      <c r="D744" s="3" t="str">
        <f t="shared" si="44"/>
        <v/>
      </c>
      <c r="E744" s="3" t="str">
        <f t="shared" si="45"/>
        <v/>
      </c>
      <c r="F744" s="3" t="str">
        <f t="shared" si="46"/>
        <v/>
      </c>
      <c r="G744" s="3" t="str">
        <f t="shared" si="47"/>
        <v/>
      </c>
    </row>
    <row r="745" spans="1:7" x14ac:dyDescent="0.25">
      <c r="A745" s="41" t="s">
        <v>109</v>
      </c>
      <c r="B745" s="84">
        <v>120</v>
      </c>
      <c r="C745" s="79" t="s">
        <v>27</v>
      </c>
      <c r="D745" s="3" t="str">
        <f t="shared" si="44"/>
        <v/>
      </c>
      <c r="E745" s="3" t="str">
        <f t="shared" si="45"/>
        <v/>
      </c>
      <c r="F745" s="3" t="str">
        <f t="shared" si="46"/>
        <v/>
      </c>
      <c r="G745" s="3" t="str">
        <f t="shared" si="47"/>
        <v/>
      </c>
    </row>
    <row r="746" spans="1:7" x14ac:dyDescent="0.25">
      <c r="A746" s="41" t="s">
        <v>109</v>
      </c>
      <c r="B746" s="84">
        <v>1300</v>
      </c>
      <c r="C746" s="79" t="s">
        <v>27</v>
      </c>
      <c r="D746" s="3" t="str">
        <f t="shared" si="44"/>
        <v/>
      </c>
      <c r="E746" s="3" t="str">
        <f t="shared" si="45"/>
        <v/>
      </c>
      <c r="F746" s="3" t="str">
        <f t="shared" si="46"/>
        <v/>
      </c>
      <c r="G746" s="3" t="str">
        <f t="shared" si="47"/>
        <v/>
      </c>
    </row>
    <row r="747" spans="1:7" x14ac:dyDescent="0.25">
      <c r="A747" s="41" t="s">
        <v>109</v>
      </c>
      <c r="B747" s="84">
        <v>800</v>
      </c>
      <c r="C747" s="79" t="s">
        <v>27</v>
      </c>
      <c r="D747" s="3" t="str">
        <f t="shared" si="44"/>
        <v/>
      </c>
      <c r="E747" s="3" t="str">
        <f t="shared" si="45"/>
        <v/>
      </c>
      <c r="F747" s="3" t="str">
        <f t="shared" si="46"/>
        <v/>
      </c>
      <c r="G747" s="3" t="str">
        <f t="shared" si="47"/>
        <v/>
      </c>
    </row>
    <row r="748" spans="1:7" x14ac:dyDescent="0.25">
      <c r="A748" s="41" t="s">
        <v>109</v>
      </c>
      <c r="B748" s="84">
        <v>1300</v>
      </c>
      <c r="C748" s="79" t="s">
        <v>27</v>
      </c>
      <c r="D748" s="3" t="str">
        <f t="shared" si="44"/>
        <v/>
      </c>
      <c r="E748" s="3" t="str">
        <f t="shared" si="45"/>
        <v/>
      </c>
      <c r="F748" s="3" t="str">
        <f t="shared" si="46"/>
        <v/>
      </c>
      <c r="G748" s="3" t="str">
        <f t="shared" si="47"/>
        <v/>
      </c>
    </row>
    <row r="749" spans="1:7" x14ac:dyDescent="0.25">
      <c r="A749" s="41" t="s">
        <v>109</v>
      </c>
      <c r="B749" s="84">
        <v>1000</v>
      </c>
      <c r="C749" s="79" t="s">
        <v>27</v>
      </c>
      <c r="D749" s="3" t="str">
        <f t="shared" si="44"/>
        <v/>
      </c>
      <c r="E749" s="3" t="str">
        <f t="shared" si="45"/>
        <v/>
      </c>
      <c r="F749" s="3" t="str">
        <f t="shared" si="46"/>
        <v/>
      </c>
      <c r="G749" s="3" t="str">
        <f t="shared" si="47"/>
        <v/>
      </c>
    </row>
    <row r="750" spans="1:7" x14ac:dyDescent="0.25">
      <c r="A750" s="41" t="s">
        <v>102</v>
      </c>
      <c r="B750" s="84">
        <v>6344.52</v>
      </c>
      <c r="C750" s="79" t="s">
        <v>27</v>
      </c>
      <c r="D750" s="3" t="str">
        <f t="shared" si="44"/>
        <v/>
      </c>
      <c r="E750" s="3" t="str">
        <f t="shared" si="45"/>
        <v/>
      </c>
      <c r="F750" s="3" t="str">
        <f t="shared" si="46"/>
        <v/>
      </c>
      <c r="G750" s="3" t="str">
        <f t="shared" si="47"/>
        <v/>
      </c>
    </row>
    <row r="751" spans="1:7" x14ac:dyDescent="0.25">
      <c r="A751" s="41" t="s">
        <v>102</v>
      </c>
      <c r="B751" s="84">
        <v>400</v>
      </c>
      <c r="C751" s="79" t="s">
        <v>27</v>
      </c>
      <c r="D751" s="3" t="str">
        <f t="shared" si="44"/>
        <v/>
      </c>
      <c r="E751" s="3" t="str">
        <f t="shared" si="45"/>
        <v/>
      </c>
      <c r="F751" s="3" t="str">
        <f t="shared" si="46"/>
        <v/>
      </c>
      <c r="G751" s="3" t="str">
        <f t="shared" si="47"/>
        <v/>
      </c>
    </row>
    <row r="752" spans="1:7" x14ac:dyDescent="0.25">
      <c r="A752" s="41" t="s">
        <v>102</v>
      </c>
      <c r="B752" s="84">
        <v>6519</v>
      </c>
      <c r="C752" s="79">
        <v>10</v>
      </c>
      <c r="D752" s="3" t="str">
        <f t="shared" si="44"/>
        <v/>
      </c>
      <c r="E752" s="3" t="str">
        <f t="shared" si="45"/>
        <v/>
      </c>
      <c r="F752" s="3" t="str">
        <f t="shared" si="46"/>
        <v/>
      </c>
      <c r="G752" s="3">
        <f t="shared" si="47"/>
        <v>10</v>
      </c>
    </row>
    <row r="753" spans="1:7" x14ac:dyDescent="0.25">
      <c r="A753" s="41" t="s">
        <v>102</v>
      </c>
      <c r="B753" s="84">
        <v>1900</v>
      </c>
      <c r="C753" s="79" t="s">
        <v>27</v>
      </c>
      <c r="D753" s="3" t="str">
        <f t="shared" si="44"/>
        <v/>
      </c>
      <c r="E753" s="3" t="str">
        <f t="shared" si="45"/>
        <v/>
      </c>
      <c r="F753" s="3" t="str">
        <f t="shared" si="46"/>
        <v/>
      </c>
      <c r="G753" s="3" t="str">
        <f t="shared" si="47"/>
        <v/>
      </c>
    </row>
    <row r="754" spans="1:7" x14ac:dyDescent="0.25">
      <c r="A754" s="41" t="s">
        <v>102</v>
      </c>
      <c r="B754" s="84">
        <v>1000</v>
      </c>
      <c r="C754" s="79">
        <v>10</v>
      </c>
      <c r="D754" s="3" t="str">
        <f t="shared" si="44"/>
        <v/>
      </c>
      <c r="E754" s="3" t="str">
        <f t="shared" si="45"/>
        <v/>
      </c>
      <c r="F754" s="3" t="str">
        <f t="shared" si="46"/>
        <v/>
      </c>
      <c r="G754" s="3" t="str">
        <f t="shared" si="47"/>
        <v/>
      </c>
    </row>
    <row r="755" spans="1:7" x14ac:dyDescent="0.25">
      <c r="A755" s="41" t="s">
        <v>102</v>
      </c>
      <c r="B755" s="84">
        <v>6450</v>
      </c>
      <c r="C755" s="79" t="s">
        <v>27</v>
      </c>
      <c r="D755" s="3" t="str">
        <f t="shared" si="44"/>
        <v/>
      </c>
      <c r="E755" s="3" t="str">
        <f t="shared" si="45"/>
        <v/>
      </c>
      <c r="F755" s="3" t="str">
        <f t="shared" si="46"/>
        <v/>
      </c>
      <c r="G755" s="3" t="str">
        <f t="shared" si="47"/>
        <v/>
      </c>
    </row>
    <row r="756" spans="1:7" x14ac:dyDescent="0.25">
      <c r="A756" s="41" t="s">
        <v>102</v>
      </c>
      <c r="B756" s="84">
        <v>7500</v>
      </c>
      <c r="C756" s="79">
        <v>1</v>
      </c>
      <c r="D756" s="3" t="str">
        <f t="shared" si="44"/>
        <v/>
      </c>
      <c r="E756" s="3" t="str">
        <f t="shared" si="45"/>
        <v/>
      </c>
      <c r="F756" s="3" t="str">
        <f t="shared" si="46"/>
        <v/>
      </c>
      <c r="G756" s="3">
        <f t="shared" si="47"/>
        <v>1</v>
      </c>
    </row>
    <row r="757" spans="1:7" x14ac:dyDescent="0.25">
      <c r="A757" s="41" t="s">
        <v>102</v>
      </c>
      <c r="B757" s="84">
        <v>5100</v>
      </c>
      <c r="C757" s="79">
        <v>10</v>
      </c>
      <c r="D757" s="3" t="str">
        <f t="shared" si="44"/>
        <v/>
      </c>
      <c r="E757" s="3" t="str">
        <f t="shared" si="45"/>
        <v/>
      </c>
      <c r="F757" s="3" t="str">
        <f t="shared" si="46"/>
        <v/>
      </c>
      <c r="G757" s="3">
        <f t="shared" si="47"/>
        <v>10</v>
      </c>
    </row>
    <row r="758" spans="1:7" x14ac:dyDescent="0.25">
      <c r="A758" s="41" t="s">
        <v>102</v>
      </c>
      <c r="B758" s="84">
        <v>700</v>
      </c>
      <c r="C758" s="79" t="s">
        <v>27</v>
      </c>
      <c r="D758" s="3" t="str">
        <f t="shared" si="44"/>
        <v/>
      </c>
      <c r="E758" s="3" t="str">
        <f t="shared" si="45"/>
        <v/>
      </c>
      <c r="F758" s="3" t="str">
        <f t="shared" si="46"/>
        <v/>
      </c>
      <c r="G758" s="3" t="str">
        <f t="shared" si="47"/>
        <v/>
      </c>
    </row>
    <row r="759" spans="1:7" x14ac:dyDescent="0.25">
      <c r="A759" s="41" t="s">
        <v>102</v>
      </c>
      <c r="B759" s="84">
        <v>8000</v>
      </c>
      <c r="C759" s="79">
        <v>10</v>
      </c>
      <c r="D759" s="3" t="str">
        <f t="shared" si="44"/>
        <v/>
      </c>
      <c r="E759" s="3" t="str">
        <f t="shared" si="45"/>
        <v/>
      </c>
      <c r="F759" s="3" t="str">
        <f t="shared" si="46"/>
        <v/>
      </c>
      <c r="G759" s="3">
        <f t="shared" si="47"/>
        <v>10</v>
      </c>
    </row>
    <row r="760" spans="1:7" x14ac:dyDescent="0.25">
      <c r="A760" s="41" t="s">
        <v>102</v>
      </c>
      <c r="B760" s="84">
        <v>6989.5</v>
      </c>
      <c r="C760" s="79">
        <v>8</v>
      </c>
      <c r="D760" s="3" t="str">
        <f t="shared" si="44"/>
        <v/>
      </c>
      <c r="E760" s="3" t="str">
        <f t="shared" si="45"/>
        <v/>
      </c>
      <c r="F760" s="3" t="str">
        <f t="shared" si="46"/>
        <v/>
      </c>
      <c r="G760" s="3">
        <f t="shared" si="47"/>
        <v>8</v>
      </c>
    </row>
    <row r="761" spans="1:7" x14ac:dyDescent="0.25">
      <c r="A761" s="41" t="s">
        <v>102</v>
      </c>
      <c r="B761" s="84">
        <v>5400</v>
      </c>
      <c r="C761" s="79" t="s">
        <v>27</v>
      </c>
      <c r="D761" s="3" t="str">
        <f t="shared" si="44"/>
        <v/>
      </c>
      <c r="E761" s="3" t="str">
        <f t="shared" si="45"/>
        <v/>
      </c>
      <c r="F761" s="3" t="str">
        <f t="shared" si="46"/>
        <v/>
      </c>
      <c r="G761" s="3" t="str">
        <f t="shared" si="47"/>
        <v/>
      </c>
    </row>
    <row r="762" spans="1:7" x14ac:dyDescent="0.25">
      <c r="A762" s="41" t="s">
        <v>102</v>
      </c>
      <c r="B762" s="84">
        <v>1751.35</v>
      </c>
      <c r="C762" s="79" t="s">
        <v>27</v>
      </c>
      <c r="D762" s="3" t="str">
        <f t="shared" si="44"/>
        <v/>
      </c>
      <c r="E762" s="3" t="str">
        <f t="shared" si="45"/>
        <v/>
      </c>
      <c r="F762" s="3" t="str">
        <f t="shared" si="46"/>
        <v/>
      </c>
      <c r="G762" s="3" t="str">
        <f t="shared" si="47"/>
        <v/>
      </c>
    </row>
    <row r="763" spans="1:7" x14ac:dyDescent="0.25">
      <c r="A763" s="41" t="s">
        <v>102</v>
      </c>
      <c r="B763" s="84">
        <v>4335</v>
      </c>
      <c r="C763" s="79">
        <v>10</v>
      </c>
      <c r="D763" s="3" t="str">
        <f t="shared" si="44"/>
        <v/>
      </c>
      <c r="E763" s="3" t="str">
        <f t="shared" si="45"/>
        <v/>
      </c>
      <c r="F763" s="3">
        <f t="shared" si="46"/>
        <v>10</v>
      </c>
      <c r="G763" s="3" t="str">
        <f t="shared" si="47"/>
        <v/>
      </c>
    </row>
    <row r="764" spans="1:7" x14ac:dyDescent="0.25">
      <c r="A764" s="41" t="s">
        <v>102</v>
      </c>
      <c r="B764" s="84">
        <v>4350</v>
      </c>
      <c r="C764" s="79" t="s">
        <v>27</v>
      </c>
      <c r="D764" s="3" t="str">
        <f t="shared" si="44"/>
        <v/>
      </c>
      <c r="E764" s="3" t="str">
        <f t="shared" si="45"/>
        <v/>
      </c>
      <c r="F764" s="3" t="str">
        <f t="shared" si="46"/>
        <v/>
      </c>
      <c r="G764" s="3" t="str">
        <f t="shared" si="47"/>
        <v/>
      </c>
    </row>
    <row r="765" spans="1:7" x14ac:dyDescent="0.25">
      <c r="A765" s="41" t="s">
        <v>102</v>
      </c>
      <c r="B765" s="84">
        <v>900</v>
      </c>
      <c r="C765" s="79" t="s">
        <v>27</v>
      </c>
      <c r="D765" s="3" t="str">
        <f t="shared" si="44"/>
        <v/>
      </c>
      <c r="E765" s="3" t="str">
        <f t="shared" si="45"/>
        <v/>
      </c>
      <c r="F765" s="3" t="str">
        <f t="shared" si="46"/>
        <v/>
      </c>
      <c r="G765" s="3" t="str">
        <f t="shared" si="47"/>
        <v/>
      </c>
    </row>
    <row r="766" spans="1:7" x14ac:dyDescent="0.25">
      <c r="A766" s="41" t="s">
        <v>102</v>
      </c>
      <c r="B766" s="84">
        <v>1000</v>
      </c>
      <c r="C766" s="79" t="s">
        <v>27</v>
      </c>
      <c r="D766" s="3" t="str">
        <f t="shared" si="44"/>
        <v/>
      </c>
      <c r="E766" s="3" t="str">
        <f t="shared" si="45"/>
        <v/>
      </c>
      <c r="F766" s="3" t="str">
        <f t="shared" si="46"/>
        <v/>
      </c>
      <c r="G766" s="3" t="str">
        <f t="shared" si="47"/>
        <v/>
      </c>
    </row>
    <row r="767" spans="1:7" x14ac:dyDescent="0.25">
      <c r="A767" s="41" t="s">
        <v>102</v>
      </c>
      <c r="B767" s="84">
        <v>5000</v>
      </c>
      <c r="C767" s="79">
        <v>1</v>
      </c>
      <c r="D767" s="3" t="str">
        <f t="shared" si="44"/>
        <v/>
      </c>
      <c r="E767" s="3" t="str">
        <f t="shared" si="45"/>
        <v/>
      </c>
      <c r="F767" s="3" t="str">
        <f t="shared" si="46"/>
        <v/>
      </c>
      <c r="G767" s="3">
        <f t="shared" si="47"/>
        <v>1</v>
      </c>
    </row>
    <row r="768" spans="1:7" x14ac:dyDescent="0.25">
      <c r="A768" s="41" t="s">
        <v>102</v>
      </c>
      <c r="B768" s="84">
        <v>5222</v>
      </c>
      <c r="C768" s="79" t="s">
        <v>27</v>
      </c>
      <c r="D768" s="3" t="str">
        <f t="shared" si="44"/>
        <v/>
      </c>
      <c r="E768" s="3" t="str">
        <f t="shared" si="45"/>
        <v/>
      </c>
      <c r="F768" s="3" t="str">
        <f t="shared" si="46"/>
        <v/>
      </c>
      <c r="G768" s="3" t="str">
        <f t="shared" si="47"/>
        <v/>
      </c>
    </row>
    <row r="769" spans="1:7" x14ac:dyDescent="0.25">
      <c r="A769" s="41" t="s">
        <v>102</v>
      </c>
      <c r="B769" s="84">
        <v>990</v>
      </c>
      <c r="C769" s="79" t="s">
        <v>27</v>
      </c>
      <c r="D769" s="3" t="str">
        <f t="shared" si="44"/>
        <v/>
      </c>
      <c r="E769" s="3" t="str">
        <f t="shared" si="45"/>
        <v/>
      </c>
      <c r="F769" s="3" t="str">
        <f t="shared" si="46"/>
        <v/>
      </c>
      <c r="G769" s="3" t="str">
        <f t="shared" si="47"/>
        <v/>
      </c>
    </row>
    <row r="770" spans="1:7" x14ac:dyDescent="0.25">
      <c r="A770" s="41" t="s">
        <v>102</v>
      </c>
      <c r="B770" s="84">
        <v>7700</v>
      </c>
      <c r="C770" s="79">
        <v>10</v>
      </c>
      <c r="D770" s="3" t="str">
        <f t="shared" si="44"/>
        <v/>
      </c>
      <c r="E770" s="3" t="str">
        <f t="shared" si="45"/>
        <v/>
      </c>
      <c r="F770" s="3" t="str">
        <f t="shared" si="46"/>
        <v/>
      </c>
      <c r="G770" s="3">
        <f t="shared" si="47"/>
        <v>10</v>
      </c>
    </row>
    <row r="771" spans="1:7" x14ac:dyDescent="0.25">
      <c r="A771" s="41" t="s">
        <v>102</v>
      </c>
      <c r="B771" s="84">
        <v>8700</v>
      </c>
      <c r="C771" s="79">
        <v>10</v>
      </c>
      <c r="D771" s="3" t="str">
        <f t="shared" ref="D771:D834" si="48">IF(AND(B771&gt;0,B771&lt;1000),C771,"")</f>
        <v/>
      </c>
      <c r="E771" s="3" t="str">
        <f t="shared" ref="E771:E834" si="49">IF(AND(B771&gt;1000,B771&lt;2500),C771,"")</f>
        <v/>
      </c>
      <c r="F771" s="3" t="str">
        <f t="shared" ref="F771:F834" si="50">IF(AND(B771&gt;2500,B771&lt;5000),C771,"")</f>
        <v/>
      </c>
      <c r="G771" s="3">
        <f t="shared" ref="G771:G834" si="51">IF(B771&gt;=5000,C771,"")</f>
        <v>10</v>
      </c>
    </row>
    <row r="772" spans="1:7" x14ac:dyDescent="0.25">
      <c r="A772" s="41" t="s">
        <v>102</v>
      </c>
      <c r="B772" s="84">
        <v>1500</v>
      </c>
      <c r="C772" s="79" t="s">
        <v>27</v>
      </c>
      <c r="D772" s="3" t="str">
        <f t="shared" si="48"/>
        <v/>
      </c>
      <c r="E772" s="3" t="str">
        <f t="shared" si="49"/>
        <v/>
      </c>
      <c r="F772" s="3" t="str">
        <f t="shared" si="50"/>
        <v/>
      </c>
      <c r="G772" s="3" t="str">
        <f t="shared" si="51"/>
        <v/>
      </c>
    </row>
    <row r="773" spans="1:7" x14ac:dyDescent="0.25">
      <c r="A773" s="41" t="s">
        <v>102</v>
      </c>
      <c r="B773" s="84">
        <v>7107</v>
      </c>
      <c r="C773" s="79">
        <v>10</v>
      </c>
      <c r="D773" s="3" t="str">
        <f t="shared" si="48"/>
        <v/>
      </c>
      <c r="E773" s="3" t="str">
        <f t="shared" si="49"/>
        <v/>
      </c>
      <c r="F773" s="3" t="str">
        <f t="shared" si="50"/>
        <v/>
      </c>
      <c r="G773" s="3">
        <f t="shared" si="51"/>
        <v>10</v>
      </c>
    </row>
    <row r="774" spans="1:7" x14ac:dyDescent="0.25">
      <c r="A774" s="41" t="s">
        <v>102</v>
      </c>
      <c r="B774" s="84">
        <v>7850</v>
      </c>
      <c r="C774" s="79">
        <v>10</v>
      </c>
      <c r="D774" s="3" t="str">
        <f t="shared" si="48"/>
        <v/>
      </c>
      <c r="E774" s="3" t="str">
        <f t="shared" si="49"/>
        <v/>
      </c>
      <c r="F774" s="3" t="str">
        <f t="shared" si="50"/>
        <v/>
      </c>
      <c r="G774" s="3">
        <f t="shared" si="51"/>
        <v>10</v>
      </c>
    </row>
    <row r="775" spans="1:7" x14ac:dyDescent="0.25">
      <c r="A775" s="41" t="s">
        <v>102</v>
      </c>
      <c r="B775" s="84">
        <v>7037</v>
      </c>
      <c r="C775" s="79">
        <v>10</v>
      </c>
      <c r="D775" s="3" t="str">
        <f t="shared" si="48"/>
        <v/>
      </c>
      <c r="E775" s="3" t="str">
        <f t="shared" si="49"/>
        <v/>
      </c>
      <c r="F775" s="3" t="str">
        <f t="shared" si="50"/>
        <v/>
      </c>
      <c r="G775" s="3">
        <f t="shared" si="51"/>
        <v>10</v>
      </c>
    </row>
    <row r="776" spans="1:7" x14ac:dyDescent="0.25">
      <c r="A776" s="41" t="s">
        <v>102</v>
      </c>
      <c r="B776" s="84">
        <v>9737.3799999999992</v>
      </c>
      <c r="C776" s="79">
        <v>10</v>
      </c>
      <c r="D776" s="3" t="str">
        <f t="shared" si="48"/>
        <v/>
      </c>
      <c r="E776" s="3" t="str">
        <f t="shared" si="49"/>
        <v/>
      </c>
      <c r="F776" s="3" t="str">
        <f t="shared" si="50"/>
        <v/>
      </c>
      <c r="G776" s="3">
        <f t="shared" si="51"/>
        <v>10</v>
      </c>
    </row>
    <row r="777" spans="1:7" x14ac:dyDescent="0.25">
      <c r="A777" s="41" t="s">
        <v>102</v>
      </c>
      <c r="B777" s="84">
        <v>6715.31</v>
      </c>
      <c r="C777" s="79">
        <v>10</v>
      </c>
      <c r="D777" s="3" t="str">
        <f t="shared" si="48"/>
        <v/>
      </c>
      <c r="E777" s="3" t="str">
        <f t="shared" si="49"/>
        <v/>
      </c>
      <c r="F777" s="3" t="str">
        <f t="shared" si="50"/>
        <v/>
      </c>
      <c r="G777" s="3">
        <f t="shared" si="51"/>
        <v>10</v>
      </c>
    </row>
    <row r="778" spans="1:7" x14ac:dyDescent="0.25">
      <c r="A778" s="41" t="s">
        <v>102</v>
      </c>
      <c r="B778" s="84">
        <v>19389.79</v>
      </c>
      <c r="C778" s="79" t="s">
        <v>27</v>
      </c>
      <c r="D778" s="3" t="str">
        <f t="shared" si="48"/>
        <v/>
      </c>
      <c r="E778" s="3" t="str">
        <f t="shared" si="49"/>
        <v/>
      </c>
      <c r="F778" s="3" t="str">
        <f t="shared" si="50"/>
        <v/>
      </c>
      <c r="G778" s="3" t="str">
        <f t="shared" si="51"/>
        <v/>
      </c>
    </row>
    <row r="779" spans="1:7" x14ac:dyDescent="0.25">
      <c r="A779" s="41" t="s">
        <v>102</v>
      </c>
      <c r="B779" s="84">
        <v>200</v>
      </c>
      <c r="C779" s="79" t="s">
        <v>27</v>
      </c>
      <c r="D779" s="3" t="str">
        <f t="shared" si="48"/>
        <v/>
      </c>
      <c r="E779" s="3" t="str">
        <f t="shared" si="49"/>
        <v/>
      </c>
      <c r="F779" s="3" t="str">
        <f t="shared" si="50"/>
        <v/>
      </c>
      <c r="G779" s="3" t="str">
        <f t="shared" si="51"/>
        <v/>
      </c>
    </row>
    <row r="780" spans="1:7" x14ac:dyDescent="0.25">
      <c r="A780" s="41" t="s">
        <v>102</v>
      </c>
      <c r="B780" s="84">
        <v>3700</v>
      </c>
      <c r="C780" s="79" t="s">
        <v>27</v>
      </c>
      <c r="D780" s="3" t="str">
        <f t="shared" si="48"/>
        <v/>
      </c>
      <c r="E780" s="3" t="str">
        <f t="shared" si="49"/>
        <v/>
      </c>
      <c r="F780" s="3" t="str">
        <f t="shared" si="50"/>
        <v/>
      </c>
      <c r="G780" s="3" t="str">
        <f t="shared" si="51"/>
        <v/>
      </c>
    </row>
    <row r="781" spans="1:7" x14ac:dyDescent="0.25">
      <c r="A781" s="41" t="s">
        <v>102</v>
      </c>
      <c r="B781" s="84">
        <v>1982.67</v>
      </c>
      <c r="C781" s="79">
        <v>9</v>
      </c>
      <c r="D781" s="3" t="str">
        <f t="shared" si="48"/>
        <v/>
      </c>
      <c r="E781" s="3">
        <f t="shared" si="49"/>
        <v>9</v>
      </c>
      <c r="F781" s="3" t="str">
        <f t="shared" si="50"/>
        <v/>
      </c>
      <c r="G781" s="3" t="str">
        <f t="shared" si="51"/>
        <v/>
      </c>
    </row>
    <row r="782" spans="1:7" x14ac:dyDescent="0.25">
      <c r="A782" s="41" t="s">
        <v>102</v>
      </c>
      <c r="B782" s="84">
        <v>4200</v>
      </c>
      <c r="C782" s="79" t="s">
        <v>27</v>
      </c>
      <c r="D782" s="3" t="str">
        <f t="shared" si="48"/>
        <v/>
      </c>
      <c r="E782" s="3" t="str">
        <f t="shared" si="49"/>
        <v/>
      </c>
      <c r="F782" s="3" t="str">
        <f t="shared" si="50"/>
        <v/>
      </c>
      <c r="G782" s="3" t="str">
        <f t="shared" si="51"/>
        <v/>
      </c>
    </row>
    <row r="783" spans="1:7" x14ac:dyDescent="0.25">
      <c r="A783" s="41" t="s">
        <v>102</v>
      </c>
      <c r="B783" s="84">
        <v>580</v>
      </c>
      <c r="C783" s="79">
        <v>10</v>
      </c>
      <c r="D783" s="3">
        <f t="shared" si="48"/>
        <v>10</v>
      </c>
      <c r="E783" s="3" t="str">
        <f t="shared" si="49"/>
        <v/>
      </c>
      <c r="F783" s="3" t="str">
        <f t="shared" si="50"/>
        <v/>
      </c>
      <c r="G783" s="3" t="str">
        <f t="shared" si="51"/>
        <v/>
      </c>
    </row>
    <row r="784" spans="1:7" x14ac:dyDescent="0.25">
      <c r="A784" s="41" t="s">
        <v>102</v>
      </c>
      <c r="B784" s="84">
        <v>6554.17</v>
      </c>
      <c r="C784" s="79">
        <v>9</v>
      </c>
      <c r="D784" s="3" t="str">
        <f t="shared" si="48"/>
        <v/>
      </c>
      <c r="E784" s="3" t="str">
        <f t="shared" si="49"/>
        <v/>
      </c>
      <c r="F784" s="3" t="str">
        <f t="shared" si="50"/>
        <v/>
      </c>
      <c r="G784" s="3">
        <f t="shared" si="51"/>
        <v>9</v>
      </c>
    </row>
    <row r="785" spans="1:7" x14ac:dyDescent="0.25">
      <c r="A785" s="41" t="s">
        <v>102</v>
      </c>
      <c r="B785" s="84">
        <v>4290.8599999999997</v>
      </c>
      <c r="C785" s="79">
        <v>10</v>
      </c>
      <c r="D785" s="3" t="str">
        <f t="shared" si="48"/>
        <v/>
      </c>
      <c r="E785" s="3" t="str">
        <f t="shared" si="49"/>
        <v/>
      </c>
      <c r="F785" s="3">
        <f t="shared" si="50"/>
        <v>10</v>
      </c>
      <c r="G785" s="3" t="str">
        <f t="shared" si="51"/>
        <v/>
      </c>
    </row>
    <row r="786" spans="1:7" x14ac:dyDescent="0.25">
      <c r="A786" s="41" t="s">
        <v>102</v>
      </c>
      <c r="B786" s="84">
        <v>300</v>
      </c>
      <c r="C786" s="79" t="s">
        <v>27</v>
      </c>
      <c r="D786" s="3" t="str">
        <f t="shared" si="48"/>
        <v/>
      </c>
      <c r="E786" s="3" t="str">
        <f t="shared" si="49"/>
        <v/>
      </c>
      <c r="F786" s="3" t="str">
        <f t="shared" si="50"/>
        <v/>
      </c>
      <c r="G786" s="3" t="str">
        <f t="shared" si="51"/>
        <v/>
      </c>
    </row>
    <row r="787" spans="1:7" x14ac:dyDescent="0.25">
      <c r="A787" s="41" t="s">
        <v>102</v>
      </c>
      <c r="B787" s="84">
        <v>6491.52</v>
      </c>
      <c r="C787" s="79" t="s">
        <v>27</v>
      </c>
      <c r="D787" s="3" t="str">
        <f t="shared" si="48"/>
        <v/>
      </c>
      <c r="E787" s="3" t="str">
        <f t="shared" si="49"/>
        <v/>
      </c>
      <c r="F787" s="3" t="str">
        <f t="shared" si="50"/>
        <v/>
      </c>
      <c r="G787" s="3" t="str">
        <f t="shared" si="51"/>
        <v/>
      </c>
    </row>
    <row r="788" spans="1:7" x14ac:dyDescent="0.25">
      <c r="A788" s="41" t="s">
        <v>102</v>
      </c>
      <c r="B788" s="84">
        <v>6000</v>
      </c>
      <c r="C788" s="79" t="s">
        <v>27</v>
      </c>
      <c r="D788" s="3" t="str">
        <f t="shared" si="48"/>
        <v/>
      </c>
      <c r="E788" s="3" t="str">
        <f t="shared" si="49"/>
        <v/>
      </c>
      <c r="F788" s="3" t="str">
        <f t="shared" si="50"/>
        <v/>
      </c>
      <c r="G788" s="3" t="str">
        <f t="shared" si="51"/>
        <v/>
      </c>
    </row>
    <row r="789" spans="1:7" x14ac:dyDescent="0.25">
      <c r="A789" s="41" t="s">
        <v>102</v>
      </c>
      <c r="B789" s="84">
        <v>5941.88</v>
      </c>
      <c r="C789" s="79" t="s">
        <v>27</v>
      </c>
      <c r="D789" s="3" t="str">
        <f t="shared" si="48"/>
        <v/>
      </c>
      <c r="E789" s="3" t="str">
        <f t="shared" si="49"/>
        <v/>
      </c>
      <c r="F789" s="3" t="str">
        <f t="shared" si="50"/>
        <v/>
      </c>
      <c r="G789" s="3" t="str">
        <f t="shared" si="51"/>
        <v/>
      </c>
    </row>
    <row r="790" spans="1:7" x14ac:dyDescent="0.25">
      <c r="A790" s="41" t="s">
        <v>102</v>
      </c>
      <c r="B790" s="84">
        <v>5932.47</v>
      </c>
      <c r="C790" s="79">
        <v>9</v>
      </c>
      <c r="D790" s="3" t="str">
        <f t="shared" si="48"/>
        <v/>
      </c>
      <c r="E790" s="3" t="str">
        <f t="shared" si="49"/>
        <v/>
      </c>
      <c r="F790" s="3" t="str">
        <f t="shared" si="50"/>
        <v/>
      </c>
      <c r="G790" s="3">
        <f t="shared" si="51"/>
        <v>9</v>
      </c>
    </row>
    <row r="791" spans="1:7" x14ac:dyDescent="0.25">
      <c r="A791" s="41" t="s">
        <v>102</v>
      </c>
      <c r="B791" s="84">
        <v>6500</v>
      </c>
      <c r="C791" s="79">
        <v>8</v>
      </c>
      <c r="D791" s="3" t="str">
        <f t="shared" si="48"/>
        <v/>
      </c>
      <c r="E791" s="3" t="str">
        <f t="shared" si="49"/>
        <v/>
      </c>
      <c r="F791" s="3" t="str">
        <f t="shared" si="50"/>
        <v/>
      </c>
      <c r="G791" s="3">
        <f t="shared" si="51"/>
        <v>8</v>
      </c>
    </row>
    <row r="792" spans="1:7" x14ac:dyDescent="0.25">
      <c r="A792" s="41" t="s">
        <v>102</v>
      </c>
      <c r="B792" s="84">
        <v>500</v>
      </c>
      <c r="C792" s="79">
        <v>10</v>
      </c>
      <c r="D792" s="3">
        <f t="shared" si="48"/>
        <v>10</v>
      </c>
      <c r="E792" s="3" t="str">
        <f t="shared" si="49"/>
        <v/>
      </c>
      <c r="F792" s="3" t="str">
        <f t="shared" si="50"/>
        <v/>
      </c>
      <c r="G792" s="3" t="str">
        <f t="shared" si="51"/>
        <v/>
      </c>
    </row>
    <row r="793" spans="1:7" x14ac:dyDescent="0.25">
      <c r="A793" s="41" t="s">
        <v>102</v>
      </c>
      <c r="B793" s="84">
        <v>5181.6000000000004</v>
      </c>
      <c r="C793" s="79">
        <v>9</v>
      </c>
      <c r="D793" s="3" t="str">
        <f t="shared" si="48"/>
        <v/>
      </c>
      <c r="E793" s="3" t="str">
        <f t="shared" si="49"/>
        <v/>
      </c>
      <c r="F793" s="3" t="str">
        <f t="shared" si="50"/>
        <v/>
      </c>
      <c r="G793" s="3">
        <f t="shared" si="51"/>
        <v>9</v>
      </c>
    </row>
    <row r="794" spans="1:7" x14ac:dyDescent="0.25">
      <c r="A794" s="41" t="s">
        <v>102</v>
      </c>
      <c r="B794" s="84">
        <v>5732</v>
      </c>
      <c r="C794" s="79">
        <v>5</v>
      </c>
      <c r="D794" s="3" t="str">
        <f t="shared" si="48"/>
        <v/>
      </c>
      <c r="E794" s="3" t="str">
        <f t="shared" si="49"/>
        <v/>
      </c>
      <c r="F794" s="3" t="str">
        <f t="shared" si="50"/>
        <v/>
      </c>
      <c r="G794" s="3">
        <f t="shared" si="51"/>
        <v>5</v>
      </c>
    </row>
    <row r="795" spans="1:7" x14ac:dyDescent="0.25">
      <c r="A795" s="41" t="s">
        <v>102</v>
      </c>
      <c r="B795" s="84">
        <v>5900</v>
      </c>
      <c r="C795" s="79">
        <v>9</v>
      </c>
      <c r="D795" s="3" t="str">
        <f t="shared" si="48"/>
        <v/>
      </c>
      <c r="E795" s="3" t="str">
        <f t="shared" si="49"/>
        <v/>
      </c>
      <c r="F795" s="3" t="str">
        <f t="shared" si="50"/>
        <v/>
      </c>
      <c r="G795" s="3">
        <f t="shared" si="51"/>
        <v>9</v>
      </c>
    </row>
    <row r="796" spans="1:7" x14ac:dyDescent="0.25">
      <c r="A796" s="41" t="s">
        <v>102</v>
      </c>
      <c r="B796" s="84">
        <v>6314.98</v>
      </c>
      <c r="C796" s="79" t="s">
        <v>27</v>
      </c>
      <c r="D796" s="3" t="str">
        <f t="shared" si="48"/>
        <v/>
      </c>
      <c r="E796" s="3" t="str">
        <f t="shared" si="49"/>
        <v/>
      </c>
      <c r="F796" s="3" t="str">
        <f t="shared" si="50"/>
        <v/>
      </c>
      <c r="G796" s="3" t="str">
        <f t="shared" si="51"/>
        <v/>
      </c>
    </row>
    <row r="797" spans="1:7" x14ac:dyDescent="0.25">
      <c r="A797" s="41" t="s">
        <v>102</v>
      </c>
      <c r="B797" s="84">
        <v>1469.2</v>
      </c>
      <c r="C797" s="79" t="s">
        <v>27</v>
      </c>
      <c r="D797" s="3" t="str">
        <f t="shared" si="48"/>
        <v/>
      </c>
      <c r="E797" s="3" t="str">
        <f t="shared" si="49"/>
        <v/>
      </c>
      <c r="F797" s="3" t="str">
        <f t="shared" si="50"/>
        <v/>
      </c>
      <c r="G797" s="3" t="str">
        <f t="shared" si="51"/>
        <v/>
      </c>
    </row>
    <row r="798" spans="1:7" x14ac:dyDescent="0.25">
      <c r="A798" s="41" t="s">
        <v>102</v>
      </c>
      <c r="B798" s="84">
        <v>5500</v>
      </c>
      <c r="C798" s="79" t="s">
        <v>27</v>
      </c>
      <c r="D798" s="3" t="str">
        <f t="shared" si="48"/>
        <v/>
      </c>
      <c r="E798" s="3" t="str">
        <f t="shared" si="49"/>
        <v/>
      </c>
      <c r="F798" s="3" t="str">
        <f t="shared" si="50"/>
        <v/>
      </c>
      <c r="G798" s="3" t="str">
        <f t="shared" si="51"/>
        <v/>
      </c>
    </row>
    <row r="799" spans="1:7" x14ac:dyDescent="0.25">
      <c r="A799" s="41" t="s">
        <v>102</v>
      </c>
      <c r="B799" s="84">
        <v>400</v>
      </c>
      <c r="C799" s="79">
        <v>10</v>
      </c>
      <c r="D799" s="3">
        <f t="shared" si="48"/>
        <v>10</v>
      </c>
      <c r="E799" s="3" t="str">
        <f t="shared" si="49"/>
        <v/>
      </c>
      <c r="F799" s="3" t="str">
        <f t="shared" si="50"/>
        <v/>
      </c>
      <c r="G799" s="3" t="str">
        <f t="shared" si="51"/>
        <v/>
      </c>
    </row>
    <row r="800" spans="1:7" x14ac:dyDescent="0.25">
      <c r="A800" s="41" t="s">
        <v>102</v>
      </c>
      <c r="B800" s="84">
        <v>5200</v>
      </c>
      <c r="C800" s="79">
        <v>8</v>
      </c>
      <c r="D800" s="3" t="str">
        <f t="shared" si="48"/>
        <v/>
      </c>
      <c r="E800" s="3" t="str">
        <f t="shared" si="49"/>
        <v/>
      </c>
      <c r="F800" s="3" t="str">
        <f t="shared" si="50"/>
        <v/>
      </c>
      <c r="G800" s="3">
        <f t="shared" si="51"/>
        <v>8</v>
      </c>
    </row>
    <row r="801" spans="1:7" x14ac:dyDescent="0.25">
      <c r="A801" s="41" t="s">
        <v>102</v>
      </c>
      <c r="B801" s="84">
        <v>6504.5</v>
      </c>
      <c r="C801" s="79">
        <v>10</v>
      </c>
      <c r="D801" s="3" t="str">
        <f t="shared" si="48"/>
        <v/>
      </c>
      <c r="E801" s="3" t="str">
        <f t="shared" si="49"/>
        <v/>
      </c>
      <c r="F801" s="3" t="str">
        <f t="shared" si="50"/>
        <v/>
      </c>
      <c r="G801" s="3">
        <f t="shared" si="51"/>
        <v>10</v>
      </c>
    </row>
    <row r="802" spans="1:7" x14ac:dyDescent="0.25">
      <c r="A802" s="41" t="s">
        <v>102</v>
      </c>
      <c r="B802" s="84">
        <v>300</v>
      </c>
      <c r="C802" s="79">
        <v>10</v>
      </c>
      <c r="D802" s="3">
        <f t="shared" si="48"/>
        <v>10</v>
      </c>
      <c r="E802" s="3" t="str">
        <f t="shared" si="49"/>
        <v/>
      </c>
      <c r="F802" s="3" t="str">
        <f t="shared" si="50"/>
        <v/>
      </c>
      <c r="G802" s="3" t="str">
        <f t="shared" si="51"/>
        <v/>
      </c>
    </row>
    <row r="803" spans="1:7" x14ac:dyDescent="0.25">
      <c r="A803" s="41" t="s">
        <v>102</v>
      </c>
      <c r="B803" s="84">
        <v>7602.84</v>
      </c>
      <c r="C803" s="79" t="s">
        <v>27</v>
      </c>
      <c r="D803" s="3" t="str">
        <f t="shared" si="48"/>
        <v/>
      </c>
      <c r="E803" s="3" t="str">
        <f t="shared" si="49"/>
        <v/>
      </c>
      <c r="F803" s="3" t="str">
        <f t="shared" si="50"/>
        <v/>
      </c>
      <c r="G803" s="3" t="str">
        <f t="shared" si="51"/>
        <v/>
      </c>
    </row>
    <row r="804" spans="1:7" x14ac:dyDescent="0.25">
      <c r="A804" s="41" t="s">
        <v>113</v>
      </c>
      <c r="B804" s="84">
        <v>2400</v>
      </c>
      <c r="C804" s="79">
        <v>10</v>
      </c>
      <c r="D804" s="3" t="str">
        <f t="shared" si="48"/>
        <v/>
      </c>
      <c r="E804" s="3">
        <f t="shared" si="49"/>
        <v>10</v>
      </c>
      <c r="F804" s="3" t="str">
        <f t="shared" si="50"/>
        <v/>
      </c>
      <c r="G804" s="3" t="str">
        <f t="shared" si="51"/>
        <v/>
      </c>
    </row>
    <row r="805" spans="1:7" x14ac:dyDescent="0.25">
      <c r="A805" s="41" t="s">
        <v>113</v>
      </c>
      <c r="B805" s="84">
        <v>594.79999999999995</v>
      </c>
      <c r="C805" s="79">
        <v>10</v>
      </c>
      <c r="D805" s="3">
        <f t="shared" si="48"/>
        <v>10</v>
      </c>
      <c r="E805" s="3" t="str">
        <f t="shared" si="49"/>
        <v/>
      </c>
      <c r="F805" s="3" t="str">
        <f t="shared" si="50"/>
        <v/>
      </c>
      <c r="G805" s="3" t="str">
        <f t="shared" si="51"/>
        <v/>
      </c>
    </row>
    <row r="806" spans="1:7" x14ac:dyDescent="0.25">
      <c r="A806" s="41" t="s">
        <v>113</v>
      </c>
      <c r="B806" s="84">
        <v>320.10000000000002</v>
      </c>
      <c r="C806" s="79">
        <v>7</v>
      </c>
      <c r="D806" s="3">
        <f t="shared" si="48"/>
        <v>7</v>
      </c>
      <c r="E806" s="3" t="str">
        <f t="shared" si="49"/>
        <v/>
      </c>
      <c r="F806" s="3" t="str">
        <f t="shared" si="50"/>
        <v/>
      </c>
      <c r="G806" s="3" t="str">
        <f t="shared" si="51"/>
        <v/>
      </c>
    </row>
    <row r="807" spans="1:7" x14ac:dyDescent="0.25">
      <c r="A807" s="41" t="s">
        <v>113</v>
      </c>
      <c r="B807" s="84">
        <v>1700</v>
      </c>
      <c r="C807" s="79" t="s">
        <v>27</v>
      </c>
      <c r="D807" s="3" t="str">
        <f t="shared" si="48"/>
        <v/>
      </c>
      <c r="E807" s="3" t="str">
        <f t="shared" si="49"/>
        <v/>
      </c>
      <c r="F807" s="3" t="str">
        <f t="shared" si="50"/>
        <v/>
      </c>
      <c r="G807" s="3" t="str">
        <f t="shared" si="51"/>
        <v/>
      </c>
    </row>
    <row r="808" spans="1:7" x14ac:dyDescent="0.25">
      <c r="A808" s="41" t="s">
        <v>113</v>
      </c>
      <c r="B808" s="84">
        <v>550</v>
      </c>
      <c r="C808" s="79" t="s">
        <v>27</v>
      </c>
      <c r="D808" s="3" t="str">
        <f t="shared" si="48"/>
        <v/>
      </c>
      <c r="E808" s="3" t="str">
        <f t="shared" si="49"/>
        <v/>
      </c>
      <c r="F808" s="3" t="str">
        <f t="shared" si="50"/>
        <v/>
      </c>
      <c r="G808" s="3" t="str">
        <f t="shared" si="51"/>
        <v/>
      </c>
    </row>
    <row r="809" spans="1:7" x14ac:dyDescent="0.25">
      <c r="A809" s="41" t="s">
        <v>113</v>
      </c>
      <c r="B809" s="84">
        <v>200</v>
      </c>
      <c r="C809" s="79">
        <v>10</v>
      </c>
      <c r="D809" s="3">
        <f t="shared" si="48"/>
        <v>10</v>
      </c>
      <c r="E809" s="3" t="str">
        <f t="shared" si="49"/>
        <v/>
      </c>
      <c r="F809" s="3" t="str">
        <f t="shared" si="50"/>
        <v/>
      </c>
      <c r="G809" s="3" t="str">
        <f t="shared" si="51"/>
        <v/>
      </c>
    </row>
    <row r="810" spans="1:7" x14ac:dyDescent="0.25">
      <c r="A810" s="41" t="s">
        <v>113</v>
      </c>
      <c r="B810" s="84">
        <v>240</v>
      </c>
      <c r="C810" s="79" t="s">
        <v>27</v>
      </c>
      <c r="D810" s="3" t="str">
        <f t="shared" si="48"/>
        <v/>
      </c>
      <c r="E810" s="3" t="str">
        <f t="shared" si="49"/>
        <v/>
      </c>
      <c r="F810" s="3" t="str">
        <f t="shared" si="50"/>
        <v/>
      </c>
      <c r="G810" s="3" t="str">
        <f t="shared" si="51"/>
        <v/>
      </c>
    </row>
    <row r="811" spans="1:7" x14ac:dyDescent="0.25">
      <c r="A811" s="41" t="s">
        <v>113</v>
      </c>
      <c r="B811" s="84">
        <v>225</v>
      </c>
      <c r="C811" s="79">
        <v>1</v>
      </c>
      <c r="D811" s="3">
        <f t="shared" si="48"/>
        <v>1</v>
      </c>
      <c r="E811" s="3" t="str">
        <f t="shared" si="49"/>
        <v/>
      </c>
      <c r="F811" s="3" t="str">
        <f t="shared" si="50"/>
        <v/>
      </c>
      <c r="G811" s="3" t="str">
        <f t="shared" si="51"/>
        <v/>
      </c>
    </row>
    <row r="812" spans="1:7" x14ac:dyDescent="0.25">
      <c r="A812" s="41" t="s">
        <v>113</v>
      </c>
      <c r="B812" s="84">
        <v>2400</v>
      </c>
      <c r="C812" s="79" t="s">
        <v>27</v>
      </c>
      <c r="D812" s="3" t="str">
        <f t="shared" si="48"/>
        <v/>
      </c>
      <c r="E812" s="3" t="str">
        <f t="shared" si="49"/>
        <v/>
      </c>
      <c r="F812" s="3" t="str">
        <f t="shared" si="50"/>
        <v/>
      </c>
      <c r="G812" s="3" t="str">
        <f t="shared" si="51"/>
        <v/>
      </c>
    </row>
    <row r="813" spans="1:7" x14ac:dyDescent="0.25">
      <c r="A813" s="41" t="s">
        <v>113</v>
      </c>
      <c r="B813" s="84">
        <v>100</v>
      </c>
      <c r="C813" s="79" t="s">
        <v>27</v>
      </c>
      <c r="D813" s="3" t="str">
        <f t="shared" si="48"/>
        <v/>
      </c>
      <c r="E813" s="3" t="str">
        <f t="shared" si="49"/>
        <v/>
      </c>
      <c r="F813" s="3" t="str">
        <f t="shared" si="50"/>
        <v/>
      </c>
      <c r="G813" s="3" t="str">
        <f t="shared" si="51"/>
        <v/>
      </c>
    </row>
    <row r="814" spans="1:7" x14ac:dyDescent="0.25">
      <c r="A814" s="41" t="s">
        <v>100</v>
      </c>
      <c r="B814" s="84">
        <v>747</v>
      </c>
      <c r="C814" s="79" t="s">
        <v>27</v>
      </c>
      <c r="D814" s="3" t="str">
        <f t="shared" si="48"/>
        <v/>
      </c>
      <c r="E814" s="3" t="str">
        <f t="shared" si="49"/>
        <v/>
      </c>
      <c r="F814" s="3" t="str">
        <f t="shared" si="50"/>
        <v/>
      </c>
      <c r="G814" s="3" t="str">
        <f t="shared" si="51"/>
        <v/>
      </c>
    </row>
    <row r="815" spans="1:7" x14ac:dyDescent="0.25">
      <c r="A815" s="41" t="s">
        <v>100</v>
      </c>
      <c r="B815" s="84">
        <v>1718.7</v>
      </c>
      <c r="C815" s="79" t="s">
        <v>27</v>
      </c>
      <c r="D815" s="3" t="str">
        <f t="shared" si="48"/>
        <v/>
      </c>
      <c r="E815" s="3" t="str">
        <f t="shared" si="49"/>
        <v/>
      </c>
      <c r="F815" s="3" t="str">
        <f t="shared" si="50"/>
        <v/>
      </c>
      <c r="G815" s="3" t="str">
        <f t="shared" si="51"/>
        <v/>
      </c>
    </row>
    <row r="816" spans="1:7" x14ac:dyDescent="0.25">
      <c r="A816" s="41" t="s">
        <v>100</v>
      </c>
      <c r="B816" s="84">
        <v>651.78</v>
      </c>
      <c r="C816" s="79">
        <v>10</v>
      </c>
      <c r="D816" s="3">
        <f t="shared" si="48"/>
        <v>10</v>
      </c>
      <c r="E816" s="3" t="str">
        <f t="shared" si="49"/>
        <v/>
      </c>
      <c r="F816" s="3" t="str">
        <f t="shared" si="50"/>
        <v/>
      </c>
      <c r="G816" s="3" t="str">
        <f t="shared" si="51"/>
        <v/>
      </c>
    </row>
    <row r="817" spans="1:7" x14ac:dyDescent="0.25">
      <c r="A817" s="41" t="s">
        <v>100</v>
      </c>
      <c r="B817" s="84">
        <v>1004</v>
      </c>
      <c r="C817" s="79" t="s">
        <v>27</v>
      </c>
      <c r="D817" s="3" t="str">
        <f t="shared" si="48"/>
        <v/>
      </c>
      <c r="E817" s="3" t="str">
        <f t="shared" si="49"/>
        <v/>
      </c>
      <c r="F817" s="3" t="str">
        <f t="shared" si="50"/>
        <v/>
      </c>
      <c r="G817" s="3" t="str">
        <f t="shared" si="51"/>
        <v/>
      </c>
    </row>
    <row r="818" spans="1:7" x14ac:dyDescent="0.25">
      <c r="A818" s="41" t="s">
        <v>100</v>
      </c>
      <c r="B818" s="84">
        <v>1219.75</v>
      </c>
      <c r="C818" s="79" t="s">
        <v>27</v>
      </c>
      <c r="D818" s="3" t="str">
        <f t="shared" si="48"/>
        <v/>
      </c>
      <c r="E818" s="3" t="str">
        <f t="shared" si="49"/>
        <v/>
      </c>
      <c r="F818" s="3" t="str">
        <f t="shared" si="50"/>
        <v/>
      </c>
      <c r="G818" s="3" t="str">
        <f t="shared" si="51"/>
        <v/>
      </c>
    </row>
    <row r="819" spans="1:7" x14ac:dyDescent="0.25">
      <c r="A819" s="41" t="s">
        <v>100</v>
      </c>
      <c r="B819" s="84">
        <v>18680.060000000001</v>
      </c>
      <c r="C819" s="79" t="s">
        <v>27</v>
      </c>
      <c r="D819" s="3" t="str">
        <f t="shared" si="48"/>
        <v/>
      </c>
      <c r="E819" s="3" t="str">
        <f t="shared" si="49"/>
        <v/>
      </c>
      <c r="F819" s="3" t="str">
        <f t="shared" si="50"/>
        <v/>
      </c>
      <c r="G819" s="3" t="str">
        <f t="shared" si="51"/>
        <v/>
      </c>
    </row>
    <row r="820" spans="1:7" x14ac:dyDescent="0.25">
      <c r="A820" s="41" t="s">
        <v>100</v>
      </c>
      <c r="B820" s="84">
        <v>1932</v>
      </c>
      <c r="C820" s="79" t="s">
        <v>27</v>
      </c>
      <c r="D820" s="3" t="str">
        <f t="shared" si="48"/>
        <v/>
      </c>
      <c r="E820" s="3" t="str">
        <f t="shared" si="49"/>
        <v/>
      </c>
      <c r="F820" s="3" t="str">
        <f t="shared" si="50"/>
        <v/>
      </c>
      <c r="G820" s="3" t="str">
        <f t="shared" si="51"/>
        <v/>
      </c>
    </row>
    <row r="821" spans="1:7" x14ac:dyDescent="0.25">
      <c r="A821" s="41" t="s">
        <v>100</v>
      </c>
      <c r="B821" s="84">
        <v>1276.08</v>
      </c>
      <c r="C821" s="79" t="s">
        <v>27</v>
      </c>
      <c r="D821" s="3" t="str">
        <f t="shared" si="48"/>
        <v/>
      </c>
      <c r="E821" s="3" t="str">
        <f t="shared" si="49"/>
        <v/>
      </c>
      <c r="F821" s="3" t="str">
        <f t="shared" si="50"/>
        <v/>
      </c>
      <c r="G821" s="3" t="str">
        <f t="shared" si="51"/>
        <v/>
      </c>
    </row>
    <row r="822" spans="1:7" x14ac:dyDescent="0.25">
      <c r="A822" s="41" t="s">
        <v>100</v>
      </c>
      <c r="B822" s="84">
        <v>228.9</v>
      </c>
      <c r="C822" s="79">
        <v>9</v>
      </c>
      <c r="D822" s="3">
        <f t="shared" si="48"/>
        <v>9</v>
      </c>
      <c r="E822" s="3" t="str">
        <f t="shared" si="49"/>
        <v/>
      </c>
      <c r="F822" s="3" t="str">
        <f t="shared" si="50"/>
        <v/>
      </c>
      <c r="G822" s="3" t="str">
        <f t="shared" si="51"/>
        <v/>
      </c>
    </row>
    <row r="823" spans="1:7" x14ac:dyDescent="0.25">
      <c r="A823" s="41" t="s">
        <v>100</v>
      </c>
      <c r="B823" s="84">
        <v>7583.36</v>
      </c>
      <c r="C823" s="79" t="s">
        <v>27</v>
      </c>
      <c r="D823" s="3" t="str">
        <f t="shared" si="48"/>
        <v/>
      </c>
      <c r="E823" s="3" t="str">
        <f t="shared" si="49"/>
        <v/>
      </c>
      <c r="F823" s="3" t="str">
        <f t="shared" si="50"/>
        <v/>
      </c>
      <c r="G823" s="3" t="str">
        <f t="shared" si="51"/>
        <v/>
      </c>
    </row>
    <row r="824" spans="1:7" x14ac:dyDescent="0.25">
      <c r="A824" s="41" t="s">
        <v>100</v>
      </c>
      <c r="B824" s="84">
        <v>100</v>
      </c>
      <c r="C824" s="79">
        <v>10</v>
      </c>
      <c r="D824" s="3">
        <f t="shared" si="48"/>
        <v>10</v>
      </c>
      <c r="E824" s="3" t="str">
        <f t="shared" si="49"/>
        <v/>
      </c>
      <c r="F824" s="3" t="str">
        <f t="shared" si="50"/>
        <v/>
      </c>
      <c r="G824" s="3" t="str">
        <f t="shared" si="51"/>
        <v/>
      </c>
    </row>
    <row r="825" spans="1:7" x14ac:dyDescent="0.25">
      <c r="A825" s="41" t="s">
        <v>100</v>
      </c>
      <c r="B825" s="84">
        <v>4101.03</v>
      </c>
      <c r="C825" s="79" t="s">
        <v>27</v>
      </c>
      <c r="D825" s="3" t="str">
        <f t="shared" si="48"/>
        <v/>
      </c>
      <c r="E825" s="3" t="str">
        <f t="shared" si="49"/>
        <v/>
      </c>
      <c r="F825" s="3" t="str">
        <f t="shared" si="50"/>
        <v/>
      </c>
      <c r="G825" s="3" t="str">
        <f t="shared" si="51"/>
        <v/>
      </c>
    </row>
    <row r="826" spans="1:7" x14ac:dyDescent="0.25">
      <c r="A826" s="41" t="s">
        <v>67</v>
      </c>
      <c r="B826" s="84">
        <v>200</v>
      </c>
      <c r="C826" s="79" t="s">
        <v>27</v>
      </c>
      <c r="D826" s="3" t="str">
        <f t="shared" si="48"/>
        <v/>
      </c>
      <c r="E826" s="3" t="str">
        <f t="shared" si="49"/>
        <v/>
      </c>
      <c r="F826" s="3" t="str">
        <f t="shared" si="50"/>
        <v/>
      </c>
      <c r="G826" s="3" t="str">
        <f t="shared" si="51"/>
        <v/>
      </c>
    </row>
    <row r="827" spans="1:7" x14ac:dyDescent="0.25">
      <c r="A827" s="41" t="s">
        <v>67</v>
      </c>
      <c r="B827" s="84">
        <v>100</v>
      </c>
      <c r="C827" s="79" t="s">
        <v>27</v>
      </c>
      <c r="D827" s="3" t="str">
        <f t="shared" si="48"/>
        <v/>
      </c>
      <c r="E827" s="3" t="str">
        <f t="shared" si="49"/>
        <v/>
      </c>
      <c r="F827" s="3" t="str">
        <f t="shared" si="50"/>
        <v/>
      </c>
      <c r="G827" s="3" t="str">
        <f t="shared" si="51"/>
        <v/>
      </c>
    </row>
    <row r="828" spans="1:7" x14ac:dyDescent="0.25">
      <c r="A828" s="41" t="s">
        <v>67</v>
      </c>
      <c r="B828" s="84">
        <v>1200</v>
      </c>
      <c r="C828" s="79" t="s">
        <v>27</v>
      </c>
      <c r="D828" s="3" t="str">
        <f t="shared" si="48"/>
        <v/>
      </c>
      <c r="E828" s="3" t="str">
        <f t="shared" si="49"/>
        <v/>
      </c>
      <c r="F828" s="3" t="str">
        <f t="shared" si="50"/>
        <v/>
      </c>
      <c r="G828" s="3" t="str">
        <f t="shared" si="51"/>
        <v/>
      </c>
    </row>
    <row r="829" spans="1:7" x14ac:dyDescent="0.25">
      <c r="A829" s="41" t="s">
        <v>67</v>
      </c>
      <c r="B829" s="84">
        <v>1200</v>
      </c>
      <c r="C829" s="79" t="s">
        <v>27</v>
      </c>
      <c r="D829" s="3" t="str">
        <f t="shared" si="48"/>
        <v/>
      </c>
      <c r="E829" s="3" t="str">
        <f t="shared" si="49"/>
        <v/>
      </c>
      <c r="F829" s="3" t="str">
        <f t="shared" si="50"/>
        <v/>
      </c>
      <c r="G829" s="3" t="str">
        <f t="shared" si="51"/>
        <v/>
      </c>
    </row>
    <row r="830" spans="1:7" x14ac:dyDescent="0.25">
      <c r="A830" s="41" t="s">
        <v>67</v>
      </c>
      <c r="B830" s="84">
        <v>743.79</v>
      </c>
      <c r="C830" s="79" t="s">
        <v>27</v>
      </c>
      <c r="D830" s="3" t="str">
        <f t="shared" si="48"/>
        <v/>
      </c>
      <c r="E830" s="3" t="str">
        <f t="shared" si="49"/>
        <v/>
      </c>
      <c r="F830" s="3" t="str">
        <f t="shared" si="50"/>
        <v/>
      </c>
      <c r="G830" s="3" t="str">
        <f t="shared" si="51"/>
        <v/>
      </c>
    </row>
    <row r="831" spans="1:7" x14ac:dyDescent="0.25">
      <c r="A831" s="41" t="s">
        <v>67</v>
      </c>
      <c r="B831" s="84">
        <v>450</v>
      </c>
      <c r="C831" s="79" t="s">
        <v>27</v>
      </c>
      <c r="D831" s="3" t="str">
        <f t="shared" si="48"/>
        <v/>
      </c>
      <c r="E831" s="3" t="str">
        <f t="shared" si="49"/>
        <v/>
      </c>
      <c r="F831" s="3" t="str">
        <f t="shared" si="50"/>
        <v/>
      </c>
      <c r="G831" s="3" t="str">
        <f t="shared" si="51"/>
        <v/>
      </c>
    </row>
    <row r="832" spans="1:7" x14ac:dyDescent="0.25">
      <c r="A832" s="41" t="s">
        <v>67</v>
      </c>
      <c r="B832" s="84">
        <v>180</v>
      </c>
      <c r="C832" s="79" t="s">
        <v>27</v>
      </c>
      <c r="D832" s="3" t="str">
        <f t="shared" si="48"/>
        <v/>
      </c>
      <c r="E832" s="3" t="str">
        <f t="shared" si="49"/>
        <v/>
      </c>
      <c r="F832" s="3" t="str">
        <f t="shared" si="50"/>
        <v/>
      </c>
      <c r="G832" s="3" t="str">
        <f t="shared" si="51"/>
        <v/>
      </c>
    </row>
    <row r="833" spans="1:7" x14ac:dyDescent="0.25">
      <c r="A833" s="41" t="s">
        <v>153</v>
      </c>
      <c r="B833" s="84">
        <v>365.04</v>
      </c>
      <c r="C833" s="79" t="s">
        <v>27</v>
      </c>
      <c r="D833" s="3" t="str">
        <f t="shared" si="48"/>
        <v/>
      </c>
      <c r="E833" s="3" t="str">
        <f t="shared" si="49"/>
        <v/>
      </c>
      <c r="F833" s="3" t="str">
        <f t="shared" si="50"/>
        <v/>
      </c>
      <c r="G833" s="3" t="str">
        <f t="shared" si="51"/>
        <v/>
      </c>
    </row>
    <row r="834" spans="1:7" x14ac:dyDescent="0.25">
      <c r="A834" s="41" t="s">
        <v>153</v>
      </c>
      <c r="B834" s="84">
        <v>1186.3800000000001</v>
      </c>
      <c r="C834" s="79" t="s">
        <v>27</v>
      </c>
      <c r="D834" s="3" t="str">
        <f t="shared" si="48"/>
        <v/>
      </c>
      <c r="E834" s="3" t="str">
        <f t="shared" si="49"/>
        <v/>
      </c>
      <c r="F834" s="3" t="str">
        <f t="shared" si="50"/>
        <v/>
      </c>
      <c r="G834" s="3" t="str">
        <f t="shared" si="51"/>
        <v/>
      </c>
    </row>
    <row r="835" spans="1:7" x14ac:dyDescent="0.25">
      <c r="A835" s="41" t="s">
        <v>153</v>
      </c>
      <c r="B835" s="84">
        <v>2952</v>
      </c>
      <c r="C835" s="79" t="s">
        <v>27</v>
      </c>
      <c r="D835" s="3" t="str">
        <f t="shared" ref="D835:D890" si="52">IF(AND(B835&gt;0,B835&lt;1000),C835,"")</f>
        <v/>
      </c>
      <c r="E835" s="3" t="str">
        <f t="shared" ref="E835:E890" si="53">IF(AND(B835&gt;1000,B835&lt;2500),C835,"")</f>
        <v/>
      </c>
      <c r="F835" s="3" t="str">
        <f t="shared" ref="F835:F890" si="54">IF(AND(B835&gt;2500,B835&lt;5000),C835,"")</f>
        <v/>
      </c>
      <c r="G835" s="3" t="str">
        <f t="shared" ref="G835:G890" si="55">IF(B835&gt;=5000,C835,"")</f>
        <v/>
      </c>
    </row>
    <row r="836" spans="1:7" x14ac:dyDescent="0.25">
      <c r="A836" s="41" t="s">
        <v>153</v>
      </c>
      <c r="B836" s="84">
        <v>1533.4</v>
      </c>
      <c r="C836" s="79" t="s">
        <v>27</v>
      </c>
      <c r="D836" s="3" t="str">
        <f t="shared" si="52"/>
        <v/>
      </c>
      <c r="E836" s="3" t="str">
        <f t="shared" si="53"/>
        <v/>
      </c>
      <c r="F836" s="3" t="str">
        <f t="shared" si="54"/>
        <v/>
      </c>
      <c r="G836" s="3" t="str">
        <f t="shared" si="55"/>
        <v/>
      </c>
    </row>
    <row r="837" spans="1:7" x14ac:dyDescent="0.25">
      <c r="A837" s="41" t="s">
        <v>153</v>
      </c>
      <c r="B837" s="84">
        <v>99.22</v>
      </c>
      <c r="C837" s="79">
        <v>10</v>
      </c>
      <c r="D837" s="3">
        <f t="shared" si="52"/>
        <v>10</v>
      </c>
      <c r="E837" s="3" t="str">
        <f t="shared" si="53"/>
        <v/>
      </c>
      <c r="F837" s="3" t="str">
        <f t="shared" si="54"/>
        <v/>
      </c>
      <c r="G837" s="3" t="str">
        <f t="shared" si="55"/>
        <v/>
      </c>
    </row>
    <row r="838" spans="1:7" x14ac:dyDescent="0.25">
      <c r="A838" s="41" t="s">
        <v>153</v>
      </c>
      <c r="B838" s="84">
        <v>2641.06</v>
      </c>
      <c r="C838" s="79" t="s">
        <v>27</v>
      </c>
      <c r="D838" s="3" t="str">
        <f t="shared" si="52"/>
        <v/>
      </c>
      <c r="E838" s="3" t="str">
        <f t="shared" si="53"/>
        <v/>
      </c>
      <c r="F838" s="3" t="str">
        <f t="shared" si="54"/>
        <v/>
      </c>
      <c r="G838" s="3" t="str">
        <f t="shared" si="55"/>
        <v/>
      </c>
    </row>
    <row r="839" spans="1:7" x14ac:dyDescent="0.25">
      <c r="A839" s="41" t="s">
        <v>153</v>
      </c>
      <c r="B839" s="84">
        <v>370.72</v>
      </c>
      <c r="C839" s="79">
        <v>10</v>
      </c>
      <c r="D839" s="3">
        <f t="shared" si="52"/>
        <v>10</v>
      </c>
      <c r="E839" s="3" t="str">
        <f t="shared" si="53"/>
        <v/>
      </c>
      <c r="F839" s="3" t="str">
        <f t="shared" si="54"/>
        <v/>
      </c>
      <c r="G839" s="3" t="str">
        <f t="shared" si="55"/>
        <v/>
      </c>
    </row>
    <row r="840" spans="1:7" x14ac:dyDescent="0.25">
      <c r="A840" s="41" t="s">
        <v>153</v>
      </c>
      <c r="B840" s="84">
        <v>2532</v>
      </c>
      <c r="C840" s="79">
        <v>10</v>
      </c>
      <c r="D840" s="3" t="str">
        <f t="shared" si="52"/>
        <v/>
      </c>
      <c r="E840" s="3" t="str">
        <f t="shared" si="53"/>
        <v/>
      </c>
      <c r="F840" s="3">
        <f t="shared" si="54"/>
        <v>10</v>
      </c>
      <c r="G840" s="3" t="str">
        <f t="shared" si="55"/>
        <v/>
      </c>
    </row>
    <row r="841" spans="1:7" x14ac:dyDescent="0.25">
      <c r="A841" s="41" t="s">
        <v>153</v>
      </c>
      <c r="B841" s="84">
        <v>300</v>
      </c>
      <c r="C841" s="79">
        <v>10</v>
      </c>
      <c r="D841" s="3">
        <f t="shared" si="52"/>
        <v>10</v>
      </c>
      <c r="E841" s="3" t="str">
        <f t="shared" si="53"/>
        <v/>
      </c>
      <c r="F841" s="3" t="str">
        <f t="shared" si="54"/>
        <v/>
      </c>
      <c r="G841" s="3" t="str">
        <f t="shared" si="55"/>
        <v/>
      </c>
    </row>
    <row r="842" spans="1:7" x14ac:dyDescent="0.25">
      <c r="A842" s="41" t="s">
        <v>153</v>
      </c>
      <c r="B842" s="84">
        <v>1263</v>
      </c>
      <c r="C842" s="79" t="s">
        <v>27</v>
      </c>
      <c r="D842" s="3" t="str">
        <f t="shared" si="52"/>
        <v/>
      </c>
      <c r="E842" s="3" t="str">
        <f t="shared" si="53"/>
        <v/>
      </c>
      <c r="F842" s="3" t="str">
        <f t="shared" si="54"/>
        <v/>
      </c>
      <c r="G842" s="3" t="str">
        <f t="shared" si="55"/>
        <v/>
      </c>
    </row>
    <row r="843" spans="1:7" x14ac:dyDescent="0.25">
      <c r="A843" s="41" t="s">
        <v>137</v>
      </c>
      <c r="B843" s="84">
        <v>2300</v>
      </c>
      <c r="C843" s="79">
        <v>10</v>
      </c>
      <c r="D843" s="3" t="str">
        <f t="shared" si="52"/>
        <v/>
      </c>
      <c r="E843" s="3">
        <f t="shared" si="53"/>
        <v>10</v>
      </c>
      <c r="F843" s="3" t="str">
        <f t="shared" si="54"/>
        <v/>
      </c>
      <c r="G843" s="3" t="str">
        <f t="shared" si="55"/>
        <v/>
      </c>
    </row>
    <row r="844" spans="1:7" x14ac:dyDescent="0.25">
      <c r="A844" s="41" t="s">
        <v>137</v>
      </c>
      <c r="B844" s="84">
        <v>2184</v>
      </c>
      <c r="C844" s="79" t="s">
        <v>27</v>
      </c>
      <c r="D844" s="3" t="str">
        <f t="shared" si="52"/>
        <v/>
      </c>
      <c r="E844" s="3" t="str">
        <f t="shared" si="53"/>
        <v/>
      </c>
      <c r="F844" s="3" t="str">
        <f t="shared" si="54"/>
        <v/>
      </c>
      <c r="G844" s="3" t="str">
        <f t="shared" si="55"/>
        <v/>
      </c>
    </row>
    <row r="845" spans="1:7" x14ac:dyDescent="0.25">
      <c r="A845" s="41" t="s">
        <v>137</v>
      </c>
      <c r="B845" s="84">
        <v>1500</v>
      </c>
      <c r="C845" s="79" t="s">
        <v>27</v>
      </c>
      <c r="D845" s="3" t="str">
        <f t="shared" si="52"/>
        <v/>
      </c>
      <c r="E845" s="3" t="str">
        <f t="shared" si="53"/>
        <v/>
      </c>
      <c r="F845" s="3" t="str">
        <f t="shared" si="54"/>
        <v/>
      </c>
      <c r="G845" s="3" t="str">
        <f t="shared" si="55"/>
        <v/>
      </c>
    </row>
    <row r="846" spans="1:7" x14ac:dyDescent="0.25">
      <c r="A846" s="41" t="s">
        <v>137</v>
      </c>
      <c r="B846" s="84">
        <v>1400</v>
      </c>
      <c r="C846" s="79" t="s">
        <v>27</v>
      </c>
      <c r="D846" s="3" t="str">
        <f t="shared" si="52"/>
        <v/>
      </c>
      <c r="E846" s="3" t="str">
        <f t="shared" si="53"/>
        <v/>
      </c>
      <c r="F846" s="3" t="str">
        <f t="shared" si="54"/>
        <v/>
      </c>
      <c r="G846" s="3" t="str">
        <f t="shared" si="55"/>
        <v/>
      </c>
    </row>
    <row r="847" spans="1:7" x14ac:dyDescent="0.25">
      <c r="A847" s="41" t="s">
        <v>137</v>
      </c>
      <c r="B847" s="84">
        <v>400</v>
      </c>
      <c r="C847" s="79" t="s">
        <v>27</v>
      </c>
      <c r="D847" s="3" t="str">
        <f t="shared" si="52"/>
        <v/>
      </c>
      <c r="E847" s="3" t="str">
        <f t="shared" si="53"/>
        <v/>
      </c>
      <c r="F847" s="3" t="str">
        <f t="shared" si="54"/>
        <v/>
      </c>
      <c r="G847" s="3" t="str">
        <f t="shared" si="55"/>
        <v/>
      </c>
    </row>
    <row r="848" spans="1:7" x14ac:dyDescent="0.25">
      <c r="A848" s="41" t="s">
        <v>137</v>
      </c>
      <c r="B848" s="84">
        <v>450</v>
      </c>
      <c r="C848" s="79" t="s">
        <v>27</v>
      </c>
      <c r="D848" s="3" t="str">
        <f t="shared" si="52"/>
        <v/>
      </c>
      <c r="E848" s="3" t="str">
        <f t="shared" si="53"/>
        <v/>
      </c>
      <c r="F848" s="3" t="str">
        <f t="shared" si="54"/>
        <v/>
      </c>
      <c r="G848" s="3" t="str">
        <f t="shared" si="55"/>
        <v/>
      </c>
    </row>
    <row r="849" spans="1:7" x14ac:dyDescent="0.25">
      <c r="A849" s="41" t="s">
        <v>43</v>
      </c>
      <c r="B849" s="84">
        <v>380</v>
      </c>
      <c r="C849" s="79">
        <v>8</v>
      </c>
      <c r="D849" s="3">
        <f t="shared" si="52"/>
        <v>8</v>
      </c>
      <c r="E849" s="3" t="str">
        <f t="shared" si="53"/>
        <v/>
      </c>
      <c r="F849" s="3" t="str">
        <f t="shared" si="54"/>
        <v/>
      </c>
      <c r="G849" s="3" t="str">
        <f t="shared" si="55"/>
        <v/>
      </c>
    </row>
    <row r="850" spans="1:7" x14ac:dyDescent="0.25">
      <c r="A850" s="41" t="s">
        <v>43</v>
      </c>
      <c r="B850" s="84">
        <v>310</v>
      </c>
      <c r="C850" s="79" t="s">
        <v>27</v>
      </c>
      <c r="D850" s="3" t="str">
        <f t="shared" si="52"/>
        <v/>
      </c>
      <c r="E850" s="3" t="str">
        <f t="shared" si="53"/>
        <v/>
      </c>
      <c r="F850" s="3" t="str">
        <f t="shared" si="54"/>
        <v/>
      </c>
      <c r="G850" s="3" t="str">
        <f t="shared" si="55"/>
        <v/>
      </c>
    </row>
    <row r="851" spans="1:7" x14ac:dyDescent="0.25">
      <c r="A851" s="41" t="s">
        <v>43</v>
      </c>
      <c r="B851" s="84">
        <v>240</v>
      </c>
      <c r="C851" s="79" t="s">
        <v>27</v>
      </c>
      <c r="D851" s="3" t="str">
        <f t="shared" si="52"/>
        <v/>
      </c>
      <c r="E851" s="3" t="str">
        <f t="shared" si="53"/>
        <v/>
      </c>
      <c r="F851" s="3" t="str">
        <f t="shared" si="54"/>
        <v/>
      </c>
      <c r="G851" s="3" t="str">
        <f t="shared" si="55"/>
        <v/>
      </c>
    </row>
    <row r="852" spans="1:7" x14ac:dyDescent="0.25">
      <c r="A852" s="41" t="s">
        <v>43</v>
      </c>
      <c r="B852" s="84">
        <v>35</v>
      </c>
      <c r="C852" s="79">
        <v>10</v>
      </c>
      <c r="D852" s="3">
        <f t="shared" si="52"/>
        <v>10</v>
      </c>
      <c r="E852" s="3" t="str">
        <f t="shared" si="53"/>
        <v/>
      </c>
      <c r="F852" s="3" t="str">
        <f t="shared" si="54"/>
        <v/>
      </c>
      <c r="G852" s="3" t="str">
        <f t="shared" si="55"/>
        <v/>
      </c>
    </row>
    <row r="853" spans="1:7" x14ac:dyDescent="0.25">
      <c r="A853" s="41" t="s">
        <v>43</v>
      </c>
      <c r="B853" s="84">
        <v>222</v>
      </c>
      <c r="C853" s="79" t="s">
        <v>27</v>
      </c>
      <c r="D853" s="3" t="str">
        <f t="shared" si="52"/>
        <v/>
      </c>
      <c r="E853" s="3" t="str">
        <f t="shared" si="53"/>
        <v/>
      </c>
      <c r="F853" s="3" t="str">
        <f t="shared" si="54"/>
        <v/>
      </c>
      <c r="G853" s="3" t="str">
        <f t="shared" si="55"/>
        <v/>
      </c>
    </row>
    <row r="854" spans="1:7" x14ac:dyDescent="0.25">
      <c r="A854" s="41" t="s">
        <v>43</v>
      </c>
      <c r="B854" s="84">
        <v>755</v>
      </c>
      <c r="C854" s="79">
        <v>10</v>
      </c>
      <c r="D854" s="3">
        <f t="shared" si="52"/>
        <v>10</v>
      </c>
      <c r="E854" s="3" t="str">
        <f t="shared" si="53"/>
        <v/>
      </c>
      <c r="F854" s="3" t="str">
        <f t="shared" si="54"/>
        <v/>
      </c>
      <c r="G854" s="3" t="str">
        <f t="shared" si="55"/>
        <v/>
      </c>
    </row>
    <row r="855" spans="1:7" x14ac:dyDescent="0.25">
      <c r="A855" s="41" t="s">
        <v>43</v>
      </c>
      <c r="B855" s="84">
        <v>110</v>
      </c>
      <c r="C855" s="79" t="s">
        <v>27</v>
      </c>
      <c r="D855" s="3" t="str">
        <f t="shared" si="52"/>
        <v/>
      </c>
      <c r="E855" s="3" t="str">
        <f t="shared" si="53"/>
        <v/>
      </c>
      <c r="F855" s="3" t="str">
        <f t="shared" si="54"/>
        <v/>
      </c>
      <c r="G855" s="3" t="str">
        <f t="shared" si="55"/>
        <v/>
      </c>
    </row>
    <row r="856" spans="1:7" x14ac:dyDescent="0.25">
      <c r="A856" s="41" t="s">
        <v>43</v>
      </c>
      <c r="B856" s="84">
        <v>168</v>
      </c>
      <c r="C856" s="79" t="s">
        <v>27</v>
      </c>
      <c r="D856" s="3" t="str">
        <f t="shared" si="52"/>
        <v/>
      </c>
      <c r="E856" s="3" t="str">
        <f t="shared" si="53"/>
        <v/>
      </c>
      <c r="F856" s="3" t="str">
        <f t="shared" si="54"/>
        <v/>
      </c>
      <c r="G856" s="3" t="str">
        <f t="shared" si="55"/>
        <v/>
      </c>
    </row>
    <row r="857" spans="1:7" x14ac:dyDescent="0.25">
      <c r="A857" s="41" t="s">
        <v>43</v>
      </c>
      <c r="B857" s="84">
        <v>4500</v>
      </c>
      <c r="C857" s="79" t="s">
        <v>27</v>
      </c>
      <c r="D857" s="3" t="str">
        <f t="shared" si="52"/>
        <v/>
      </c>
      <c r="E857" s="3" t="str">
        <f t="shared" si="53"/>
        <v/>
      </c>
      <c r="F857" s="3" t="str">
        <f t="shared" si="54"/>
        <v/>
      </c>
      <c r="G857" s="3" t="str">
        <f t="shared" si="55"/>
        <v/>
      </c>
    </row>
    <row r="858" spans="1:7" x14ac:dyDescent="0.25">
      <c r="A858" s="41" t="s">
        <v>43</v>
      </c>
      <c r="B858" s="84">
        <v>30</v>
      </c>
      <c r="C858" s="79" t="s">
        <v>27</v>
      </c>
      <c r="D858" s="3" t="str">
        <f t="shared" si="52"/>
        <v/>
      </c>
      <c r="E858" s="3" t="str">
        <f t="shared" si="53"/>
        <v/>
      </c>
      <c r="F858" s="3" t="str">
        <f t="shared" si="54"/>
        <v/>
      </c>
      <c r="G858" s="3" t="str">
        <f t="shared" si="55"/>
        <v/>
      </c>
    </row>
    <row r="859" spans="1:7" x14ac:dyDescent="0.25">
      <c r="A859" s="41" t="s">
        <v>43</v>
      </c>
      <c r="B859" s="84">
        <v>3600</v>
      </c>
      <c r="C859" s="79" t="s">
        <v>27</v>
      </c>
      <c r="D859" s="3" t="str">
        <f t="shared" si="52"/>
        <v/>
      </c>
      <c r="E859" s="3" t="str">
        <f t="shared" si="53"/>
        <v/>
      </c>
      <c r="F859" s="3" t="str">
        <f t="shared" si="54"/>
        <v/>
      </c>
      <c r="G859" s="3" t="str">
        <f t="shared" si="55"/>
        <v/>
      </c>
    </row>
    <row r="860" spans="1:7" x14ac:dyDescent="0.25">
      <c r="A860" s="41" t="s">
        <v>43</v>
      </c>
      <c r="B860" s="84">
        <v>30</v>
      </c>
      <c r="C860" s="79" t="s">
        <v>27</v>
      </c>
      <c r="D860" s="3" t="str">
        <f t="shared" si="52"/>
        <v/>
      </c>
      <c r="E860" s="3" t="str">
        <f t="shared" si="53"/>
        <v/>
      </c>
      <c r="F860" s="3" t="str">
        <f t="shared" si="54"/>
        <v/>
      </c>
      <c r="G860" s="3" t="str">
        <f t="shared" si="55"/>
        <v/>
      </c>
    </row>
    <row r="861" spans="1:7" x14ac:dyDescent="0.25">
      <c r="A861" s="41" t="s">
        <v>43</v>
      </c>
      <c r="B861" s="84">
        <v>75</v>
      </c>
      <c r="C861" s="79" t="s">
        <v>27</v>
      </c>
      <c r="D861" s="3" t="str">
        <f t="shared" si="52"/>
        <v/>
      </c>
      <c r="E861" s="3" t="str">
        <f t="shared" si="53"/>
        <v/>
      </c>
      <c r="F861" s="3" t="str">
        <f t="shared" si="54"/>
        <v/>
      </c>
      <c r="G861" s="3" t="str">
        <f t="shared" si="55"/>
        <v/>
      </c>
    </row>
    <row r="862" spans="1:7" x14ac:dyDescent="0.25">
      <c r="A862" s="41" t="s">
        <v>43</v>
      </c>
      <c r="B862" s="84">
        <v>2982</v>
      </c>
      <c r="C862" s="79" t="s">
        <v>27</v>
      </c>
      <c r="D862" s="3" t="str">
        <f t="shared" si="52"/>
        <v/>
      </c>
      <c r="E862" s="3" t="str">
        <f t="shared" si="53"/>
        <v/>
      </c>
      <c r="F862" s="3" t="str">
        <f t="shared" si="54"/>
        <v/>
      </c>
      <c r="G862" s="3" t="str">
        <f t="shared" si="55"/>
        <v/>
      </c>
    </row>
    <row r="863" spans="1:7" x14ac:dyDescent="0.25">
      <c r="A863" s="41" t="s">
        <v>43</v>
      </c>
      <c r="B863" s="84">
        <v>319.5</v>
      </c>
      <c r="C863" s="79" t="s">
        <v>27</v>
      </c>
      <c r="D863" s="3" t="str">
        <f t="shared" si="52"/>
        <v/>
      </c>
      <c r="E863" s="3" t="str">
        <f t="shared" si="53"/>
        <v/>
      </c>
      <c r="F863" s="3" t="str">
        <f t="shared" si="54"/>
        <v/>
      </c>
      <c r="G863" s="3" t="str">
        <f t="shared" si="55"/>
        <v/>
      </c>
    </row>
    <row r="864" spans="1:7" x14ac:dyDescent="0.25">
      <c r="A864" s="41" t="s">
        <v>112</v>
      </c>
      <c r="B864" s="84">
        <v>5000</v>
      </c>
      <c r="C864" s="79" t="s">
        <v>27</v>
      </c>
      <c r="D864" s="3" t="str">
        <f t="shared" si="52"/>
        <v/>
      </c>
      <c r="E864" s="3" t="str">
        <f t="shared" si="53"/>
        <v/>
      </c>
      <c r="F864" s="3" t="str">
        <f t="shared" si="54"/>
        <v/>
      </c>
      <c r="G864" s="3" t="str">
        <f t="shared" si="55"/>
        <v/>
      </c>
    </row>
    <row r="865" spans="1:7" x14ac:dyDescent="0.25">
      <c r="A865" s="41" t="s">
        <v>112</v>
      </c>
      <c r="B865" s="84">
        <v>1900</v>
      </c>
      <c r="C865" s="79" t="s">
        <v>27</v>
      </c>
      <c r="D865" s="3" t="str">
        <f t="shared" si="52"/>
        <v/>
      </c>
      <c r="E865" s="3" t="str">
        <f t="shared" si="53"/>
        <v/>
      </c>
      <c r="F865" s="3" t="str">
        <f t="shared" si="54"/>
        <v/>
      </c>
      <c r="G865" s="3" t="str">
        <f t="shared" si="55"/>
        <v/>
      </c>
    </row>
    <row r="866" spans="1:7" x14ac:dyDescent="0.25">
      <c r="A866" s="41" t="s">
        <v>112</v>
      </c>
      <c r="B866" s="84">
        <v>1500</v>
      </c>
      <c r="C866" s="79" t="s">
        <v>27</v>
      </c>
      <c r="D866" s="3" t="str">
        <f t="shared" si="52"/>
        <v/>
      </c>
      <c r="E866" s="3" t="str">
        <f t="shared" si="53"/>
        <v/>
      </c>
      <c r="F866" s="3" t="str">
        <f t="shared" si="54"/>
        <v/>
      </c>
      <c r="G866" s="3" t="str">
        <f t="shared" si="55"/>
        <v/>
      </c>
    </row>
    <row r="867" spans="1:7" x14ac:dyDescent="0.25">
      <c r="A867" s="41" t="s">
        <v>112</v>
      </c>
      <c r="B867" s="84">
        <v>1500</v>
      </c>
      <c r="C867" s="79" t="s">
        <v>27</v>
      </c>
      <c r="D867" s="3" t="str">
        <f t="shared" si="52"/>
        <v/>
      </c>
      <c r="E867" s="3" t="str">
        <f t="shared" si="53"/>
        <v/>
      </c>
      <c r="F867" s="3" t="str">
        <f t="shared" si="54"/>
        <v/>
      </c>
      <c r="G867" s="3" t="str">
        <f t="shared" si="55"/>
        <v/>
      </c>
    </row>
    <row r="868" spans="1:7" x14ac:dyDescent="0.25">
      <c r="A868" s="41" t="s">
        <v>112</v>
      </c>
      <c r="B868" s="84">
        <v>1400</v>
      </c>
      <c r="C868" s="79" t="s">
        <v>27</v>
      </c>
      <c r="D868" s="3" t="str">
        <f t="shared" si="52"/>
        <v/>
      </c>
      <c r="E868" s="3" t="str">
        <f t="shared" si="53"/>
        <v/>
      </c>
      <c r="F868" s="3" t="str">
        <f t="shared" si="54"/>
        <v/>
      </c>
      <c r="G868" s="3" t="str">
        <f t="shared" si="55"/>
        <v/>
      </c>
    </row>
    <row r="869" spans="1:7" x14ac:dyDescent="0.25">
      <c r="A869" s="41" t="s">
        <v>112</v>
      </c>
      <c r="B869" s="84">
        <v>1000</v>
      </c>
      <c r="C869" s="79" t="s">
        <v>27</v>
      </c>
      <c r="D869" s="3" t="str">
        <f t="shared" si="52"/>
        <v/>
      </c>
      <c r="E869" s="3" t="str">
        <f t="shared" si="53"/>
        <v/>
      </c>
      <c r="F869" s="3" t="str">
        <f t="shared" si="54"/>
        <v/>
      </c>
      <c r="G869" s="3" t="str">
        <f t="shared" si="55"/>
        <v/>
      </c>
    </row>
    <row r="870" spans="1:7" x14ac:dyDescent="0.25">
      <c r="A870" s="41" t="s">
        <v>112</v>
      </c>
      <c r="B870" s="84">
        <v>1200</v>
      </c>
      <c r="C870" s="79" t="s">
        <v>27</v>
      </c>
      <c r="D870" s="3" t="str">
        <f t="shared" si="52"/>
        <v/>
      </c>
      <c r="E870" s="3" t="str">
        <f t="shared" si="53"/>
        <v/>
      </c>
      <c r="F870" s="3" t="str">
        <f t="shared" si="54"/>
        <v/>
      </c>
      <c r="G870" s="3" t="str">
        <f t="shared" si="55"/>
        <v/>
      </c>
    </row>
    <row r="871" spans="1:7" x14ac:dyDescent="0.25">
      <c r="A871" s="41" t="s">
        <v>112</v>
      </c>
      <c r="B871" s="84">
        <v>750</v>
      </c>
      <c r="C871" s="79" t="s">
        <v>27</v>
      </c>
      <c r="D871" s="3" t="str">
        <f t="shared" si="52"/>
        <v/>
      </c>
      <c r="E871" s="3" t="str">
        <f t="shared" si="53"/>
        <v/>
      </c>
      <c r="F871" s="3" t="str">
        <f t="shared" si="54"/>
        <v/>
      </c>
      <c r="G871" s="3" t="str">
        <f t="shared" si="55"/>
        <v/>
      </c>
    </row>
    <row r="872" spans="1:7" x14ac:dyDescent="0.25">
      <c r="A872" s="41" t="s">
        <v>112</v>
      </c>
      <c r="B872" s="84">
        <v>1200</v>
      </c>
      <c r="C872" s="79" t="s">
        <v>27</v>
      </c>
      <c r="D872" s="3" t="str">
        <f t="shared" si="52"/>
        <v/>
      </c>
      <c r="E872" s="3" t="str">
        <f t="shared" si="53"/>
        <v/>
      </c>
      <c r="F872" s="3" t="str">
        <f t="shared" si="54"/>
        <v/>
      </c>
      <c r="G872" s="3" t="str">
        <f t="shared" si="55"/>
        <v/>
      </c>
    </row>
    <row r="873" spans="1:7" x14ac:dyDescent="0.25">
      <c r="A873" s="41" t="s">
        <v>112</v>
      </c>
      <c r="B873" s="84">
        <v>1200</v>
      </c>
      <c r="C873" s="79" t="s">
        <v>27</v>
      </c>
      <c r="D873" s="3" t="str">
        <f t="shared" si="52"/>
        <v/>
      </c>
      <c r="E873" s="3" t="str">
        <f t="shared" si="53"/>
        <v/>
      </c>
      <c r="F873" s="3" t="str">
        <f t="shared" si="54"/>
        <v/>
      </c>
      <c r="G873" s="3" t="str">
        <f t="shared" si="55"/>
        <v/>
      </c>
    </row>
    <row r="874" spans="1:7" x14ac:dyDescent="0.25">
      <c r="A874" s="41" t="s">
        <v>112</v>
      </c>
      <c r="B874" s="84">
        <v>900</v>
      </c>
      <c r="C874" s="79" t="s">
        <v>27</v>
      </c>
      <c r="D874" s="3" t="str">
        <f t="shared" si="52"/>
        <v/>
      </c>
      <c r="E874" s="3" t="str">
        <f t="shared" si="53"/>
        <v/>
      </c>
      <c r="F874" s="3" t="str">
        <f t="shared" si="54"/>
        <v/>
      </c>
      <c r="G874" s="3" t="str">
        <f t="shared" si="55"/>
        <v/>
      </c>
    </row>
    <row r="875" spans="1:7" x14ac:dyDescent="0.25">
      <c r="A875" s="41" t="s">
        <v>112</v>
      </c>
      <c r="B875" s="84">
        <v>1200</v>
      </c>
      <c r="C875" s="79" t="s">
        <v>27</v>
      </c>
      <c r="D875" s="3" t="str">
        <f t="shared" si="52"/>
        <v/>
      </c>
      <c r="E875" s="3" t="str">
        <f t="shared" si="53"/>
        <v/>
      </c>
      <c r="F875" s="3" t="str">
        <f t="shared" si="54"/>
        <v/>
      </c>
      <c r="G875" s="3" t="str">
        <f t="shared" si="55"/>
        <v/>
      </c>
    </row>
    <row r="876" spans="1:7" x14ac:dyDescent="0.25">
      <c r="A876" s="41" t="s">
        <v>112</v>
      </c>
      <c r="B876" s="84">
        <v>4200</v>
      </c>
      <c r="C876" s="79" t="s">
        <v>27</v>
      </c>
      <c r="D876" s="3" t="str">
        <f t="shared" si="52"/>
        <v/>
      </c>
      <c r="E876" s="3" t="str">
        <f t="shared" si="53"/>
        <v/>
      </c>
      <c r="F876" s="3" t="str">
        <f t="shared" si="54"/>
        <v/>
      </c>
      <c r="G876" s="3" t="str">
        <f t="shared" si="55"/>
        <v/>
      </c>
    </row>
    <row r="877" spans="1:7" x14ac:dyDescent="0.25">
      <c r="A877" s="41" t="s">
        <v>135</v>
      </c>
      <c r="B877" s="84">
        <v>150</v>
      </c>
      <c r="C877" s="79" t="s">
        <v>27</v>
      </c>
      <c r="D877" s="3" t="str">
        <f t="shared" si="52"/>
        <v/>
      </c>
      <c r="E877" s="3" t="str">
        <f t="shared" si="53"/>
        <v/>
      </c>
      <c r="F877" s="3" t="str">
        <f t="shared" si="54"/>
        <v/>
      </c>
      <c r="G877" s="3" t="str">
        <f t="shared" si="55"/>
        <v/>
      </c>
    </row>
    <row r="878" spans="1:7" x14ac:dyDescent="0.25">
      <c r="A878" s="41" t="s">
        <v>135</v>
      </c>
      <c r="B878" s="84">
        <v>150</v>
      </c>
      <c r="C878" s="79" t="s">
        <v>27</v>
      </c>
      <c r="D878" s="3" t="str">
        <f t="shared" si="52"/>
        <v/>
      </c>
      <c r="E878" s="3" t="str">
        <f t="shared" si="53"/>
        <v/>
      </c>
      <c r="F878" s="3" t="str">
        <f t="shared" si="54"/>
        <v/>
      </c>
      <c r="G878" s="3" t="str">
        <f t="shared" si="55"/>
        <v/>
      </c>
    </row>
    <row r="879" spans="1:7" x14ac:dyDescent="0.25">
      <c r="A879" s="41" t="s">
        <v>135</v>
      </c>
      <c r="B879" s="84">
        <v>150</v>
      </c>
      <c r="C879" s="79" t="s">
        <v>27</v>
      </c>
      <c r="D879" s="3" t="str">
        <f t="shared" si="52"/>
        <v/>
      </c>
      <c r="E879" s="3" t="str">
        <f t="shared" si="53"/>
        <v/>
      </c>
      <c r="F879" s="3" t="str">
        <f t="shared" si="54"/>
        <v/>
      </c>
      <c r="G879" s="3" t="str">
        <f t="shared" si="55"/>
        <v/>
      </c>
    </row>
    <row r="880" spans="1:7" x14ac:dyDescent="0.25">
      <c r="A880" s="41" t="s">
        <v>135</v>
      </c>
      <c r="B880" s="84">
        <v>150</v>
      </c>
      <c r="C880" s="79" t="s">
        <v>27</v>
      </c>
      <c r="D880" s="3" t="str">
        <f t="shared" si="52"/>
        <v/>
      </c>
      <c r="E880" s="3" t="str">
        <f t="shared" si="53"/>
        <v/>
      </c>
      <c r="F880" s="3" t="str">
        <f t="shared" si="54"/>
        <v/>
      </c>
      <c r="G880" s="3" t="str">
        <f t="shared" si="55"/>
        <v/>
      </c>
    </row>
    <row r="881" spans="1:7" x14ac:dyDescent="0.25">
      <c r="A881" s="41" t="s">
        <v>135</v>
      </c>
      <c r="B881" s="84">
        <v>150</v>
      </c>
      <c r="C881" s="79" t="s">
        <v>27</v>
      </c>
      <c r="D881" s="3" t="str">
        <f t="shared" si="52"/>
        <v/>
      </c>
      <c r="E881" s="3" t="str">
        <f t="shared" si="53"/>
        <v/>
      </c>
      <c r="F881" s="3" t="str">
        <f t="shared" si="54"/>
        <v/>
      </c>
      <c r="G881" s="3" t="str">
        <f t="shared" si="55"/>
        <v/>
      </c>
    </row>
    <row r="882" spans="1:7" x14ac:dyDescent="0.25">
      <c r="A882" s="41" t="s">
        <v>135</v>
      </c>
      <c r="B882" s="84">
        <v>150</v>
      </c>
      <c r="C882" s="79" t="s">
        <v>27</v>
      </c>
      <c r="D882" s="3" t="str">
        <f t="shared" si="52"/>
        <v/>
      </c>
      <c r="E882" s="3" t="str">
        <f t="shared" si="53"/>
        <v/>
      </c>
      <c r="F882" s="3" t="str">
        <f t="shared" si="54"/>
        <v/>
      </c>
      <c r="G882" s="3" t="str">
        <f t="shared" si="55"/>
        <v/>
      </c>
    </row>
    <row r="883" spans="1:7" x14ac:dyDescent="0.25">
      <c r="A883" s="41" t="s">
        <v>131</v>
      </c>
      <c r="B883" s="84">
        <v>4706.1000000000004</v>
      </c>
      <c r="C883" s="79">
        <v>10</v>
      </c>
      <c r="D883" s="3" t="str">
        <f t="shared" si="52"/>
        <v/>
      </c>
      <c r="E883" s="3" t="str">
        <f t="shared" si="53"/>
        <v/>
      </c>
      <c r="F883" s="3">
        <f t="shared" si="54"/>
        <v>10</v>
      </c>
      <c r="G883" s="3" t="str">
        <f t="shared" si="55"/>
        <v/>
      </c>
    </row>
    <row r="884" spans="1:7" x14ac:dyDescent="0.25">
      <c r="A884" s="41" t="s">
        <v>131</v>
      </c>
      <c r="B884" s="84">
        <v>549.02</v>
      </c>
      <c r="C884" s="79" t="s">
        <v>27</v>
      </c>
      <c r="D884" s="3" t="str">
        <f t="shared" si="52"/>
        <v/>
      </c>
      <c r="E884" s="3" t="str">
        <f t="shared" si="53"/>
        <v/>
      </c>
      <c r="F884" s="3" t="str">
        <f t="shared" si="54"/>
        <v/>
      </c>
      <c r="G884" s="3" t="str">
        <f t="shared" si="55"/>
        <v/>
      </c>
    </row>
    <row r="885" spans="1:7" x14ac:dyDescent="0.25">
      <c r="A885" s="41" t="s">
        <v>131</v>
      </c>
      <c r="B885" s="84">
        <v>150</v>
      </c>
      <c r="C885" s="79">
        <v>10</v>
      </c>
      <c r="D885" s="3">
        <f t="shared" si="52"/>
        <v>10</v>
      </c>
      <c r="E885" s="3" t="str">
        <f t="shared" si="53"/>
        <v/>
      </c>
      <c r="F885" s="3" t="str">
        <f t="shared" si="54"/>
        <v/>
      </c>
      <c r="G885" s="3" t="str">
        <f t="shared" si="55"/>
        <v/>
      </c>
    </row>
    <row r="886" spans="1:7" x14ac:dyDescent="0.25">
      <c r="A886" s="41" t="s">
        <v>131</v>
      </c>
      <c r="B886" s="84">
        <v>2500</v>
      </c>
      <c r="C886" s="79">
        <v>10</v>
      </c>
      <c r="D886" s="3" t="str">
        <f t="shared" si="52"/>
        <v/>
      </c>
      <c r="E886" s="3" t="str">
        <f t="shared" si="53"/>
        <v/>
      </c>
      <c r="F886" s="3" t="str">
        <f t="shared" si="54"/>
        <v/>
      </c>
      <c r="G886" s="3" t="str">
        <f t="shared" si="55"/>
        <v/>
      </c>
    </row>
    <row r="887" spans="1:7" x14ac:dyDescent="0.25">
      <c r="A887" s="41" t="s">
        <v>131</v>
      </c>
      <c r="B887" s="84">
        <v>1623.47</v>
      </c>
      <c r="C887" s="79" t="s">
        <v>27</v>
      </c>
      <c r="D887" s="3" t="str">
        <f t="shared" si="52"/>
        <v/>
      </c>
      <c r="E887" s="3" t="str">
        <f t="shared" si="53"/>
        <v/>
      </c>
      <c r="F887" s="3" t="str">
        <f t="shared" si="54"/>
        <v/>
      </c>
      <c r="G887" s="3" t="str">
        <f t="shared" si="55"/>
        <v/>
      </c>
    </row>
    <row r="888" spans="1:7" x14ac:dyDescent="0.25">
      <c r="A888" s="41" t="s">
        <v>131</v>
      </c>
      <c r="B888" s="84">
        <v>90</v>
      </c>
      <c r="C888" s="79">
        <v>8</v>
      </c>
      <c r="D888" s="3">
        <f t="shared" si="52"/>
        <v>8</v>
      </c>
      <c r="E888" s="3" t="str">
        <f t="shared" si="53"/>
        <v/>
      </c>
      <c r="F888" s="3" t="str">
        <f t="shared" si="54"/>
        <v/>
      </c>
      <c r="G888" s="3" t="str">
        <f t="shared" si="55"/>
        <v/>
      </c>
    </row>
    <row r="889" spans="1:7" x14ac:dyDescent="0.25">
      <c r="A889" s="41" t="s">
        <v>131</v>
      </c>
      <c r="B889" s="84">
        <v>100</v>
      </c>
      <c r="C889" s="79">
        <v>10</v>
      </c>
      <c r="D889" s="3">
        <f t="shared" si="52"/>
        <v>10</v>
      </c>
      <c r="E889" s="3" t="str">
        <f t="shared" si="53"/>
        <v/>
      </c>
      <c r="F889" s="3" t="str">
        <f t="shared" si="54"/>
        <v/>
      </c>
      <c r="G889" s="3" t="str">
        <f t="shared" si="55"/>
        <v/>
      </c>
    </row>
    <row r="890" spans="1:7" x14ac:dyDescent="0.25">
      <c r="A890" s="41" t="s">
        <v>131</v>
      </c>
      <c r="B890" s="84">
        <v>526.07000000000005</v>
      </c>
      <c r="C890" s="79" t="s">
        <v>27</v>
      </c>
      <c r="D890" s="3" t="str">
        <f t="shared" si="52"/>
        <v/>
      </c>
      <c r="E890" s="3" t="str">
        <f t="shared" si="53"/>
        <v/>
      </c>
      <c r="F890" s="3" t="str">
        <f t="shared" si="54"/>
        <v/>
      </c>
      <c r="G890" s="3" t="str">
        <f t="shared" si="55"/>
        <v/>
      </c>
    </row>
    <row r="891" spans="1:7" x14ac:dyDescent="0.25">
      <c r="A891" s="55" t="s">
        <v>246</v>
      </c>
      <c r="B891" s="56"/>
      <c r="C891" s="55"/>
      <c r="D891" s="55">
        <f t="shared" ref="D891:G891" si="56">AVERAGE(D2:D890)</f>
        <v>9.4693140794223822</v>
      </c>
      <c r="E891" s="55">
        <f t="shared" si="56"/>
        <v>9.1269841269841265</v>
      </c>
      <c r="F891" s="55">
        <f t="shared" si="56"/>
        <v>9.4583333333333339</v>
      </c>
      <c r="G891" s="55">
        <f t="shared" si="56"/>
        <v>8.84</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Eduardo Figueiredo</cp:lastModifiedBy>
  <dcterms:created xsi:type="dcterms:W3CDTF">2020-02-19T12:13:32Z</dcterms:created>
  <dcterms:modified xsi:type="dcterms:W3CDTF">2020-04-29T03:19:35Z</dcterms:modified>
</cp:coreProperties>
</file>